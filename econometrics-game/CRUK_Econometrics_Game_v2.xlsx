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evel 1" sheetId="2" state="visible" r:id="rId4"/>
    <sheet name="Level 2" sheetId="3" state="visible" r:id="rId5"/>
    <sheet name="Level 3" sheetId="4" state="visible" r:id="rId6"/>
    <sheet name="Level 4" sheetId="5" state="visible" r:id="rId7"/>
    <sheet name="Level 5" sheetId="6" state="visible" r:id="rId8"/>
    <sheet name="Level 6" sheetId="7" state="visible" r:id="rId9"/>
    <sheet name="Level 7" sheetId="8" state="visible" r:id="rId10"/>
    <sheet name="Level 8" sheetId="9" state="visible" r:id="rId11"/>
    <sheet name="Level 9" sheetId="10" state="visible" r:id="rId12"/>
    <sheet name="Words" sheetId="11" state="visible" r:id="rId13"/>
    <sheet name="Under the bonnet" sheetId="12" state="visible" r:id="rId14"/>
    <sheet name="Room notes" sheetId="13" state="hidden" r:id="rId15"/>
    <sheet name="Answers" sheetId="14" state="hidden"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<sst xmlns="http://schemas.openxmlformats.org/spreadsheetml/2006/main" count="633" uniqueCount="557">
  <si>
    <t xml:space="preserve">The Econometrics Game: find out which pounds raised the sign-ups</t>
  </si>
  <si>
    <t xml:space="preserve">Version 2, September 2026. CRUK confidential, internal use only. No macros: type in the blue cells and everything updates.</t>
  </si>
  <si>
    <t xml:space="preserve">The idea, in one picture</t>
  </si>
  <si>
    <t xml:space="preserve">Imagine a detective with three years of till receipts. Every week the receipts show how many people signed up for Race for Life.</t>
  </si>
  <si>
    <t xml:space="preserve">The detective also knows what happened each week. Which adverts ran. Whether there was a sale. Whether sign-ups were even open.</t>
  </si>
  <si>
    <t xml:space="preserve">The detective's job is to work out which of those things caused the sign-ups. That is all econometrics is. Analytic Partners did it for us in 2026 and called it Wave 1. In this game you do it yourself, one block at a time.</t>
  </si>
  <si>
    <t xml:space="preserve">How to play</t>
  </si>
  <si>
    <t xml:space="preserve">1. Type only in the blue cells. 2. Each level adds one block to your model and asks for one or two numbers. 3. A check tells you when a number is about right. Green means move on. 4. Stuck? Set Show the answer to Yes.</t>
  </si>
  <si>
    <t xml:space="preserve">Two routes</t>
  </si>
  <si>
    <t xml:space="preserve">Five minutes</t>
  </si>
  <si>
    <t xml:space="preserve">Level 1, then Level 4, then the What if box on Level 5, then Level 8. You will leave knowing the base, the kettle, the halo and the last pound.</t>
  </si>
  <si>
    <t xml:space="preserve">Thirty minutes</t>
  </si>
  <si>
    <t xml:space="preserve">Levels 1 to 9 in order. Each one builds on the last. Finish with Words, which names every term you have already understood.</t>
  </si>
  <si>
    <t xml:space="preserve">Your progress</t>
  </si>
  <si>
    <t xml:space="preserve">Level</t>
  </si>
  <si>
    <t xml:space="preserve">What you build</t>
  </si>
  <si>
    <t xml:space="preserve">The word you learn</t>
  </si>
  <si>
    <t xml:space="preserve">Status</t>
  </si>
  <si>
    <t xml:space="preserve">Level 1</t>
  </si>
  <si>
    <t xml:space="preserve">The regulars</t>
  </si>
  <si>
    <t xml:space="preserve">Baseline</t>
  </si>
  <si>
    <t xml:space="preserve">Level 2</t>
  </si>
  <si>
    <t xml:space="preserve">The brakes</t>
  </si>
  <si>
    <t xml:space="preserve">Negative driver</t>
  </si>
  <si>
    <t xml:space="preserve">Level 3</t>
  </si>
  <si>
    <t xml:space="preserve">The sale</t>
  </si>
  <si>
    <t xml:space="preserve">Pull-forward</t>
  </si>
  <si>
    <t xml:space="preserve">Level 4</t>
  </si>
  <si>
    <t xml:space="preserve">The kettle: Race for Life adverts</t>
  </si>
  <si>
    <t xml:space="preserve">Adstock</t>
  </si>
  <si>
    <t xml:space="preserve">Level 5</t>
  </si>
  <si>
    <t xml:space="preserve">Rain on the next field: halo</t>
  </si>
  <si>
    <t xml:space="preserve">Halo</t>
  </si>
  <si>
    <t xml:space="preserve">Level 6</t>
  </si>
  <si>
    <t xml:space="preserve">Who sang louder: the channel split</t>
  </si>
  <si>
    <t xml:space="preserve">Multicollinearity</t>
  </si>
  <si>
    <t xml:space="preserve">Level 7</t>
  </si>
  <si>
    <t xml:space="preserve">Is it any good: four tests</t>
  </si>
  <si>
    <t xml:space="preserve">R squared, MAPE, holdout</t>
  </si>
  <si>
    <t xml:space="preserve">Level 8</t>
  </si>
  <si>
    <t xml:space="preserve">The next pound: the budget game</t>
  </si>
  <si>
    <t xml:space="preserve">Marginal return</t>
  </si>
  <si>
    <t xml:space="preserve">Level 9</t>
  </si>
  <si>
    <t xml:space="preserve">The long game: brand and Committed Giving</t>
  </si>
  <si>
    <t xml:space="preserve">Brand equity</t>
  </si>
  <si>
    <t xml:space="preserve">Read and try</t>
  </si>
  <si>
    <t xml:space="preserve">Levels done</t>
  </si>
  <si>
    <t xml:space="preserve">Say this in the room</t>
  </si>
  <si>
    <t xml:space="preserve">Econometrics is a detective reading three years of weekly receipts to work out which pounds raised the sign-ups. It can only see what changed.</t>
  </si>
  <si>
    <t xml:space="preserve">Where the numbers come from</t>
  </si>
  <si>
    <t xml:space="preserve">Analytic Partners, CRUK Wave 1 Econometrics Results (July 2026) and Wave 1 Methodology and Model Documentation (17 July 2026). The weekly figures are AP's own, read from the charts in the results deck: real sign-ups, spend by channel and product, and AP's weekly decomposition of sign-ups by driver, January 2023 to October 2025. The game's answer key is fitted to that decomposition. Sponsorship income is counted at about £90 per sign-up, as AP do.</t>
  </si>
  <si>
    <t xml:space="preserve">Built on the Analytic Partners training game. Under the bonnet shows every weekly number and every formula. Words explains every term. Nothing is hidden except the answer key, so the game stays a game.</t>
  </si>
  <si>
    <t xml:space="preserve">Level 1: A few hundred people a week sign up whatever we do</t>
  </si>
  <si>
    <t xml:space="preserve">The regulars. One number to type. Two minutes.</t>
  </si>
  <si>
    <t xml:space="preserve">1. Look at the picture</t>
  </si>
  <si>
    <t xml:space="preserve">This is the real line: how many people signed up for Race for Life each week for nearly three years. The tall spikes are spring. From August to December almost nobody signs up.</t>
  </si>
  <si>
    <t xml:space="preserve">Look closely at the quiet months. Even then a few hundred people sign up every week. They already know us. Many of them get our emails.</t>
  </si>
  <si>
    <t xml:space="preserve">Your job on this level is to guess how many people sign up in a week when there are no adverts and no sale. That is the first block of any model.</t>
  </si>
  <si>
    <t xml:space="preserve">2. Try: type in the blue cells</t>
  </si>
  <si>
    <t xml:space="preserve">People who sign up in a week with no adverts and no sale</t>
  </si>
  <si>
    <t xml:space="preserve">Look at the quiet autumn weeks. A number in the hundreds.</t>
  </si>
  <si>
    <t xml:space="preserve">3. Check</t>
  </si>
  <si>
    <t xml:space="preserve">Your number</t>
  </si>
  <si>
    <t xml:space="preserve">This level</t>
  </si>
  <si>
    <t xml:space="preserve">4. What you just learned</t>
  </si>
  <si>
    <t xml:space="preserve">Some people would sign up even if we did nothing. The model counts them first, before it gives any credit to adverts.</t>
  </si>
  <si>
    <t xml:space="preserve">Economists call this block the baseline. For Race for Life it is small: under a thousand a week. Almost every other sign-up was caused by something we did.</t>
  </si>
  <si>
    <t xml:space="preserve">Wave 1 found this block came from two things: people who already consider Cancer Research UK, and our own emails.</t>
  </si>
  <si>
    <t xml:space="preserve">Race for Life has a small base of a few hundred sign-ups a week. Nearly every other sign-up was caused by something we did.</t>
  </si>
  <si>
    <t xml:space="preserve">Show the answer? Try a few numbers first.</t>
  </si>
  <si>
    <t xml:space="preserve">No</t>
  </si>
  <si>
    <t xml:space="preserve">Wave 1 answer: sign-ups a week</t>
  </si>
  <si>
    <t xml:space="preserve">Next</t>
  </si>
  <si>
    <t xml:space="preserve">Go to Level 2. Some blocks pull sign-ups down, not up.</t>
  </si>
  <si>
    <t xml:space="preserve">Level 2: A dearer entry fee and a shut sign-up window cost sign-ups</t>
  </si>
  <si>
    <t xml:space="preserve">The brakes. Blocks can pull down as well as push up.</t>
  </si>
  <si>
    <t xml:space="preserve">Some things push sign-ups up. Some pull them down. The price of entry pulls down. So does the sign-up window being shut in the autumn.</t>
  </si>
  <si>
    <t xml:space="preserve">A model needs the pulling-down blocks too. Without them it would give the adverts credit for sign-ups that price and timing decided.</t>
  </si>
  <si>
    <t xml:space="preserve">Your line will dip below zero in the quiet months after this level. That is fine. The sale and the adverts will lift it back. A model is only judged when every block is in.</t>
  </si>
  <si>
    <t xml:space="preserve">Sign-ups lost in a typical week to price and the shut window</t>
  </si>
  <si>
    <t xml:space="preserve">About the same size as the regulars, pulling the other way.</t>
  </si>
  <si>
    <t xml:space="preserve">Drivers can be negative. A dearer entry fee and a shut window both cost sign-ups, and the model measures how many.</t>
  </si>
  <si>
    <t xml:space="preserve">Economists call these negative drivers. Price is the classic one. In 2025 entry fees were 12% lower on average, and Wave 1 found that added about 2,500 sign-ups.</t>
  </si>
  <si>
    <t xml:space="preserve">Wave 1's price block also does a second job: it tells the model that sign-ups are open in spring and closed in autumn.</t>
  </si>
  <si>
    <t xml:space="preserve">Price pulls sign-ups down. The model measures the brake as well as the accelerator, or it would over-credit the adverts.</t>
  </si>
  <si>
    <t xml:space="preserve">Wave 1 answer: sign-ups lost a week</t>
  </si>
  <si>
    <t xml:space="preserve">Go to Level 3. The tall spikes are sale weeks.</t>
  </si>
  <si>
    <t xml:space="preserve">Level 3: A sale week brings in thousands, and some of them were coming anyway</t>
  </si>
  <si>
    <t xml:space="preserve">The sale. The biggest single block, with a twist.</t>
  </si>
  <si>
    <t xml:space="preserve">Look at the tall spikes on the real line. Every one is a discount week. Sales are the biggest single thing that moves sign-ups.</t>
  </si>
  <si>
    <t xml:space="preserve">Now look at the week after a sale. It dips. Some people who would have signed up next week signed up early to get the deal.</t>
  </si>
  <si>
    <t xml:space="preserve">Type how many extra sign-ups a typical sale week brings. The model already knows which weeks were sale weeks and that the end-of-quarter sales were about twice as strong.</t>
  </si>
  <si>
    <t xml:space="preserve">Extra sign-ups in a typical sale week</t>
  </si>
  <si>
    <t xml:space="preserve">How tall is a spike above the weeks around it? Thousands.</t>
  </si>
  <si>
    <t xml:space="preserve">Pattern explained so far</t>
  </si>
  <si>
    <t xml:space="preserve">Target for this level</t>
  </si>
  <si>
    <t xml:space="preserve">A sale adds sign-ups. It also moves some sign-ups earlier. The model counts the dip after the sale so it does not over-credit the sale.</t>
  </si>
  <si>
    <t xml:space="preserve">Economists call the early sign-ups pull-forward. Wave 1 added it after the first results, and it made the media numbers more honest.</t>
  </si>
  <si>
    <t xml:space="preserve">Discount windows explained 21% of 2025 sign-ups. That is the biggest block after the adverts.</t>
  </si>
  <si>
    <t xml:space="preserve">Sale weeks drove a fifth of sign-ups. The dip after each sale is real, and the model counts it.</t>
  </si>
  <si>
    <t xml:space="preserve">Wave 1 answer: extra sign-ups in a sale week</t>
  </si>
  <si>
    <t xml:space="preserve">Go to Level 4. Now the adverts, and the kettle.</t>
  </si>
  <si>
    <t xml:space="preserve">Level 4: Adverts keep working for weeks after they stop, like a kettle stays hot</t>
  </si>
  <si>
    <t xml:space="preserve">The kettle. Two numbers: how much, and how long the memory lasts.</t>
  </si>
  <si>
    <t xml:space="preserve">The grey bars on the lower picture are what we spent each week on Race for Life adverts: TV, radio, online video, posters, social and the rest.</t>
  </si>
  <si>
    <t xml:space="preserve">Sign-ups do not jump only in the week an advert runs. They carry on for weeks afterwards. Think of a kettle. Switch it off and the water stays hot for a while.</t>
  </si>
  <si>
    <t xml:space="preserve">Two numbers to type. First, how many sign-ups every £1,000 brings in total, counting all the weeks it keeps working. Second, the memory: how much of last week's effect is still there this week.</t>
  </si>
  <si>
    <t xml:space="preserve">Sign-ups from every £1,000 spent, counting every week it keeps working</t>
  </si>
  <si>
    <t xml:space="preserve">Somewhere between 5 and 30.</t>
  </si>
  <si>
    <t xml:space="preserve">Memory: how much of last week's effect is still there this week</t>
  </si>
  <si>
    <t xml:space="preserve">0% means the advert only works in its own week. 90% means it fades very slowly. Pick from the list.</t>
  </si>
  <si>
    <t xml:space="preserve">That is this much sponsorship income for every £1 spent</t>
  </si>
  <si>
    <t xml:space="preserve">Wave 1 counts about £90 of sponsorship per sign-up. Their figure: about £1.50 across the three years, £1.66 in 2025 alone.</t>
  </si>
  <si>
    <t xml:space="preserve">Sign-ups per £1,000</t>
  </si>
  <si>
    <t xml:space="preserve">Memory</t>
  </si>
  <si>
    <t xml:space="preserve">Adverts work in the week they run and keep working after. The memory number says how fast that fades. Economists call the fading adstock.</t>
  </si>
  <si>
    <t xml:space="preserve">Judge a campaign in the week it airs and you miss most of what it earned. Wave 1 found the short-term effect lasts up to six months.</t>
  </si>
  <si>
    <t xml:space="preserve">Wave 1 found Race for Life adverts returned £1.66 of sponsorship income for every £1 in 2025, and about half of all sign-ups came from them.</t>
  </si>
  <si>
    <t xml:space="preserve">Our adverts keep raising sign-ups for weeks after they stop. Judge a campaign in week one and you miss most of what it earned.</t>
  </si>
  <si>
    <t xml:space="preserve">Wave 1 answer: sign-ups per £1,000</t>
  </si>
  <si>
    <t xml:space="preserve">Wave 1 answer: memory</t>
  </si>
  <si>
    <t xml:space="preserve">Go to Level 5. Adverts for other causes help Race for Life too.</t>
  </si>
  <si>
    <t xml:space="preserve">Level 5: Adverts for other causes water the Race for Life field too</t>
  </si>
  <si>
    <t xml:space="preserve">The halo. Rain on one field waters the next field.</t>
  </si>
  <si>
    <t xml:space="preserve">Committed Giving adverts ask people to give monthly. Legacy adverts ask people to remember us in their will. Brand adverts just say who we are. None of them mentions Race for Life.</t>
  </si>
  <si>
    <t xml:space="preserve">Yet when they ran, Race for Life sign-ups rose. Rain on one field waters the next field too.</t>
  </si>
  <si>
    <t xml:space="preserve">Three numbers to type: how many Race for Life sign-ups every £1,000 of each kind of advert brings. They are small per pound. The spend is large, so they add up.</t>
  </si>
  <si>
    <t xml:space="preserve">Committed Giving adverts: Race for Life sign-ups per £1,000</t>
  </si>
  <si>
    <t xml:space="preserve">Small. Under 10.</t>
  </si>
  <si>
    <t xml:space="preserve">Legacy adverts: Race for Life sign-ups per £1,000</t>
  </si>
  <si>
    <t xml:space="preserve">Brand adverts: Race for Life sign-ups per £1,000</t>
  </si>
  <si>
    <t xml:space="preserve">Smaller still. Under 5.</t>
  </si>
  <si>
    <t xml:space="preserve">Committed Giving</t>
  </si>
  <si>
    <t xml:space="preserve">Legacy</t>
  </si>
  <si>
    <t xml:space="preserve">Brand</t>
  </si>
  <si>
    <t xml:space="preserve">Adverts for one product help another. Economists call this a halo. It is measured from the data, not assumed.</t>
  </si>
  <si>
    <t xml:space="preserve">In 2023 the Committed Giving halo was 13% of Race for Life sign-ups. By 2025 it was 5%, because the spend was cut by 42%.</t>
  </si>
  <si>
    <t xml:space="preserve">The halo is smaller than it first looked. AP rebuilt it after feedback that it felt too big, and now measure Committed Giving as one block rather than channel by channel.</t>
  </si>
  <si>
    <t xml:space="preserve">Committed Giving adverts were quietly filling Race for Life too. When we cut them, Race for Life felt it.</t>
  </si>
  <si>
    <t xml:space="preserve">Wave 1 answer: Committed Giving per £1,000</t>
  </si>
  <si>
    <t xml:space="preserve">Wave 1 answer: Legacy per £1,000</t>
  </si>
  <si>
    <t xml:space="preserve">Wave 1 answer: Brand per £1,000</t>
  </si>
  <si>
    <t xml:space="preserve">What if: the 2025 cut</t>
  </si>
  <si>
    <t xml:space="preserve">In 2025 we spent 42% less on Committed Giving adverts than in 2024. Your model puts a number on what that cost Race for Life, January to October, against the same months of 2024.</t>
  </si>
  <si>
    <t xml:space="preserve">Race for Life sign-ups lost, your model</t>
  </si>
  <si>
    <t xml:space="preserve">Race for Life sign-ups lost, Wave 1</t>
  </si>
  <si>
    <t xml:space="preserve">AP's waterfall, 2024 to 2025. Second biggest cause of the 7% fall, after the Race for Life cut itself.</t>
  </si>
  <si>
    <t xml:space="preserve">Now try: cut Committed Giving adverts by a further</t>
  </si>
  <si>
    <t xml:space="preserve">Type a percentage of the 2025 spend.</t>
  </si>
  <si>
    <t xml:space="preserve">Race for Life sign-ups that would go with it, a full year</t>
  </si>
  <si>
    <t xml:space="preserve">Based on 2025 spend of about £3.2m and your halo number. Sponsorship at £90 a sign-up.</t>
  </si>
  <si>
    <t xml:space="preserve">Go to Level 6. Split the Race for Life adverts into channels and meet the catch.</t>
  </si>
  <si>
    <t xml:space="preserve">Level 6: When channels run in the same weeks, the model is sure about the group and less sure about each one</t>
  </si>
  <si>
    <t xml:space="preserve">Who sang louder. Five numbers, and the honest catch in every media model.</t>
  </si>
  <si>
    <t xml:space="preserve">In Level 4 you treated all Race for Life adverts as one block. Now split them into five: TV, online video, radio, posters, and digital and social together.</t>
  </si>
  <si>
    <t xml:space="preserve">Here is the catch. Most of them run in the same weeks. Two people singing the same note: you hear the sound clearly but cannot tell who is louder.</t>
  </si>
  <si>
    <t xml:space="preserve">Your Level 4 answer is the guide. AP do exactly this: measure the group first, then split it using the weeks where the channels differ. The checks here are looser on purpose.</t>
  </si>
  <si>
    <t xml:space="preserve">TV: sign-ups per £1,000</t>
  </si>
  <si>
    <t xml:space="preserve">Online video: sign-ups per £1,000</t>
  </si>
  <si>
    <t xml:space="preserve">Radio: sign-ups per £1,000</t>
  </si>
  <si>
    <t xml:space="preserve">Posters: sign-ups per £1,000</t>
  </si>
  <si>
    <t xml:space="preserve">TV</t>
  </si>
  <si>
    <t xml:space="preserve">Online video</t>
  </si>
  <si>
    <t xml:space="preserve">Radio</t>
  </si>
  <si>
    <t xml:space="preserve">Posters</t>
  </si>
  <si>
    <t xml:space="preserve">Digital, social and the rest</t>
  </si>
  <si>
    <t xml:space="preserve">Pattern explained with the split</t>
  </si>
  <si>
    <t xml:space="preserve">Channels that air together are hard to tell apart. Economists call this multicollinearity. It is not a fault in the model. It is a fact about the media plan.</t>
  </si>
  <si>
    <t xml:space="preserve">AP handle it by measuring the group first, then splitting it within a range. That is why the group number is firm and each channel comes with a range around it.</t>
  </si>
  <si>
    <t xml:space="preserve">Once all five dials are typed, the game uses your split instead of your Level 4 block. Your pattern score barely moves. That is the lesson: the split changes the story, not the fit.</t>
  </si>
  <si>
    <t xml:space="preserve">The group number is firm. The channel split is softer. Quote the range when a decision is close.</t>
  </si>
  <si>
    <t xml:space="preserve">Wave 1 answers: TV, video, radio, posters, digital per £1,000</t>
  </si>
  <si>
    <t xml:space="preserve">How sure can we be? Three things the data tells us</t>
  </si>
  <si>
    <t xml:space="preserve">How often the channels move together. A number near 1 means they rise and fall in the same weeks, so the model struggles to tell them apart. Near 0 means they take turns, which is what a model needs.</t>
  </si>
  <si>
    <t xml:space="preserve">TV and online video</t>
  </si>
  <si>
    <t xml:space="preserve">TV and radio</t>
  </si>
  <si>
    <t xml:space="preserve">Radio and posters</t>
  </si>
  <si>
    <t xml:space="preserve">Online video and digital</t>
  </si>
  <si>
    <t xml:space="preserve">Race for Life TV stopped after 2024. That gave the model two seasons with TV and one without. Changes like that are what let a model tell channels apart. A channel that never changes cannot be measured.</t>
  </si>
  <si>
    <t xml:space="preserve">How sure AP were, from their own tests. TV, online video, posters, radio and regional as a group: sure (t-stat 3.1, where above 2 means the link is very unlikely to be luck). Social, search, display, audio and YouTube as a group: very sure (4.6). Posters on their own: the weakest channel, returning about 60p per £1 with a wide range either side.</t>
  </si>
  <si>
    <t xml:space="preserve">Go to Level 7. Is your model any good?</t>
  </si>
  <si>
    <t xml:space="preserve">Level 7: A good model explains the pattern, misses at random and predicts weeks it never saw</t>
  </si>
  <si>
    <t xml:space="preserve">Is it any good? Four questions, your score beside Wave 1's. Nothing to type.</t>
  </si>
  <si>
    <t xml:space="preserve">Your finished model sits on top of the real line. Where the two lines touch, your model has explained that week. Where they part, something is missing or too big.</t>
  </si>
  <si>
    <t xml:space="preserve">The lower picture shows the misses week by week. A good model misses a little every week and at random. A model that misses in long runs has forgotten a block.</t>
  </si>
  <si>
    <t xml:space="preserve">2. Check: your model against Wave 1</t>
  </si>
  <si>
    <t xml:space="preserve">The test</t>
  </si>
  <si>
    <t xml:space="preserve">Yours</t>
  </si>
  <si>
    <t xml:space="preserve">Wave 1</t>
  </si>
  <si>
    <t xml:space="preserve">Verdict</t>
  </si>
  <si>
    <t xml:space="preserve">What it means in plain words</t>
  </si>
  <si>
    <t xml:space="preserve">Pattern explained (R squared)</t>
  </si>
  <si>
    <t xml:space="preserve">How much of the weekly up-and-down your model reproduces. AP's guide is above 85%. Wave 1 reached 94%.</t>
  </si>
  <si>
    <t xml:space="preserve">Typical weekly miss (MAPE, weeks over 2,000 sign-ups)</t>
  </si>
  <si>
    <t xml:space="preserve">On an average season week, how far your number is from the real one. Quiet weeks are left out, as AP did, because a miss of 50 on a week of 100 looks like 50%. AP's guide is under 15%. Wave 1 sits at 28%, which AP accept because the seasonal peaks are so sharp.</t>
  </si>
  <si>
    <t xml:space="preserve">Are the misses random? (Durbin-Watson)</t>
  </si>
  <si>
    <t xml:space="preserve">Near 2 means the misses are random noise. Well below 1 means the model keeps missing in runs, usually a seasonal block it has not got. Wave 1 scored 1.51. The game's own answer scores about 1.0 because its memory curves are simpler than AP's.</t>
  </si>
  <si>
    <t xml:space="preserve">Fit on 2023 to 2024 (the weeks you tuned on)</t>
  </si>
  <si>
    <t xml:space="preserve">not shown</t>
  </si>
  <si>
    <t xml:space="preserve">The pattern test on the first two years only.</t>
  </si>
  <si>
    <t xml:space="preserve">Holdout: fit on 2025 (weeks a good model predicts)</t>
  </si>
  <si>
    <t xml:space="preserve">A model can copy the past and still be wrong about the future. If the first two years are green and 2025 is red, the model copied the noise, not the pattern. AP test this with holdouts.</t>
  </si>
  <si>
    <t xml:space="preserve">Unexplained change, 2024 to 2025 (January to October)</t>
  </si>
  <si>
    <t xml:space="preserve">Sign-ups fell 7% in 2025. This is the part of that fall your model cannot pin on any block. Wave 1 left 1.4% unexplained, well inside AP's tolerance. Every model has some.</t>
  </si>
  <si>
    <t xml:space="preserve">3. What you just learned</t>
  </si>
  <si>
    <t xml:space="preserve">Four questions judge any model. Does it explain most of the weekly up-and-down? How far off is a typical week? Are the misses random? Does it predict weeks it was not shown?</t>
  </si>
  <si>
    <t xml:space="preserve">Economists call these R squared, MAPE, Durbin-Watson and the holdout test. Wave 1 scored 94%, 28%, 1.51 and left 1.4% of the 2025 fall unexplained. You can now read that line and know what it means.</t>
  </si>
  <si>
    <t xml:space="preserve">Honesty note. The game's own answer, with every dial set to Wave 1's numbers, scores about 89% on pattern explained and 30% on weekly miss. It sits a little under Wave 1 because the game uses one simple memory curve per block where AP fit a curve per channel. The blocks and their sizes are Wave 1's.</t>
  </si>
  <si>
    <t xml:space="preserve">A good model explains most of the weekly pattern, misses at random, predicts weeks it never saw and leaves little of the year-on-year change unexplained. Wave 1 does all four.</t>
  </si>
  <si>
    <t xml:space="preserve">Show Wave 1's model on the picture?</t>
  </si>
  <si>
    <t xml:space="preserve">Go to Level 8. Where should the next pound go?</t>
  </si>
  <si>
    <t xml:space="preserve">Level 8: The average pound returned £1.66 but the last pound returned 82p</t>
  </si>
  <si>
    <t xml:space="preserve">The next pound. Move money between channels and see what happens. Same total budget.</t>
  </si>
  <si>
    <t xml:space="preserve">The third biscuit never tastes like the first. The first £100,000 on a channel finds the keenest people. The next £100,000 has to persuade harder. So each extra pound earns a little less than the one before.</t>
  </si>
  <si>
    <t xml:space="preserve">This table is the real 2025 Race for Life plan, January to October, with the return per £1 that Wave 1 measured for each channel. Type a new spend for any channel in the blue cells. Keep the total the same. Try to beat the 2025 plan.</t>
  </si>
  <si>
    <t xml:space="preserve">2. Try: move the money</t>
  </si>
  <si>
    <t xml:space="preserve">Channel</t>
  </si>
  <si>
    <t xml:space="preserve">2025 spend £k</t>
  </si>
  <si>
    <t xml:space="preserve">Wave 1 return per £1</t>
  </si>
  <si>
    <t xml:space="preserve">Your spend £k</t>
  </si>
  <si>
    <t xml:space="preserve">Lowest allowed</t>
  </si>
  <si>
    <t xml:space="preserve">Highest allowed</t>
  </si>
  <si>
    <t xml:space="preserve">Plan in use £k</t>
  </si>
  <si>
    <t xml:space="preserve">Sign-ups</t>
  </si>
  <si>
    <t xml:space="preserve">Income £k</t>
  </si>
  <si>
    <t xml:space="preserve">Average return per £1</t>
  </si>
  <si>
    <t xml:space="preserve">Last-pound return per £1</t>
  </si>
  <si>
    <t xml:space="preserve">AP's plan £k</t>
  </si>
  <si>
    <t xml:space="preserve">DRTV</t>
  </si>
  <si>
    <t xml:space="preserve">Online video (VOD)</t>
  </si>
  <si>
    <t xml:space="preserve">Paid social</t>
  </si>
  <si>
    <t xml:space="preserve">Regional</t>
  </si>
  <si>
    <t xml:space="preserve">Posters (OOH)</t>
  </si>
  <si>
    <t xml:space="preserve">Digital audio</t>
  </si>
  <si>
    <t xml:space="preserve">Display</t>
  </si>
  <si>
    <t xml:space="preserve">Paid search</t>
  </si>
  <si>
    <t xml:space="preserve">YouTube</t>
  </si>
  <si>
    <t xml:space="preserve">Telemarketing</t>
  </si>
  <si>
    <t xml:space="preserve">Direct mail</t>
  </si>
  <si>
    <t xml:space="preserve">Door drops</t>
  </si>
  <si>
    <t xml:space="preserve">Total</t>
  </si>
  <si>
    <t xml:space="preserve">Sign-ups use a simple curve: double the spend and you get 41% more sign-ups, not double. Each channel's curve is set so that the 2025 plan gives exactly Wave 1's measured return. AP's real curves differ by channel, so their optimised plan (last column) gained 12,300 sign-ups with them and only about 600 here. The direction is the lesson: money moves towards the channels whose last pound still earns the most.</t>
  </si>
  <si>
    <t xml:space="preserve">Whose plan is on the picture?</t>
  </si>
  <si>
    <t xml:space="preserve">Mine</t>
  </si>
  <si>
    <t xml:space="preserve">Switch to AP's plan to see where they moved the money: out of radio, posters, regional and video, into DRTV, audio and display.</t>
  </si>
  <si>
    <t xml:space="preserve">Budget check</t>
  </si>
  <si>
    <t xml:space="preserve">Sign-ups from the 2025 plan</t>
  </si>
  <si>
    <t xml:space="preserve">Wave 1: 122,189 Race for Life sign-ups from Race for Life media in 2025 (this table covers the thirteen channels with a 2025 return).</t>
  </si>
  <si>
    <t xml:space="preserve">Sign-ups from the plan in use</t>
  </si>
  <si>
    <t xml:space="preserve">Extra sign-ups you found</t>
  </si>
  <si>
    <t xml:space="preserve">AP's optimiser found 12,300 extra sign-ups (£1.12m) on the same budget with their curves. The most this table can find is about 2,000. Beat 1,000 and you have the idea.</t>
  </si>
  <si>
    <t xml:space="preserve">Extra income, £k</t>
  </si>
  <si>
    <t xml:space="preserve">Each extra pound earns a little less than the one before. Economists call this diminishing returns. The return on the very last pound is the marginal return.</t>
  </si>
  <si>
    <t xml:space="preserve">Wave 1 found the average pound of Race for Life media returned £1.66 in 2025, but the last pound returned 82p. Growth decisions need the last-pound number, not the average. Moving money between channels was worth about £1.1m on the same budget.</t>
  </si>
  <si>
    <t xml:space="preserve">Posters returned 60p per £1 in the short term, the weakest channel. Over three years, once the slow brand effect is counted, every channel earns a little more. That is Level 9.</t>
  </si>
  <si>
    <t xml:space="preserve">The average pound returned £1.66 but the last pound returned 82p. Moving money between channels is worth about £1.1m before we add a single pound.</t>
  </si>
  <si>
    <t xml:space="preserve">Go to Level 9. The long game: brand, consideration and Committed Giving.</t>
  </si>
  <si>
    <t xml:space="preserve">Level 9: Some of today's sign-ups come from adverts people saw years ago</t>
  </si>
  <si>
    <t xml:space="preserve">The long game. Brand consideration, and why Committed Giving looks so cheap on paper.</t>
  </si>
  <si>
    <t xml:space="preserve">The line on the picture is brand consideration: the share of people who say they would consider supporting Cancer Research UK. It moves slowly. The bars are everything we spent on media each week, across every cause.</t>
  </si>
  <si>
    <t xml:space="preserve">Wave 1 traced 18.8% of today's consideration back to past media. That stock is our brand equity. It is slipping by about a quarter of a point a year.</t>
  </si>
  <si>
    <t xml:space="preserve">Consideration then turns into sign-ups over the following three years. That is the long-term effect, and it sits on top of the short-term returns you met in Level 8.</t>
  </si>
  <si>
    <t xml:space="preserve">2. Try: the long-term multiplier</t>
  </si>
  <si>
    <t xml:space="preserve">Extra long-term media, £ millions a year</t>
  </si>
  <si>
    <t xml:space="preserve">Wave 1: each extra £1m lifts consideration by about 0.4 points, over one to two years.</t>
  </si>
  <si>
    <t xml:space="preserve">Consideration gained, percentage points</t>
  </si>
  <si>
    <t xml:space="preserve">Against the yearly drift of</t>
  </si>
  <si>
    <t xml:space="preserve">Consideration falls about 0.25 points a year without extra investment.</t>
  </si>
  <si>
    <t xml:space="preserve">Race for Life media: £1 returns in the short term</t>
  </si>
  <si>
    <t xml:space="preserve">Race for Life media: £1 returns over three years</t>
  </si>
  <si>
    <t xml:space="preserve">Wave 1 multiplier 1.21 for Race for Life, 1.04 for Committed Giving. Posters and TV carry the biggest long-term share.</t>
  </si>
  <si>
    <t xml:space="preserve">3. Committed Giving: why 9p per £1 is not the whole story</t>
  </si>
  <si>
    <t xml:space="preserve">Wave 1 also modelled new Committed Givers, the people who start a monthly gift. Marketing drove about 73% of them. Yet the return looks tiny: 9p to 20p per £1.</t>
  </si>
  <si>
    <t xml:space="preserve">The reason is what the model counts. It counts only brand new givers, at roughly £300 of income each in the modelled window. It does not count the years of giving that follow, and it does not count the givers that adverts stop from leaving.</t>
  </si>
  <si>
    <t xml:space="preserve">FY23/24</t>
  </si>
  <si>
    <t xml:space="preserve">FY24/25</t>
  </si>
  <si>
    <t xml:space="preserve">FY25/26 to Oct</t>
  </si>
  <si>
    <t xml:space="preserve">New Committed Givers</t>
  </si>
  <si>
    <t xml:space="preserve">Of which marketing drove</t>
  </si>
  <si>
    <t xml:space="preserve">Committed Giving media spend, £m</t>
  </si>
  <si>
    <t xml:space="preserve">Return per £1 on that spend, short term</t>
  </si>
  <si>
    <t xml:space="preserve">Your assumption: years a new giver keeps giving</t>
  </si>
  <si>
    <t xml:space="preserve">Not a Wave 1 finding. Your own guess, to see what it does to the number.</t>
  </si>
  <si>
    <t xml:space="preserve">FY25/26 return per £1 if every year counted the same</t>
  </si>
  <si>
    <t xml:space="preserve">A simple multiplication, to show why AP say the Committed Giving return is understated. Wave 2 will measure it properly.</t>
  </si>
  <si>
    <t xml:space="preserve">Adverts do two jobs. They raise sign-ups now, and they raise the share of people who would consider us at all. Economists call the second job brand equity, and Wave 1 measures it through consideration.</t>
  </si>
  <si>
    <t xml:space="preserve">Counting the long-term effect takes Race for Life media from £1.66 to £2.01 per pound. Committed Giving looks cheap because the model only counts the first gift of brand new givers.</t>
  </si>
  <si>
    <t xml:space="preserve">Cutting Committed Giving media by nearly half cost about 23% of new givers in FY25/26, and inflation cost about the same again. Two separate causes, one falling line.</t>
  </si>
  <si>
    <t xml:space="preserve">Nearly a fifth of the people who consider us do so because of adverts they saw years ago. The short-term return is the floor, not the ceiling.</t>
  </si>
  <si>
    <t xml:space="preserve">You have built the whole model. Go to Words for the ladder of every term, or back to Start here to see your progress.</t>
  </si>
  <si>
    <t xml:space="preserve">Words: every term, climbed one rung at a time</t>
  </si>
  <si>
    <t xml:space="preserve">The everyday picture first, then what it meant in Wave 1, then the sentence you can say out loud. The word itself comes last.</t>
  </si>
  <si>
    <t xml:space="preserve">The word</t>
  </si>
  <si>
    <t xml:space="preserve">The everyday picture</t>
  </si>
  <si>
    <t xml:space="preserve">What it meant in Wave 1</t>
  </si>
  <si>
    <t xml:space="preserve">Econometrics (Level 1)</t>
  </si>
  <si>
    <t xml:space="preserve">A detective with three years of weekly till receipts, working out which adverts raised the money. The detective infers. It never witnesses.</t>
  </si>
  <si>
    <t xml:space="preserve">Analytic Partners read 148 weeks of Race for Life sign-ups against everything that happened each week, and measured what each thing was worth.</t>
  </si>
  <si>
    <t xml:space="preserve">Econometrics is a detective reading three years of weekly receipts to work out which pounds raised the sign-ups.</t>
  </si>
  <si>
    <t xml:space="preserve">Baseline (Level 1)</t>
  </si>
  <si>
    <t xml:space="preserve">The customers who walk into a shop because it is there and open. The sign-ups we would still get with every advert switched off.</t>
  </si>
  <si>
    <t xml:space="preserve">Small for Race for Life: a few hundred a week, from people who already consider us and from our own emails. AP say the true base is close to zero.</t>
  </si>
  <si>
    <t xml:space="preserve">The base is what we would get with the adverts off. Everything above it is what we caused.</t>
  </si>
  <si>
    <t xml:space="preserve">Driver (Levels 1 to 6)</t>
  </si>
  <si>
    <t xml:space="preserve">Anything that can move sign-ups up or down. An advert, a sale, the price, the time of year, even inflation.</t>
  </si>
  <si>
    <t xml:space="preserve">AP tested 18 marketing drivers and six non-marketing ones and kept those with a reliable link. Weather, PR and website outages had none.</t>
  </si>
  <si>
    <t xml:space="preserve">A driver is anything the model found that moves sign-ups.</t>
  </si>
  <si>
    <t xml:space="preserve">Negative driver (Level 2)</t>
  </si>
  <si>
    <t xml:space="preserve">A brake. A dearer ticket means fewer people buy it.</t>
  </si>
  <si>
    <t xml:space="preserve">Price and the closed autumn window pull sign-ups down. A 12% lower entry fee in 2025 added about 2,500 sign-ups.</t>
  </si>
  <si>
    <t xml:space="preserve">Price pulls sign-ups down, and the model measures the brake as well as the accelerator.</t>
  </si>
  <si>
    <t xml:space="preserve">Response (Levels 1 to 6)</t>
  </si>
  <si>
    <t xml:space="preserve">The exchange rate. How many sign-ups one unit of a driver buys: one sale week, or £1,000 of adverts.</t>
  </si>
  <si>
    <t xml:space="preserve">This is the number you type on each level. AP estimate it from the weekly data, with a range either side.</t>
  </si>
  <si>
    <t xml:space="preserve">The response is the exchange rate between a driver and sign-ups.</t>
  </si>
  <si>
    <t xml:space="preserve">Pull-forward (Level 3)</t>
  </si>
  <si>
    <t xml:space="preserve">A January sale. People who were going to buy in February buy in January instead, so February is quiet.</t>
  </si>
  <si>
    <t xml:space="preserve">Fewer sign-ups in the weeks after a discount window closed. AP added this after the first results so that sales were not over-credited.</t>
  </si>
  <si>
    <t xml:space="preserve">Discounts bring sign-ups forward as well as adding new ones. The dip afterwards is real.</t>
  </si>
  <si>
    <t xml:space="preserve">Adstock (Level 4)</t>
  </si>
  <si>
    <t xml:space="preserve">A kettle. Switch it off and the water stays hot for a while. Media heat fades over weeks, not minutes.</t>
  </si>
  <si>
    <t xml:space="preserve">Each block has a memory. The short-term effect of Race for Life adverts lasts up to six months.</t>
  </si>
  <si>
    <t xml:space="preserve">Our adverts keep raising sign-ups for weeks after they stop, and the model measures how fast that fades.</t>
  </si>
  <si>
    <t xml:space="preserve">Incremental (Level 4)</t>
  </si>
  <si>
    <t xml:space="preserve">The part of the spike above the base. Only the sign-ups the advert caused, not the ones that happened while it was on.</t>
  </si>
  <si>
    <t xml:space="preserve">About half of Race for Life sign-ups were incremental to Race for Life media in 2025.</t>
  </si>
  <si>
    <t xml:space="preserve">Incremental means the sign-ups the advert caused, not the sign-ups that happened while it was on.</t>
  </si>
  <si>
    <t xml:space="preserve">ROI, return per £1 (Levels 4 and 8)</t>
  </si>
  <si>
    <t xml:space="preserve">Income earned per pound of adverts. £1.66 back for every £1 in.</t>
  </si>
  <si>
    <t xml:space="preserve">Sponsorship income only, about £90 per sign-up. Not entry fees, not Gift Aid, and only new sign-ups.</t>
  </si>
  <si>
    <t xml:space="preserve">Every £1 of Race for Life media returned £1.66 of sponsorship income in 2025.</t>
  </si>
  <si>
    <t xml:space="preserve">Halo (Level 5)</t>
  </si>
  <si>
    <t xml:space="preserve">Rain on one field waters the next field too. Adverts for one product raise sign-ups for another.</t>
  </si>
  <si>
    <t xml:space="preserve">Committed Giving media was 13% of Race for Life sign-ups in 2023 and 5% in 2025. Legacy media added 6 to 8%. Measured, not assumed.</t>
  </si>
  <si>
    <t xml:space="preserve">Committed Giving adverts were quietly filling Race for Life too. That is the halo.</t>
  </si>
  <si>
    <t xml:space="preserve">Multicollinearity (Level 6)</t>
  </si>
  <si>
    <t xml:space="preserve">Two people singing the same note. You hear the sound but cannot tell who is louder.</t>
  </si>
  <si>
    <t xml:space="preserve">Most Race for Life channels air in the same weeks. AP measure the group first, then split it using the weeks where channels differ.</t>
  </si>
  <si>
    <t xml:space="preserve">When channels air together the model is sure about the group and less sure about each channel.</t>
  </si>
  <si>
    <t xml:space="preserve">t-stat and p-value (Level 6)</t>
  </si>
  <si>
    <t xml:space="preserve">How confident we are that a link is real rather than luck. Above 2 means less than a 5% chance it is luck.</t>
  </si>
  <si>
    <t xml:space="preserve">Discounts scored 11.5. The Committed Giving halo scored 4.2. Brand consideration scored 0.96, which is why AP flag it as uncertain.</t>
  </si>
  <si>
    <t xml:space="preserve">A t-stat above two means the link is very unlikely to be luck.</t>
  </si>
  <si>
    <t xml:space="preserve">Confidence interval (Level 6)</t>
  </si>
  <si>
    <t xml:space="preserve">The range the true answer probably sits in. A forecast says 15 to 19 degrees, not 17.</t>
  </si>
  <si>
    <t xml:space="preserve">The Committed Giving halo is 0.002 to 0.004 sign-ups per pound: 2 to 4 per £1,000. Quote the range when a decision is close.</t>
  </si>
  <si>
    <t xml:space="preserve">Every result is a range, and the range is the honest answer.</t>
  </si>
  <si>
    <t xml:space="preserve">R squared (Level 7)</t>
  </si>
  <si>
    <t xml:space="preserve">How much of the weekly up-and-down the model reproduces. 100% would be a perfect copy.</t>
  </si>
  <si>
    <t xml:space="preserve">Wave 1 explains 94% of the pattern. AP's guide is above 85%.</t>
  </si>
  <si>
    <t xml:space="preserve">The model explains 94% of the weekly pattern in sign-ups.</t>
  </si>
  <si>
    <t xml:space="preserve">MAPE (Level 7)</t>
  </si>
  <si>
    <t xml:space="preserve">On an average week, how far the model is from the real number, as a percentage.</t>
  </si>
  <si>
    <t xml:space="preserve">28% on weeks with more than 2,000 sign-ups. Quiet weeks are left out because tiny weeks make percentages jump around.</t>
  </si>
  <si>
    <t xml:space="preserve">On an average season week the model is within about a quarter of the real number.</t>
  </si>
  <si>
    <t xml:space="preserve">Durbin-Watson (Level 7)</t>
  </si>
  <si>
    <t xml:space="preserve">A check that the misses are random scatter, not a pattern the model failed to spot. Near 2 is good.</t>
  </si>
  <si>
    <t xml:space="preserve">Wave 1 scored 1.51, acceptable. It tells the analysts whether something seasonal is still missing.</t>
  </si>
  <si>
    <t xml:space="preserve">It is a housekeeping check that the errors are random.</t>
  </si>
  <si>
    <t xml:space="preserve">Holdout test (Level 7)</t>
  </si>
  <si>
    <t xml:space="preserve">Hide the last few months, fit the model on the rest, then see if it predicts what you hid.</t>
  </si>
  <si>
    <t xml:space="preserve">The strongest proof a model works. AP use holdouts, bootstrapping and business sense checks together.</t>
  </si>
  <si>
    <t xml:space="preserve">A good model predicts weeks it was never shown.</t>
  </si>
  <si>
    <t xml:space="preserve">Unexplained (Level 7)</t>
  </si>
  <si>
    <t xml:space="preserve">The part of a year-on-year change no driver accounts for. Every model has some.</t>
  </si>
  <si>
    <t xml:space="preserve">1.4% of sign-ups in the 2024 to 2025 comparison, well inside AP's tolerance.</t>
  </si>
  <si>
    <t xml:space="preserve">The model left 1.4% unexplained, which is small.</t>
  </si>
  <si>
    <t xml:space="preserve">Diminishing returns (Level 8)</t>
  </si>
  <si>
    <t xml:space="preserve">The third biscuit never tastes like the first. It is a curve flattening, not a cliff.</t>
  </si>
  <si>
    <t xml:space="preserve">AP build a response curve per channel. The optimiser uses them to find the best spread of the same money.</t>
  </si>
  <si>
    <t xml:space="preserve">Each channel has a curve, and the next pound should go where the curve is still steep.</t>
  </si>
  <si>
    <t xml:space="preserve">Marginal ROI (Level 8)</t>
  </si>
  <si>
    <t xml:space="preserve">The return on the very last pound, not the average pound.</t>
  </si>
  <si>
    <t xml:space="preserve">In 2025 the last pound of Race for Life media returned 82p while the average pound returned £1.66.</t>
  </si>
  <si>
    <t xml:space="preserve">The average pound returned £1.66 but the last pound returned 82p, so adding budget needs care.</t>
  </si>
  <si>
    <t xml:space="preserve">Brand equity (Level 9)</t>
  </si>
  <si>
    <t xml:space="preserve">Reputation. It keeps working after you stop paying for it, and it drains slowly if you stop.</t>
  </si>
  <si>
    <t xml:space="preserve">18.8% of today's consideration traces back to past media. It slips 0.25 points a year. An extra £1m lifts it about 0.4 points.</t>
  </si>
  <si>
    <t xml:space="preserve">Nearly a fifth of the people who consider us do so because of adverts they saw years ago.</t>
  </si>
  <si>
    <t xml:space="preserve">Long-term multiplier (Level 9)</t>
  </si>
  <si>
    <t xml:space="preserve">The slow second job of an advert: making more people consider us at all, which turns into sign-ups over three years.</t>
  </si>
  <si>
    <t xml:space="preserve">1.21 for Race for Life media (£1.66 becomes £2.01) and 1.04 for Committed Giving. Posters and TV carry the biggest share.</t>
  </si>
  <si>
    <t xml:space="preserve">Counting the long-term effect takes Race for Life media from £1.66 to £2.01 per pound.</t>
  </si>
  <si>
    <t xml:space="preserve">Four pictures</t>
  </si>
  <si>
    <t xml:space="preserve">Each picture is one idea. The data under them is illustrative, built to show the shape, not Wave 1 figures.</t>
  </si>
  <si>
    <t xml:space="preserve">Data for the pictures (illustrative)</t>
  </si>
  <si>
    <t xml:space="preserve">Week</t>
  </si>
  <si>
    <t xml:space="preserve">Advert on air</t>
  </si>
  <si>
    <t xml:space="preserve">Sign-ups it causes (60% memory)</t>
  </si>
  <si>
    <t xml:space="preserve">Spend £k</t>
  </si>
  <si>
    <t xml:space="preserve">Income if every pound earned like the first</t>
  </si>
  <si>
    <t xml:space="preserve">Base</t>
  </si>
  <si>
    <t xml:space="preserve">Economy</t>
  </si>
  <si>
    <t xml:space="preserve">Sale</t>
  </si>
  <si>
    <t xml:space="preserve">Year</t>
  </si>
  <si>
    <t xml:space="preserve">Committed Giving media £m</t>
  </si>
  <si>
    <t xml:space="preserve">Race for Life sign-ups from its halo</t>
  </si>
  <si>
    <t xml:space="preserve">2023</t>
  </si>
  <si>
    <t xml:space="preserve">2024</t>
  </si>
  <si>
    <t xml:space="preserve">2025 to Oct</t>
  </si>
  <si>
    <t xml:space="preserve">Under the bonnet: every weekly number and every formula the game uses. Nothing is hidden.</t>
  </si>
  <si>
    <t xml:space="preserve">Columns A to D and the AP columns are Analytic Partners' Wave 1 weekly figures, read from the charts in their July 2026 results deck. Everything else is a formula that points at the blue cells on the level tabs. Click any cell to see how it is built. Spend is in thousands of pounds.</t>
  </si>
  <si>
    <t xml:space="preserve">Shape columns: AP's weekly line for that block divided by its typical week, so that your dial times the shape gives your block. Adstock: this week's spend plus memory times last week's total.</t>
  </si>
  <si>
    <t xml:space="preserve">Week starting</t>
  </si>
  <si>
    <t xml:space="preserve">Month</t>
  </si>
  <si>
    <t xml:space="preserve">Real sign-ups</t>
  </si>
  <si>
    <t xml:space="preserve">Shape: regulars</t>
  </si>
  <si>
    <t xml:space="preserve">Shape: brakes</t>
  </si>
  <si>
    <t xml:space="preserve">Shape: sale</t>
  </si>
  <si>
    <t xml:space="preserve">RFL adverts £k</t>
  </si>
  <si>
    <t xml:space="preserve">RFL adstock</t>
  </si>
  <si>
    <t xml:space="preserve">Committed Giving adverts £k</t>
  </si>
  <si>
    <t xml:space="preserve">Legacy adverts £k</t>
  </si>
  <si>
    <t xml:space="preserve">Brand adverts £k</t>
  </si>
  <si>
    <t xml:space="preserve">Brand adstock</t>
  </si>
  <si>
    <t xml:space="preserve">TV £k</t>
  </si>
  <si>
    <t xml:space="preserve">Online video £k</t>
  </si>
  <si>
    <t xml:space="preserve">Radio £k</t>
  </si>
  <si>
    <t xml:space="preserve">Posters £k</t>
  </si>
  <si>
    <t xml:space="preserve">Digital and rest £k</t>
  </si>
  <si>
    <t xml:space="preserve">TV adstock</t>
  </si>
  <si>
    <t xml:space="preserve">Online video adstock</t>
  </si>
  <si>
    <t xml:space="preserve">Radio adstock</t>
  </si>
  <si>
    <t xml:space="preserve">Posters adstock</t>
  </si>
  <si>
    <t xml:space="preserve">Digital adstock</t>
  </si>
  <si>
    <t xml:space="preserve">Your block 1: regulars</t>
  </si>
  <si>
    <t xml:space="preserve">Your block 2: brakes</t>
  </si>
  <si>
    <t xml:space="preserve">Your block 3: sale</t>
  </si>
  <si>
    <t xml:space="preserve">Your block 4: RFL adverts</t>
  </si>
  <si>
    <t xml:space="preserve">Your block 5: CG halo</t>
  </si>
  <si>
    <t xml:space="preserve">Your block 5: Legacy halo</t>
  </si>
  <si>
    <t xml:space="preserve">Your block 5: Brand adverts</t>
  </si>
  <si>
    <t xml:space="preserve">Your block 6: TV</t>
  </si>
  <si>
    <t xml:space="preserve">Your block 6: Online video</t>
  </si>
  <si>
    <t xml:space="preserve">Your block 6: Radio</t>
  </si>
  <si>
    <t xml:space="preserve">Your block 6: Posters</t>
  </si>
  <si>
    <t xml:space="preserve">Your block 6: Digital and rest</t>
  </si>
  <si>
    <t xml:space="preserve">Your model after level 1</t>
  </si>
  <si>
    <t xml:space="preserve">Your model after level 2</t>
  </si>
  <si>
    <t xml:space="preserve">Your model after level 3</t>
  </si>
  <si>
    <t xml:space="preserve">Your model after level 4</t>
  </si>
  <si>
    <t xml:space="preserve">Your model after level 5</t>
  </si>
  <si>
    <t xml:space="preserve">Your model after level 6</t>
  </si>
  <si>
    <t xml:space="preserve">Your final model</t>
  </si>
  <si>
    <t xml:space="preserve">AP block: regulars</t>
  </si>
  <si>
    <t xml:space="preserve">AP block: brakes</t>
  </si>
  <si>
    <t xml:space="preserve">AP block: sale</t>
  </si>
  <si>
    <t xml:space="preserve">AP block: RFL adverts</t>
  </si>
  <si>
    <t xml:space="preserve">AP block: CG halo</t>
  </si>
  <si>
    <t xml:space="preserve">AP block: Legacy halo</t>
  </si>
  <si>
    <t xml:space="preserve">AP block: Brand adverts</t>
  </si>
  <si>
    <t xml:space="preserve">AP block: TV</t>
  </si>
  <si>
    <t xml:space="preserve">AP block: Online video</t>
  </si>
  <si>
    <t xml:space="preserve">AP block: Radio</t>
  </si>
  <si>
    <t xml:space="preserve">AP block: Posters</t>
  </si>
  <si>
    <t xml:space="preserve">AP block: Digital and rest</t>
  </si>
  <si>
    <t xml:space="preserve">Wave 1 model</t>
  </si>
  <si>
    <t xml:space="preserve">Wave 1 after level 1</t>
  </si>
  <si>
    <t xml:space="preserve">Wave 1 after level 2</t>
  </si>
  <si>
    <t xml:space="preserve">Wave 1 after level 3</t>
  </si>
  <si>
    <t xml:space="preserve">Wave 1 after level 4</t>
  </si>
  <si>
    <t xml:space="preserve">Wave 1 after level 5</t>
  </si>
  <si>
    <t xml:space="preserve">Wave 1 after level 6</t>
  </si>
  <si>
    <t xml:space="preserve">Answer line L1</t>
  </si>
  <si>
    <t xml:space="preserve">Answer line L2</t>
  </si>
  <si>
    <t xml:space="preserve">Answer line L3</t>
  </si>
  <si>
    <t xml:space="preserve">Answer line L4</t>
  </si>
  <si>
    <t xml:space="preserve">Answer line L5</t>
  </si>
  <si>
    <t xml:space="preserve">Answer line L6</t>
  </si>
  <si>
    <t xml:space="preserve">Answer line L7</t>
  </si>
  <si>
    <t xml:space="preserve">Miss (real minus yours)</t>
  </si>
  <si>
    <t xml:space="preserve">Miss squared</t>
  </si>
  <si>
    <t xml:space="preserve">Miss change squared</t>
  </si>
  <si>
    <t xml:space="preserve">Weekly % miss (weeks over 2,000)</t>
  </si>
  <si>
    <t xml:space="preserve">Real new Committed Givers</t>
  </si>
  <si>
    <t xml:space="preserve">Brand consideration</t>
  </si>
  <si>
    <t xml:space="preserve">All CRUK media £k</t>
  </si>
  <si>
    <t xml:space="preserve">Your block 4 on this level 4 chart</t>
  </si>
  <si>
    <t xml:space="preserve">RFL adverts £k (for chart)</t>
  </si>
  <si>
    <t xml:space="preserve">Sale weeks (for chart)</t>
  </si>
  <si>
    <t xml:space="preserve">Your halo blocks</t>
  </si>
  <si>
    <t xml:space="preserve">Your split blocks</t>
  </si>
  <si>
    <t xml:space="preserve">Room notes: running the game with a team in 45 minutes</t>
  </si>
  <si>
    <t xml:space="preserve">For the person leading the session. Unhide this tab from the sheet list. The answers are here, so do not share the screen while it is open.</t>
  </si>
  <si>
    <t xml:space="preserve">Timings</t>
  </si>
  <si>
    <t xml:space="preserve">0 to 5 minutes</t>
  </si>
  <si>
    <t xml:space="preserve">Open Start here. Read the detective paragraph aloud and stop before the last sentence. Ask the room: what do you think caused the spikes? Let three people answer. Do not correct anyone yet.</t>
  </si>
  <si>
    <t xml:space="preserve">5 to 15 minutes</t>
  </si>
  <si>
    <t xml:space="preserve">Levels 1 to 3 together on the big screen, one person typing. Ask for a show of hands before each number: higher or lower than a thousand? The base surprises people. Let it.</t>
  </si>
  <si>
    <t xml:space="preserve">15 to 25 minutes</t>
  </si>
  <si>
    <t xml:space="preserve">Level 4. Ask the room to guess the memory before you touch it. Most people say 20%. Show what 80% does to the line. Name adstock only after the line fits.</t>
  </si>
  <si>
    <t xml:space="preserve">25 to 32 minutes</t>
  </si>
  <si>
    <t xml:space="preserve">Level 5. Type the halo numbers, then read the What if box. Say the 9,139 out loud and stop. Let the room say what it means for next year's budget.</t>
  </si>
  <si>
    <t xml:space="preserve">32 to 38 minutes</t>
  </si>
  <si>
    <t xml:space="preserve">Level 6 in pairs on their own laptops. The point is the catch, not the numbers. Ask: which channel are you least sure of, and why?</t>
  </si>
  <si>
    <t xml:space="preserve">38 to 45 minutes</t>
  </si>
  <si>
    <t xml:space="preserve">Level 8 as a race: who can find 1,000 extra sign-ups on the same budget first? Close on the average pound versus the last pound. Send everyone to Level 9 and Words for later.</t>
  </si>
  <si>
    <t xml:space="preserve">The answer key</t>
  </si>
  <si>
    <t xml:space="preserve">Level 1 regulars</t>
  </si>
  <si>
    <t xml:space="preserve">876 sign-ups a week. About right is 25% either side.</t>
  </si>
  <si>
    <t xml:space="preserve">Level 2 brakes</t>
  </si>
  <si>
    <t xml:space="preserve">952 sign-ups lost a week.</t>
  </si>
  <si>
    <t xml:space="preserve">Level 3 sale</t>
  </si>
  <si>
    <t xml:space="preserve">7,598 extra sign-ups in a typical sale week. End-of-quarter sales are stronger; the shape knows.</t>
  </si>
  <si>
    <t xml:space="preserve">Level 4 adverts</t>
  </si>
  <si>
    <t xml:space="preserve">16.1 sign-ups per £1,000 (£1.45 per £1), memory 80%.</t>
  </si>
  <si>
    <t xml:space="preserve">Level 5 halo</t>
  </si>
  <si>
    <t xml:space="preserve">Committed Giving 3.7, Legacy 3.3, Brand 1.3 sign-ups per £1,000.</t>
  </si>
  <si>
    <t xml:space="preserve">Level 6 split</t>
  </si>
  <si>
    <t xml:space="preserve">TV 17.0, Online video 17.4, Radio 17.4, Posters 6.1, Digital, social and the rest 17.6 per £1,000. About right is 35% either side.</t>
  </si>
  <si>
    <t xml:space="preserve">Level 8 budget</t>
  </si>
  <si>
    <t xml:space="preserve">Any plan that keeps the total and finds 1,000 extra sign-ups. The best possible here is about 2,000: cut posters and telemarketing, add DRTV and online video. Switching to AP's plan shows the direction they moved: into DRTV, audio and display, out of posters, regional, radio and video.</t>
  </si>
  <si>
    <t xml:space="preserve">Questions the room will ask, and the plain answer</t>
  </si>
  <si>
    <t xml:space="preserve">Isn't this just correlation?</t>
  </si>
  <si>
    <t xml:space="preserve">Partly, and AP say so. The model infers, it never witnesses. Three things make it more than a coincidence: it controls for everything else at once, it is tested on weeks it never saw, and channels that stopped or started (TV stopped after 2024) let it see what happens without them.</t>
  </si>
  <si>
    <t xml:space="preserve">Why is the base so small? Surely people would sign up anyway.</t>
  </si>
  <si>
    <t xml:space="preserve">In the quiet months a few hundred do. In season, nearly every sign-up lines up with a sale or an advert. AP say the true base is close to zero, and that Race for Life is an earned product.</t>
  </si>
  <si>
    <t xml:space="preserve">The halo felt too big.</t>
  </si>
  <si>
    <t xml:space="preserve">It did, and AP rebuilt it. They now measure Committed Giving media as one block rather than by channel, and the halo fell. It is still 5% of 2025 sign-ups and 9,139 of the 2025 decline.</t>
  </si>
  <si>
    <t xml:space="preserve">Why are Committed Giving returns so low?</t>
  </si>
  <si>
    <t xml:space="preserve">The model counts only brand new givers, at about £300 each in the window. Not the years of giving that follow, not the churn that adverts prevent. Wave 2 is meant to fix that.</t>
  </si>
  <si>
    <t xml:space="preserve">Can we trust the channel split?</t>
  </si>
  <si>
    <t xml:space="preserve">Trust the group, quote the range on the channel. That is AP's own advice and the whole of Level 6.</t>
  </si>
  <si>
    <t xml:space="preserve">Why not just spend more if £1 returns £1.66?</t>
  </si>
  <si>
    <t xml:space="preserve">Because the last pound returned 82p. The average pound looks great and the next pound does not. Move money first, then add.</t>
  </si>
  <si>
    <t xml:space="preserve">Answer key. Hidden so that the game stays a game. Every number is fitted to the Wave 1 decomposition.</t>
  </si>
  <si>
    <t xml:space="preserve">Regulars: sign-ups a week</t>
  </si>
  <si>
    <t xml:space="preserve">Brakes: sign-ups lost a week</t>
  </si>
  <si>
    <t xml:space="preserve">Sale: extra sign-ups in a sale week</t>
  </si>
  <si>
    <t xml:space="preserve">RFL adverts: sign-ups per £1,000</t>
  </si>
  <si>
    <t xml:space="preserve">RFL adverts: memory %</t>
  </si>
  <si>
    <t xml:space="preserve">Committed Giving halo: sign-ups per £1,000</t>
  </si>
  <si>
    <t xml:space="preserve">Legacy halo: sign-ups per £1,000</t>
  </si>
  <si>
    <t xml:space="preserve">Brand adverts: sign-ups per £1,000</t>
  </si>
  <si>
    <t xml:space="preserve">Tolerance on a dial (share either side)</t>
  </si>
  <si>
    <t xml:space="preserve">Tolerance on memory (points either side)</t>
  </si>
  <si>
    <t xml:space="preserve">Tolerance on a channel dial (share either side)</t>
  </si>
  <si>
    <t xml:space="preserve">Brand adverts memory %</t>
  </si>
  <si>
    <t xml:space="preserve">(spare)</t>
  </si>
  <si>
    <t xml:space="preserve">TV (BRTV and DRTV): memory %</t>
  </si>
  <si>
    <t xml:space="preserve">TV (BRTV and DRTV): sign-ups per £1,000</t>
  </si>
  <si>
    <t xml:space="preserve">Online video (VOD): memory %</t>
  </si>
  <si>
    <t xml:space="preserve">Online video (VOD): sign-ups per £1,000</t>
  </si>
  <si>
    <t xml:space="preserve">Radio: memory %</t>
  </si>
  <si>
    <t xml:space="preserve">Posters (OOH): memory %</t>
  </si>
  <si>
    <t xml:space="preserve">Posters (OOH): sign-ups per £1,000</t>
  </si>
  <si>
    <t xml:space="preserve">Digital, social and the rest: memory %</t>
  </si>
  <si>
    <t xml:space="preserve">Digital, social and the rest: sign-ups per £1,000</t>
  </si>
  <si>
    <t xml:space="preserve">Level 6 split in use? (all five channel dials typed)</t>
  </si>
  <si>
    <t xml:space="preserve">Pattern-explained targets by level</t>
  </si>
  <si>
    <t xml:space="preserve">Level 3 target</t>
  </si>
  <si>
    <t xml:space="preserve">Level 4 target</t>
  </si>
  <si>
    <t xml:space="preserve">Level 5 target</t>
  </si>
  <si>
    <t xml:space="preserve">Level 6 target</t>
  </si>
  <si>
    <t xml:space="preserve">The answer's own scores (for the honesty note on Level 7)</t>
  </si>
  <si>
    <t xml:space="preserve">Answer MAPE</t>
  </si>
  <si>
    <t xml:space="preserve">Answer Durbin-Watson</t>
  </si>
</sst>
</file>

<file path=xl/styles.xml><?xml version="1.0" encoding="utf-8"?>
<styleSheet xmlns="http://schemas.openxmlformats.org/spreadsheetml/2006/main">
  <numFmts count="13">
    <numFmt numFmtId="164" formatCode="General"/>
    <numFmt numFmtId="165" formatCode="#,##0"/>
    <numFmt numFmtId="166" formatCode="0%"/>
    <numFmt numFmtId="167" formatCode="0\%"/>
    <numFmt numFmtId="168" formatCode="\£0.00"/>
    <numFmt numFmtId="169" formatCode="#,##0.0"/>
    <numFmt numFmtId="170" formatCode="0.00"/>
    <numFmt numFmtId="171" formatCode="0.0%"/>
    <numFmt numFmtId="172" formatCode="\£0.0\m"/>
    <numFmt numFmtId="173" formatCode="0.0"/>
    <numFmt numFmtId="174" formatCode="0"/>
    <numFmt numFmtId="175" formatCode="dd\ mmm\ yy"/>
    <numFmt numFmtId="176"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i val="true"/>
      <sz val="11"/>
      <color rgb="FF444444"/>
      <name val="Arial"/>
      <family val="0"/>
      <charset val="1"/>
    </font>
    <font>
      <b val="true"/>
      <sz val="12"/>
      <color rgb="FF4A6FA5"/>
      <name val="Arial"/>
      <family val="0"/>
      <charset val="1"/>
    </font>
    <font>
      <sz val="11"/>
      <color rgb="FF1A1A1A"/>
      <name val="Arial"/>
      <family val="0"/>
      <charset val="1"/>
    </font>
    <font>
      <b val="true"/>
      <sz val="11"/>
      <color rgb="FFFFFFFF"/>
      <name val="Arial"/>
      <family val="0"/>
      <charset val="1"/>
    </font>
    <font>
      <b val="true"/>
      <u val="single"/>
      <sz val="11"/>
      <color rgb="FF4A6FA5"/>
      <name val="Arial"/>
      <family val="0"/>
      <charset val="1"/>
    </font>
    <font>
      <b val="true"/>
      <sz val="11"/>
      <color rgb="FF1A1A1A"/>
      <name val="Arial"/>
      <family val="0"/>
      <charset val="1"/>
    </font>
    <font>
      <b val="true"/>
      <sz val="14"/>
      <color rgb="FF1B2A4A"/>
      <name val="Arial"/>
      <family val="0"/>
      <charset val="1"/>
    </font>
    <font>
      <i val="true"/>
      <sz val="9"/>
      <color rgb="FF444444"/>
      <name val="Arial"/>
      <family val="0"/>
      <charset val="1"/>
    </font>
    <font>
      <b val="true"/>
      <sz val="12"/>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sz val="9"/>
      <name val="Arial"/>
      <family val="0"/>
      <charset val="1"/>
    </font>
  </fonts>
  <fills count="5">
    <fill>
      <patternFill patternType="none"/>
    </fill>
    <fill>
      <patternFill patternType="gray125"/>
    </fill>
    <fill>
      <patternFill patternType="solid">
        <fgColor rgb="FF1B2A4A"/>
        <bgColor rgb="FF003366"/>
      </patternFill>
    </fill>
    <fill>
      <patternFill patternType="solid">
        <fgColor rgb="FFE8F0F8"/>
        <bgColor rgb="FFE6F4EA"/>
      </patternFill>
    </fill>
    <fill>
      <patternFill patternType="solid">
        <fgColor rgb="FFDDEBF7"/>
        <bgColor rgb="FFE8F0F8"/>
      </patternFill>
    </fill>
  </fills>
  <borders count="2">
    <border diagonalUp="false" diagonalDown="false">
      <left/>
      <right/>
      <top/>
      <bottom/>
      <diagonal/>
    </border>
    <border diagonalUp="false" diagonalDown="false">
      <left style="thin">
        <color rgb="FFBBC7D9"/>
      </left>
      <right style="thin">
        <color rgb="FFBBC7D9"/>
      </right>
      <top style="thin">
        <color rgb="FFBBC7D9"/>
      </top>
      <bottom style="thin">
        <color rgb="FFBBC7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7" fontId="13" fillId="4" borderId="1" xfId="0" applyFont="true" applyBorder="true" applyAlignment="true" applyProtection="false">
      <alignment horizontal="center" vertical="center"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9" fontId="10" fillId="0" borderId="0" xfId="0" applyFont="true" applyBorder="false" applyAlignment="true" applyProtection="false">
      <alignment horizontal="center"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9" fontId="13" fillId="4"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70" fontId="10"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70"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71" fontId="0" fillId="0" borderId="1" xfId="0" applyFont="fals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5" fontId="10" fillId="0" borderId="0" xfId="0" applyFont="true" applyBorder="true" applyAlignment="true" applyProtection="false">
      <alignment horizontal="center" vertical="bottom" textRotation="0" wrapText="false" indent="0" shrinkToFit="false"/>
      <protection locked="true" hidden="false"/>
    </xf>
    <xf numFmtId="172" fontId="13" fillId="4" borderId="1" xfId="0" applyFont="true" applyBorder="true" applyAlignment="true" applyProtection="false">
      <alignment horizontal="center" vertical="bottom" textRotation="0" wrapText="false" indent="0" shrinkToFit="false"/>
      <protection locked="true" hidden="false"/>
    </xf>
    <xf numFmtId="173" fontId="10" fillId="0"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72" fontId="7"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74" fontId="13"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76"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2E7D32"/>
      </font>
      <fill>
        <patternFill>
          <bgColor rgb="FFE6F4EA"/>
        </patternFill>
      </fill>
    </dxf>
    <dxf>
      <font>
        <name val="Arial"/>
        <charset val="1"/>
        <family val="0"/>
        <b val="1"/>
        <color rgb="FFC75000"/>
      </font>
      <fill>
        <patternFill>
          <bgColor rgb="FFFFF4E5"/>
        </patternFill>
      </fill>
    </dxf>
  </dxfs>
  <colors>
    <indexedColors>
      <rgbColor rgb="FF000000"/>
      <rgbColor rgb="FFFFFFFF"/>
      <rgbColor rgb="FFE60078"/>
      <rgbColor rgb="FF00FF00"/>
      <rgbColor rgb="FF0000FF"/>
      <rgbColor rgb="FFFFFF00"/>
      <rgbColor rgb="FFFF00FF"/>
      <rgbColor rgb="FF00FFFF"/>
      <rgbColor rgb="FF800000"/>
      <rgbColor rgb="FF008000"/>
      <rgbColor rgb="FF00007E"/>
      <rgbColor rgb="FF808000"/>
      <rgbColor rgb="FF800080"/>
      <rgbColor rgb="FF008080"/>
      <rgbColor rgb="FFC6C6C6"/>
      <rgbColor rgb="FF878787"/>
      <rgbColor rgb="FF9999FF"/>
      <rgbColor rgb="FF993366"/>
      <rgbColor rgb="FFFFF4E5"/>
      <rgbColor rgb="FFE6F4EA"/>
      <rgbColor rgb="FF660066"/>
      <rgbColor rgb="FFFF8080"/>
      <rgbColor rgb="FF0066CC"/>
      <rgbColor rgb="FFBBC7D9"/>
      <rgbColor rgb="FF000080"/>
      <rgbColor rgb="FFFF00FF"/>
      <rgbColor rgb="FFFFFF00"/>
      <rgbColor rgb="FF00FFFF"/>
      <rgbColor rgb="FF800080"/>
      <rgbColor rgb="FF800000"/>
      <rgbColor rgb="FF008080"/>
      <rgbColor rgb="FF0000FF"/>
      <rgbColor rgb="FF009CEE"/>
      <rgbColor rgb="FFDDEBF7"/>
      <rgbColor rgb="FFE8F0F8"/>
      <rgbColor rgb="FFFFFF99"/>
      <rgbColor rgb="FF99CCFF"/>
      <rgbColor rgb="FFFF99CC"/>
      <rgbColor rgb="FFCC99FF"/>
      <rgbColor rgb="FFD9D9D9"/>
      <rgbColor rgb="FF3366FF"/>
      <rgbColor rgb="FF5BC5F2"/>
      <rgbColor rgb="FF99CC00"/>
      <rgbColor rgb="FFFFCC00"/>
      <rgbColor rgb="FFFF9900"/>
      <rgbColor rgb="FFFF6600"/>
      <rgbColor rgb="FF4A6FA5"/>
      <rgbColor rgb="FF969696"/>
      <rgbColor rgb="FF003366"/>
      <rgbColor rgb="FF2E7D32"/>
      <rgbColor rgb="FF003300"/>
      <rgbColor rgb="FF1A1A1A"/>
      <rgbColor rgb="FFC75000"/>
      <rgbColor rgb="FF993366"/>
      <rgbColor rgb="FF444444"/>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Race for Life sign-ups each week, and your model so far</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bonnet'!$BJ$6:$BJ$153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bonnet'!$AJ$6:$AJ$153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62038577"/>
        <c:axId val="35800309"/>
      </c:lineChart>
      <c:catAx>
        <c:axId val="62038577"/>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800309"/>
        <c:crosses val="autoZero"/>
        <c:auto val="1"/>
        <c:lblAlgn val="ctr"/>
        <c:lblOffset val="100"/>
        <c:noMultiLvlLbl val="0"/>
      </c:catAx>
      <c:valAx>
        <c:axId val="3580030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0385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model after two blocks. It dips below zero in the autumn, and that is fine for now</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bonnet'!$BK$6:$BK$153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bonnet'!$AK$6:$AK$153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16614465"/>
        <c:axId val="31692330"/>
      </c:lineChart>
      <c:catAx>
        <c:axId val="16614465"/>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92330"/>
        <c:crosses val="autoZero"/>
        <c:auto val="1"/>
        <c:lblAlgn val="ctr"/>
        <c:lblOffset val="100"/>
        <c:noMultiLvlLbl val="0"/>
      </c:catAx>
      <c:valAx>
        <c:axId val="3169233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1446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model after three blocks. The spikes should start to appear</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bonnet'!$BL$6:$BL$153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bonnet'!$AL$6:$AL$153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16478185"/>
        <c:axId val="34298031"/>
      </c:lineChart>
      <c:catAx>
        <c:axId val="16478185"/>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298031"/>
        <c:crosses val="autoZero"/>
        <c:auto val="1"/>
        <c:lblAlgn val="ctr"/>
        <c:lblOffset val="100"/>
        <c:noMultiLvlLbl val="0"/>
      </c:catAx>
      <c:valAx>
        <c:axId val="3429803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7818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model after four blocks against the real line</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bonnet'!$BM$6:$BM$153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bonnet'!$AM$6:$AM$153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49465256"/>
        <c:axId val="31539911"/>
      </c:lineChart>
      <c:catAx>
        <c:axId val="49465256"/>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539911"/>
        <c:crosses val="autoZero"/>
        <c:auto val="1"/>
        <c:lblAlgn val="ctr"/>
        <c:lblOffset val="100"/>
        <c:noMultiLvlLbl val="0"/>
      </c:catAx>
      <c:valAx>
        <c:axId val="3153991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46525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 on Race for Life adverts each week (grey bars) and the sign-ups your block gives (blue line)</a:t>
            </a:r>
          </a:p>
        </c:rich>
      </c:tx>
      <c:overlay val="0"/>
      <c:spPr>
        <a:noFill/>
        <a:ln w="0">
          <a:noFill/>
        </a:ln>
      </c:spPr>
    </c:title>
    <c:autoTitleDeleted val="0"/>
    <c:plotArea>
      <c:barChart>
        <c:barDir val="col"/>
        <c:grouping val="clustered"/>
        <c:varyColors val="0"/>
        <c:ser>
          <c:idx val="0"/>
          <c:order val="0"/>
          <c:tx>
            <c:strRef>
              <c:f>"Spend on Race for Life adverts, £ thousands"</c:f>
              <c:strCache>
                <c:ptCount val="1"/>
                <c:pt idx="0">
                  <c:v>Spend on Race for Life adverts, £ thousands</c:v>
                </c:pt>
              </c:strCache>
            </c:strRef>
          </c:tx>
          <c:spPr>
            <a:solidFill>
              <a:srgbClr val="c6c6c6"/>
            </a:solidFill>
            <a:ln w="0">
              <a:solidFill>
                <a:srgbClr val="c6c6c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bonnet'!$BY$6:$BY$153</c:f>
              <c:numCache>
                <c:formatCode>#,##0</c:formatCode>
                <c:ptCount val="148"/>
                <c:pt idx="0">
                  <c:v>112.9</c:v>
                </c:pt>
                <c:pt idx="1">
                  <c:v>127.61</c:v>
                </c:pt>
                <c:pt idx="2">
                  <c:v>141.44</c:v>
                </c:pt>
                <c:pt idx="3">
                  <c:v>131.97</c:v>
                </c:pt>
                <c:pt idx="4">
                  <c:v>80.2</c:v>
                </c:pt>
                <c:pt idx="5">
                  <c:v>54.91</c:v>
                </c:pt>
                <c:pt idx="6">
                  <c:v>53.59</c:v>
                </c:pt>
                <c:pt idx="7">
                  <c:v>54.36</c:v>
                </c:pt>
                <c:pt idx="8">
                  <c:v>42.52</c:v>
                </c:pt>
                <c:pt idx="9">
                  <c:v>118.1</c:v>
                </c:pt>
                <c:pt idx="10">
                  <c:v>138.36</c:v>
                </c:pt>
                <c:pt idx="11">
                  <c:v>757.46</c:v>
                </c:pt>
                <c:pt idx="12">
                  <c:v>899.77</c:v>
                </c:pt>
                <c:pt idx="13">
                  <c:v>399.64</c:v>
                </c:pt>
                <c:pt idx="14">
                  <c:v>308.33</c:v>
                </c:pt>
                <c:pt idx="15">
                  <c:v>458.48</c:v>
                </c:pt>
                <c:pt idx="16">
                  <c:v>290.04</c:v>
                </c:pt>
                <c:pt idx="17">
                  <c:v>254.86</c:v>
                </c:pt>
                <c:pt idx="18">
                  <c:v>206.71</c:v>
                </c:pt>
                <c:pt idx="19">
                  <c:v>141.33</c:v>
                </c:pt>
                <c:pt idx="20">
                  <c:v>163.55</c:v>
                </c:pt>
                <c:pt idx="21">
                  <c:v>114.94</c:v>
                </c:pt>
                <c:pt idx="22">
                  <c:v>189.79</c:v>
                </c:pt>
                <c:pt idx="23">
                  <c:v>204.96</c:v>
                </c:pt>
                <c:pt idx="24">
                  <c:v>120.52</c:v>
                </c:pt>
                <c:pt idx="25">
                  <c:v>119.55</c:v>
                </c:pt>
                <c:pt idx="26">
                  <c:v>135.6</c:v>
                </c:pt>
                <c:pt idx="27">
                  <c:v>149.81</c:v>
                </c:pt>
                <c:pt idx="28">
                  <c:v>108.73</c:v>
                </c:pt>
                <c:pt idx="29">
                  <c:v>93.64</c:v>
                </c:pt>
                <c:pt idx="30">
                  <c:v>8.21</c:v>
                </c:pt>
                <c:pt idx="31">
                  <c:v>0.95</c:v>
                </c:pt>
                <c:pt idx="32">
                  <c:v>0.92</c:v>
                </c:pt>
                <c:pt idx="33">
                  <c:v>0.87</c:v>
                </c:pt>
                <c:pt idx="34">
                  <c:v>1.02</c:v>
                </c:pt>
                <c:pt idx="35">
                  <c:v>1.21</c:v>
                </c:pt>
                <c:pt idx="36">
                  <c:v>1.18</c:v>
                </c:pt>
                <c:pt idx="37">
                  <c:v>1.2</c:v>
                </c:pt>
                <c:pt idx="38">
                  <c:v>1.35</c:v>
                </c:pt>
                <c:pt idx="39">
                  <c:v>0.79</c:v>
                </c:pt>
                <c:pt idx="40">
                  <c:v>0.59</c:v>
                </c:pt>
                <c:pt idx="41">
                  <c:v>0.36</c:v>
                </c:pt>
                <c:pt idx="42">
                  <c:v>0.38</c:v>
                </c:pt>
                <c:pt idx="43">
                  <c:v>0.31</c:v>
                </c:pt>
                <c:pt idx="44">
                  <c:v>0.2</c:v>
                </c:pt>
                <c:pt idx="45">
                  <c:v>0.3</c:v>
                </c:pt>
                <c:pt idx="46">
                  <c:v>0.27</c:v>
                </c:pt>
                <c:pt idx="47">
                  <c:v>0.29</c:v>
                </c:pt>
                <c:pt idx="48">
                  <c:v>0.43</c:v>
                </c:pt>
                <c:pt idx="49">
                  <c:v>0.58</c:v>
                </c:pt>
                <c:pt idx="50">
                  <c:v>7.62</c:v>
                </c:pt>
                <c:pt idx="51">
                  <c:v>49.28</c:v>
                </c:pt>
                <c:pt idx="52">
                  <c:v>255.8</c:v>
                </c:pt>
                <c:pt idx="53">
                  <c:v>323.09</c:v>
                </c:pt>
                <c:pt idx="54">
                  <c:v>274.32</c:v>
                </c:pt>
                <c:pt idx="55">
                  <c:v>269.32</c:v>
                </c:pt>
                <c:pt idx="56">
                  <c:v>203.2</c:v>
                </c:pt>
                <c:pt idx="57">
                  <c:v>120.16</c:v>
                </c:pt>
                <c:pt idx="58">
                  <c:v>108.48</c:v>
                </c:pt>
                <c:pt idx="59">
                  <c:v>104.16</c:v>
                </c:pt>
                <c:pt idx="60">
                  <c:v>115.38</c:v>
                </c:pt>
                <c:pt idx="61">
                  <c:v>167.12</c:v>
                </c:pt>
                <c:pt idx="62">
                  <c:v>114.23</c:v>
                </c:pt>
                <c:pt idx="63">
                  <c:v>874.25</c:v>
                </c:pt>
                <c:pt idx="64">
                  <c:v>911.11</c:v>
                </c:pt>
                <c:pt idx="65">
                  <c:v>374.22</c:v>
                </c:pt>
                <c:pt idx="66">
                  <c:v>339.04</c:v>
                </c:pt>
                <c:pt idx="67">
                  <c:v>345.42</c:v>
                </c:pt>
                <c:pt idx="68">
                  <c:v>368.47</c:v>
                </c:pt>
                <c:pt idx="69">
                  <c:v>296.44</c:v>
                </c:pt>
                <c:pt idx="70">
                  <c:v>223.93</c:v>
                </c:pt>
                <c:pt idx="71">
                  <c:v>260.72</c:v>
                </c:pt>
                <c:pt idx="72">
                  <c:v>158.64</c:v>
                </c:pt>
                <c:pt idx="73">
                  <c:v>216.61</c:v>
                </c:pt>
                <c:pt idx="74">
                  <c:v>166.69</c:v>
                </c:pt>
                <c:pt idx="75">
                  <c:v>222.59</c:v>
                </c:pt>
                <c:pt idx="76">
                  <c:v>213.39</c:v>
                </c:pt>
                <c:pt idx="77">
                  <c:v>301.3</c:v>
                </c:pt>
                <c:pt idx="78">
                  <c:v>221.57</c:v>
                </c:pt>
                <c:pt idx="79">
                  <c:v>167.72</c:v>
                </c:pt>
                <c:pt idx="80">
                  <c:v>52.27</c:v>
                </c:pt>
                <c:pt idx="81">
                  <c:v>7.25</c:v>
                </c:pt>
                <c:pt idx="82">
                  <c:v>2.48</c:v>
                </c:pt>
                <c:pt idx="83">
                  <c:v>2.34</c:v>
                </c:pt>
                <c:pt idx="84">
                  <c:v>2.34</c:v>
                </c:pt>
                <c:pt idx="85">
                  <c:v>2.88</c:v>
                </c:pt>
                <c:pt idx="86">
                  <c:v>3.02</c:v>
                </c:pt>
                <c:pt idx="87">
                  <c:v>1.78</c:v>
                </c:pt>
                <c:pt idx="88">
                  <c:v>1.83</c:v>
                </c:pt>
                <c:pt idx="89">
                  <c:v>1.8</c:v>
                </c:pt>
                <c:pt idx="90">
                  <c:v>1.62</c:v>
                </c:pt>
                <c:pt idx="91">
                  <c:v>1.6</c:v>
                </c:pt>
                <c:pt idx="92">
                  <c:v>1.56</c:v>
                </c:pt>
                <c:pt idx="93">
                  <c:v>0.94</c:v>
                </c:pt>
                <c:pt idx="94">
                  <c:v>0.77</c:v>
                </c:pt>
                <c:pt idx="95">
                  <c:v>1.39</c:v>
                </c:pt>
                <c:pt idx="96">
                  <c:v>1.01</c:v>
                </c:pt>
                <c:pt idx="97">
                  <c:v>0.64</c:v>
                </c:pt>
                <c:pt idx="98">
                  <c:v>0.36</c:v>
                </c:pt>
                <c:pt idx="99">
                  <c:v>0.42</c:v>
                </c:pt>
                <c:pt idx="100">
                  <c:v>0.36</c:v>
                </c:pt>
                <c:pt idx="101">
                  <c:v>0.38</c:v>
                </c:pt>
                <c:pt idx="102">
                  <c:v>2.1</c:v>
                </c:pt>
                <c:pt idx="103">
                  <c:v>9.79</c:v>
                </c:pt>
                <c:pt idx="104">
                  <c:v>219.09</c:v>
                </c:pt>
                <c:pt idx="105">
                  <c:v>398</c:v>
                </c:pt>
                <c:pt idx="106">
                  <c:v>427.63</c:v>
                </c:pt>
                <c:pt idx="107">
                  <c:v>390.14</c:v>
                </c:pt>
                <c:pt idx="108">
                  <c:v>283.87</c:v>
                </c:pt>
                <c:pt idx="109">
                  <c:v>115.08</c:v>
                </c:pt>
                <c:pt idx="110">
                  <c:v>127.37</c:v>
                </c:pt>
                <c:pt idx="111">
                  <c:v>124.99</c:v>
                </c:pt>
                <c:pt idx="112">
                  <c:v>229.56</c:v>
                </c:pt>
                <c:pt idx="113">
                  <c:v>330.3</c:v>
                </c:pt>
                <c:pt idx="114">
                  <c:v>283.81</c:v>
                </c:pt>
                <c:pt idx="115">
                  <c:v>318.94</c:v>
                </c:pt>
                <c:pt idx="116">
                  <c:v>456.25</c:v>
                </c:pt>
                <c:pt idx="117">
                  <c:v>522.58</c:v>
                </c:pt>
                <c:pt idx="118">
                  <c:v>231.83</c:v>
                </c:pt>
                <c:pt idx="119">
                  <c:v>210.02</c:v>
                </c:pt>
                <c:pt idx="120">
                  <c:v>222.55</c:v>
                </c:pt>
                <c:pt idx="121">
                  <c:v>202.33</c:v>
                </c:pt>
                <c:pt idx="122">
                  <c:v>124.7</c:v>
                </c:pt>
                <c:pt idx="123">
                  <c:v>169.55</c:v>
                </c:pt>
                <c:pt idx="124">
                  <c:v>428.13</c:v>
                </c:pt>
                <c:pt idx="125">
                  <c:v>452.79</c:v>
                </c:pt>
                <c:pt idx="126">
                  <c:v>174.94</c:v>
                </c:pt>
                <c:pt idx="127">
                  <c:v>96.11</c:v>
                </c:pt>
                <c:pt idx="128">
                  <c:v>48.31</c:v>
                </c:pt>
                <c:pt idx="129">
                  <c:v>45.86</c:v>
                </c:pt>
                <c:pt idx="130">
                  <c:v>46.16</c:v>
                </c:pt>
                <c:pt idx="131">
                  <c:v>42.19</c:v>
                </c:pt>
                <c:pt idx="132">
                  <c:v>27.31</c:v>
                </c:pt>
                <c:pt idx="133">
                  <c:v>28.16</c:v>
                </c:pt>
                <c:pt idx="134">
                  <c:v>1.48</c:v>
                </c:pt>
                <c:pt idx="135">
                  <c:v>1.4</c:v>
                </c:pt>
                <c:pt idx="136">
                  <c:v>1.38</c:v>
                </c:pt>
                <c:pt idx="137">
                  <c:v>1.38</c:v>
                </c:pt>
                <c:pt idx="138">
                  <c:v>1.41</c:v>
                </c:pt>
                <c:pt idx="139">
                  <c:v>0.4</c:v>
                </c:pt>
                <c:pt idx="140">
                  <c:v>0.41</c:v>
                </c:pt>
                <c:pt idx="141">
                  <c:v>0.4</c:v>
                </c:pt>
                <c:pt idx="142">
                  <c:v>0.4</c:v>
                </c:pt>
                <c:pt idx="143">
                  <c:v>0.53</c:v>
                </c:pt>
                <c:pt idx="144">
                  <c:v>0.51</c:v>
                </c:pt>
                <c:pt idx="145">
                  <c:v>0.49</c:v>
                </c:pt>
                <c:pt idx="146">
                  <c:v>56.32</c:v>
                </c:pt>
                <c:pt idx="147">
                  <c:v>78.49</c:v>
                </c:pt>
              </c:numCache>
            </c:numRef>
          </c:val>
        </c:ser>
        <c:gapWidth val="30"/>
        <c:overlap val="0"/>
        <c:axId val="30253912"/>
        <c:axId val="18035854"/>
      </c:barChart>
      <c:lineChart>
        <c:grouping val="standard"/>
        <c:varyColors val="0"/>
        <c:ser>
          <c:idx val="1"/>
          <c:order val="1"/>
          <c:tx>
            <c:strRef>
              <c:f>"Sign-ups a week from your adverts block"</c:f>
              <c:strCache>
                <c:ptCount val="1"/>
                <c:pt idx="0">
                  <c:v>Sign-ups a week from your adverts block</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bonnet'!$BX$6:$BX$153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40550252"/>
        <c:axId val="74087025"/>
      </c:lineChart>
      <c:catAx>
        <c:axId val="30253912"/>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5854"/>
        <c:crosses val="autoZero"/>
        <c:auto val="1"/>
        <c:lblAlgn val="ctr"/>
        <c:lblOffset val="100"/>
        <c:noMultiLvlLbl val="0"/>
      </c:catAx>
      <c:valAx>
        <c:axId val="1803585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Spend, £ thousands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253912"/>
        <c:crosses val="autoZero"/>
        <c:crossBetween val="between"/>
      </c:valAx>
      <c:catAx>
        <c:axId val="40550252"/>
        <c:scaling>
          <c:orientation val="minMax"/>
        </c:scaling>
        <c:delete val="0"/>
        <c:axPos val="t"/>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087025"/>
        <c:crosses val="autoZero"/>
        <c:auto val="1"/>
        <c:lblAlgn val="ctr"/>
        <c:lblOffset val="100"/>
        <c:noMultiLvlLbl val="0"/>
      </c:catAx>
      <c:valAx>
        <c:axId val="74087025"/>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 from adverts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550252"/>
        <c:crosses val="max"/>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model after five blocks against the real line</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bonnet'!$BN$6:$BN$153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bonnet'!$AN$6:$AN$153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90946112"/>
        <c:axId val="48656828"/>
      </c:lineChart>
      <c:catAx>
        <c:axId val="90946112"/>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656828"/>
        <c:crosses val="autoZero"/>
        <c:auto val="1"/>
        <c:lblAlgn val="ctr"/>
        <c:lblOffset val="100"/>
        <c:noMultiLvlLbl val="0"/>
      </c:catAx>
      <c:valAx>
        <c:axId val="48656828"/>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9461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halo blocks on their own: sign-ups a week from adverts that never mention Race for Life</a:t>
            </a:r>
          </a:p>
        </c:rich>
      </c:tx>
      <c:overlay val="0"/>
      <c:spPr>
        <a:noFill/>
        <a:ln w="0">
          <a:noFill/>
        </a:ln>
      </c:spPr>
    </c:title>
    <c:autoTitleDeleted val="0"/>
    <c:plotArea>
      <c:lineChart>
        <c:grouping val="standard"/>
        <c:varyColors val="0"/>
        <c:ser>
          <c:idx val="0"/>
          <c:order val="0"/>
          <c:tx>
            <c:strRef>
              <c:f>"Your three halo blocks together"</c:f>
              <c:strCache>
                <c:ptCount val="1"/>
                <c:pt idx="0">
                  <c:v>Your three halo blocks together</c:v>
                </c:pt>
              </c:strCache>
            </c:strRef>
          </c:tx>
          <c:spPr>
            <a:solidFill>
              <a:srgbClr val="00007e"/>
            </a:solidFill>
            <a:ln w="22320">
              <a:solidFill>
                <a:srgbClr val="00007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bonnet'!$CA$6:$CA$153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77825069"/>
        <c:axId val="38814916"/>
      </c:lineChart>
      <c:catAx>
        <c:axId val="77825069"/>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814916"/>
        <c:crosses val="autoZero"/>
        <c:auto val="1"/>
        <c:lblAlgn val="ctr"/>
        <c:lblOffset val="100"/>
        <c:noMultiLvlLbl val="0"/>
      </c:catAx>
      <c:valAx>
        <c:axId val="38814916"/>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250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model with the adverts split into five channels</a:t>
            </a:r>
          </a:p>
        </c:rich>
      </c:tx>
      <c:overlay val="0"/>
      <c:spPr>
        <a:noFill/>
        <a:ln w="0">
          <a:noFill/>
        </a:ln>
      </c:spPr>
    </c:title>
    <c:autoTitleDeleted val="0"/>
    <c:plotArea>
      <c:lineChart>
        <c:grouping val="standard"/>
        <c:varyColors val="0"/>
        <c:ser>
          <c:idx val="0"/>
          <c:order val="0"/>
          <c:tx>
            <c:strRef>
              <c:f>"Wave 1 answer"</c:f>
              <c:strCache>
                <c:ptCount val="1"/>
                <c:pt idx="0">
                  <c:v>Wave 1 answer</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bonnet'!$BO$6:$BO$153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bonnet'!$AO$6:$AO$153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71208482"/>
        <c:axId val="27114797"/>
      </c:lineChart>
      <c:catAx>
        <c:axId val="71208482"/>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114797"/>
        <c:crosses val="autoZero"/>
        <c:auto val="1"/>
        <c:lblAlgn val="ctr"/>
        <c:lblOffset val="100"/>
        <c:noMultiLvlLbl val="0"/>
      </c:catAx>
      <c:valAx>
        <c:axId val="27114797"/>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0848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spend by channel, £ thousands. See how often they rise and fall together</a:t>
            </a:r>
          </a:p>
        </c:rich>
      </c:tx>
      <c:overlay val="0"/>
      <c:spPr>
        <a:noFill/>
        <a:ln w="0">
          <a:noFill/>
        </a:ln>
      </c:spPr>
    </c:title>
    <c:autoTitleDeleted val="0"/>
    <c:plotArea>
      <c:lineChart>
        <c:grouping val="standard"/>
        <c:varyColors val="0"/>
        <c:ser>
          <c:idx val="0"/>
          <c:order val="0"/>
          <c:tx>
            <c:strRef>
              <c:f>"TV"</c:f>
              <c:strCache>
                <c:ptCount val="1"/>
                <c:pt idx="0">
                  <c:v>TV</c:v>
                </c:pt>
              </c:strCache>
            </c:strRef>
          </c:tx>
          <c:spPr>
            <a:solidFill>
              <a:srgbClr val="00007e"/>
            </a:solidFill>
            <a:ln w="15840">
              <a:solidFill>
                <a:srgbClr val="00007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bonnet'!$N$6:$N$153</c:f>
              <c:numCache>
                <c:formatCode>#,##0</c:formatCode>
                <c:ptCount val="148"/>
                <c:pt idx="0">
                  <c:v>0</c:v>
                </c:pt>
                <c:pt idx="1">
                  <c:v>0</c:v>
                </c:pt>
                <c:pt idx="2">
                  <c:v>0</c:v>
                </c:pt>
                <c:pt idx="3">
                  <c:v>0</c:v>
                </c:pt>
                <c:pt idx="4">
                  <c:v>0</c:v>
                </c:pt>
                <c:pt idx="5">
                  <c:v>0</c:v>
                </c:pt>
                <c:pt idx="6">
                  <c:v>0</c:v>
                </c:pt>
                <c:pt idx="7">
                  <c:v>0</c:v>
                </c:pt>
                <c:pt idx="8">
                  <c:v>0</c:v>
                </c:pt>
                <c:pt idx="9">
                  <c:v>0</c:v>
                </c:pt>
                <c:pt idx="10">
                  <c:v>0</c:v>
                </c:pt>
                <c:pt idx="11">
                  <c:v>594.47</c:v>
                </c:pt>
                <c:pt idx="12">
                  <c:v>517.88</c:v>
                </c:pt>
                <c:pt idx="13">
                  <c:v>51.59</c:v>
                </c:pt>
                <c:pt idx="14">
                  <c:v>40.66</c:v>
                </c:pt>
                <c:pt idx="15">
                  <c:v>44.59</c:v>
                </c:pt>
                <c:pt idx="16">
                  <c:v>51</c:v>
                </c:pt>
                <c:pt idx="17">
                  <c:v>56.47</c:v>
                </c:pt>
                <c:pt idx="18">
                  <c:v>53.47</c:v>
                </c:pt>
                <c:pt idx="19">
                  <c:v>37.11</c:v>
                </c:pt>
                <c:pt idx="20">
                  <c:v>27.37</c:v>
                </c:pt>
                <c:pt idx="21">
                  <c:v>20.58</c:v>
                </c:pt>
                <c:pt idx="22">
                  <c:v>36.58</c:v>
                </c:pt>
                <c:pt idx="23">
                  <c:v>42.85</c:v>
                </c:pt>
                <c:pt idx="24">
                  <c:v>0</c:v>
                </c:pt>
                <c:pt idx="25">
                  <c:v>0</c:v>
                </c:pt>
                <c:pt idx="26">
                  <c:v>41.61</c:v>
                </c:pt>
                <c:pt idx="27">
                  <c:v>58.39</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49.95</c:v>
                </c:pt>
                <c:pt idx="53">
                  <c:v>42.37</c:v>
                </c:pt>
                <c:pt idx="54">
                  <c:v>47.83</c:v>
                </c:pt>
                <c:pt idx="55">
                  <c:v>51.57</c:v>
                </c:pt>
                <c:pt idx="56">
                  <c:v>32.86</c:v>
                </c:pt>
                <c:pt idx="57">
                  <c:v>0</c:v>
                </c:pt>
                <c:pt idx="58">
                  <c:v>0</c:v>
                </c:pt>
                <c:pt idx="59">
                  <c:v>0</c:v>
                </c:pt>
                <c:pt idx="60">
                  <c:v>0</c:v>
                </c:pt>
                <c:pt idx="61">
                  <c:v>0</c:v>
                </c:pt>
                <c:pt idx="62">
                  <c:v>0</c:v>
                </c:pt>
                <c:pt idx="63">
                  <c:v>607.04</c:v>
                </c:pt>
                <c:pt idx="64">
                  <c:v>592.95</c:v>
                </c:pt>
                <c:pt idx="65">
                  <c:v>67.42</c:v>
                </c:pt>
                <c:pt idx="66">
                  <c:v>61.97</c:v>
                </c:pt>
                <c:pt idx="67">
                  <c:v>67.87</c:v>
                </c:pt>
                <c:pt idx="68">
                  <c:v>49.01</c:v>
                </c:pt>
                <c:pt idx="69">
                  <c:v>55.24</c:v>
                </c:pt>
                <c:pt idx="70">
                  <c:v>0</c:v>
                </c:pt>
                <c:pt idx="71">
                  <c:v>52.21</c:v>
                </c:pt>
                <c:pt idx="72">
                  <c:v>0</c:v>
                </c:pt>
                <c:pt idx="73">
                  <c:v>59.75</c:v>
                </c:pt>
                <c:pt idx="74">
                  <c:v>0</c:v>
                </c:pt>
                <c:pt idx="75">
                  <c:v>58.01</c:v>
                </c:pt>
                <c:pt idx="76">
                  <c:v>0</c:v>
                </c:pt>
                <c:pt idx="77">
                  <c:v>50.79</c:v>
                </c:pt>
                <c:pt idx="78">
                  <c:v>0</c:v>
                </c:pt>
                <c:pt idx="79">
                  <c:v>53.14</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45.96</c:v>
                </c:pt>
                <c:pt idx="105">
                  <c:v>58.74</c:v>
                </c:pt>
                <c:pt idx="106">
                  <c:v>71.77</c:v>
                </c:pt>
                <c:pt idx="107">
                  <c:v>45.24</c:v>
                </c:pt>
                <c:pt idx="108">
                  <c:v>43.67</c:v>
                </c:pt>
                <c:pt idx="109">
                  <c:v>47.71</c:v>
                </c:pt>
                <c:pt idx="110">
                  <c:v>58.96</c:v>
                </c:pt>
                <c:pt idx="111">
                  <c:v>57.2</c:v>
                </c:pt>
                <c:pt idx="112">
                  <c:v>57.87</c:v>
                </c:pt>
                <c:pt idx="113">
                  <c:v>54.58</c:v>
                </c:pt>
                <c:pt idx="114">
                  <c:v>49.12</c:v>
                </c:pt>
                <c:pt idx="115">
                  <c:v>57.41</c:v>
                </c:pt>
                <c:pt idx="116">
                  <c:v>49.88</c:v>
                </c:pt>
                <c:pt idx="117">
                  <c:v>75.54</c:v>
                </c:pt>
                <c:pt idx="118">
                  <c:v>49.58</c:v>
                </c:pt>
                <c:pt idx="119">
                  <c:v>71.7</c:v>
                </c:pt>
                <c:pt idx="120">
                  <c:v>57.16</c:v>
                </c:pt>
                <c:pt idx="121">
                  <c:v>32.59</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54.28</c:v>
                </c:pt>
                <c:pt idx="147">
                  <c:v>40.5</c:v>
                </c:pt>
              </c:numCache>
            </c:numRef>
          </c:val>
          <c:smooth val="0"/>
        </c:ser>
        <c:ser>
          <c:idx val="1"/>
          <c:order val="1"/>
          <c:tx>
            <c:strRef>
              <c:f>"Online video"</c:f>
              <c:strCache>
                <c:ptCount val="1"/>
                <c:pt idx="0">
                  <c:v>Online video</c:v>
                </c:pt>
              </c:strCache>
            </c:strRef>
          </c:tx>
          <c:spPr>
            <a:solidFill>
              <a:srgbClr val="009cee"/>
            </a:solidFill>
            <a:ln w="1584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bonnet'!$O$6:$O$153</c:f>
              <c:numCache>
                <c:formatCode>#,##0</c:formatCode>
                <c:ptCount val="148"/>
                <c:pt idx="0">
                  <c:v>0</c:v>
                </c:pt>
                <c:pt idx="1">
                  <c:v>0</c:v>
                </c:pt>
                <c:pt idx="2">
                  <c:v>0</c:v>
                </c:pt>
                <c:pt idx="3">
                  <c:v>0</c:v>
                </c:pt>
                <c:pt idx="4">
                  <c:v>0</c:v>
                </c:pt>
                <c:pt idx="5">
                  <c:v>0</c:v>
                </c:pt>
                <c:pt idx="6">
                  <c:v>0</c:v>
                </c:pt>
                <c:pt idx="7">
                  <c:v>0</c:v>
                </c:pt>
                <c:pt idx="8">
                  <c:v>0</c:v>
                </c:pt>
                <c:pt idx="9">
                  <c:v>0</c:v>
                </c:pt>
                <c:pt idx="10">
                  <c:v>0</c:v>
                </c:pt>
                <c:pt idx="11">
                  <c:v>108.03</c:v>
                </c:pt>
                <c:pt idx="12">
                  <c:v>121.3</c:v>
                </c:pt>
                <c:pt idx="13">
                  <c:v>82.47</c:v>
                </c:pt>
                <c:pt idx="14">
                  <c:v>84.76</c:v>
                </c:pt>
                <c:pt idx="15">
                  <c:v>70.89</c:v>
                </c:pt>
                <c:pt idx="16">
                  <c:v>60.05</c:v>
                </c:pt>
                <c:pt idx="17">
                  <c:v>96.58</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17.24</c:v>
                </c:pt>
                <c:pt idx="53">
                  <c:v>79.04</c:v>
                </c:pt>
                <c:pt idx="54">
                  <c:v>21.16</c:v>
                </c:pt>
                <c:pt idx="55">
                  <c:v>15.79</c:v>
                </c:pt>
                <c:pt idx="56">
                  <c:v>29.64</c:v>
                </c:pt>
                <c:pt idx="57">
                  <c:v>27.22</c:v>
                </c:pt>
                <c:pt idx="58">
                  <c:v>20.35</c:v>
                </c:pt>
                <c:pt idx="59">
                  <c:v>15.13</c:v>
                </c:pt>
                <c:pt idx="60">
                  <c:v>15.01</c:v>
                </c:pt>
                <c:pt idx="61">
                  <c:v>49.13</c:v>
                </c:pt>
                <c:pt idx="62">
                  <c:v>34.79</c:v>
                </c:pt>
                <c:pt idx="63">
                  <c:v>19.73</c:v>
                </c:pt>
                <c:pt idx="64">
                  <c:v>10.25</c:v>
                </c:pt>
                <c:pt idx="65">
                  <c:v>17.29</c:v>
                </c:pt>
                <c:pt idx="66">
                  <c:v>13.77</c:v>
                </c:pt>
                <c:pt idx="67">
                  <c:v>12.68</c:v>
                </c:pt>
                <c:pt idx="68">
                  <c:v>12.45</c:v>
                </c:pt>
                <c:pt idx="69">
                  <c:v>22.08</c:v>
                </c:pt>
                <c:pt idx="70">
                  <c:v>19.12</c:v>
                </c:pt>
                <c:pt idx="71">
                  <c:v>20.61</c:v>
                </c:pt>
                <c:pt idx="72">
                  <c:v>17.81</c:v>
                </c:pt>
                <c:pt idx="73">
                  <c:v>19.22</c:v>
                </c:pt>
                <c:pt idx="74">
                  <c:v>17.58</c:v>
                </c:pt>
                <c:pt idx="75">
                  <c:v>14.91</c:v>
                </c:pt>
                <c:pt idx="76">
                  <c:v>11.25</c:v>
                </c:pt>
                <c:pt idx="77">
                  <c:v>10.35</c:v>
                </c:pt>
                <c:pt idx="78">
                  <c:v>26.71</c:v>
                </c:pt>
                <c:pt idx="79">
                  <c:v>16</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60.34</c:v>
                </c:pt>
                <c:pt idx="105">
                  <c:v>71.33</c:v>
                </c:pt>
                <c:pt idx="106">
                  <c:v>52.5</c:v>
                </c:pt>
                <c:pt idx="107">
                  <c:v>34.56</c:v>
                </c:pt>
                <c:pt idx="108">
                  <c:v>24.18</c:v>
                </c:pt>
                <c:pt idx="109">
                  <c:v>23.85</c:v>
                </c:pt>
                <c:pt idx="110">
                  <c:v>26.81</c:v>
                </c:pt>
                <c:pt idx="111">
                  <c:v>22.78</c:v>
                </c:pt>
                <c:pt idx="112">
                  <c:v>25.63</c:v>
                </c:pt>
                <c:pt idx="113">
                  <c:v>62.1</c:v>
                </c:pt>
                <c:pt idx="114">
                  <c:v>54.03</c:v>
                </c:pt>
                <c:pt idx="115">
                  <c:v>32.82</c:v>
                </c:pt>
                <c:pt idx="116">
                  <c:v>12.01</c:v>
                </c:pt>
                <c:pt idx="117">
                  <c:v>44.53</c:v>
                </c:pt>
                <c:pt idx="118">
                  <c:v>52.39</c:v>
                </c:pt>
                <c:pt idx="119">
                  <c:v>44.41</c:v>
                </c:pt>
                <c:pt idx="120">
                  <c:v>32.15</c:v>
                </c:pt>
                <c:pt idx="121">
                  <c:v>32.22</c:v>
                </c:pt>
                <c:pt idx="122">
                  <c:v>39.08</c:v>
                </c:pt>
                <c:pt idx="123">
                  <c:v>30.15</c:v>
                </c:pt>
                <c:pt idx="124">
                  <c:v>30.06</c:v>
                </c:pt>
                <c:pt idx="125">
                  <c:v>19.85</c:v>
                </c:pt>
                <c:pt idx="126">
                  <c:v>40.6</c:v>
                </c:pt>
                <c:pt idx="127">
                  <c:v>30.71</c:v>
                </c:pt>
                <c:pt idx="128">
                  <c:v>0.01</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2"/>
          <c:order val="2"/>
          <c:tx>
            <c:strRef>
              <c:f>"Radio"</c:f>
              <c:strCache>
                <c:ptCount val="1"/>
                <c:pt idx="0">
                  <c:v>Radio</c:v>
                </c:pt>
              </c:strCache>
            </c:strRef>
          </c:tx>
          <c:spPr>
            <a:solidFill>
              <a:srgbClr val="e60078"/>
            </a:solidFill>
            <a:ln w="1584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bonnet'!$P$6:$P$153</c:f>
              <c:numCache>
                <c:formatCode>#,##0</c:formatCode>
                <c:ptCount val="148"/>
                <c:pt idx="0">
                  <c:v>53.8</c:v>
                </c:pt>
                <c:pt idx="1">
                  <c:v>34.89</c:v>
                </c:pt>
                <c:pt idx="2">
                  <c:v>31.23</c:v>
                </c:pt>
                <c:pt idx="3">
                  <c:v>36.57</c:v>
                </c:pt>
                <c:pt idx="4">
                  <c:v>29.67</c:v>
                </c:pt>
                <c:pt idx="5">
                  <c:v>32.31</c:v>
                </c:pt>
                <c:pt idx="6">
                  <c:v>32.09</c:v>
                </c:pt>
                <c:pt idx="7">
                  <c:v>31.71</c:v>
                </c:pt>
                <c:pt idx="8">
                  <c:v>3.75</c:v>
                </c:pt>
                <c:pt idx="9">
                  <c:v>56.51</c:v>
                </c:pt>
                <c:pt idx="10">
                  <c:v>39.38</c:v>
                </c:pt>
                <c:pt idx="11">
                  <c:v>0</c:v>
                </c:pt>
                <c:pt idx="12">
                  <c:v>48.66</c:v>
                </c:pt>
                <c:pt idx="13">
                  <c:v>38.63</c:v>
                </c:pt>
                <c:pt idx="14">
                  <c:v>39.57</c:v>
                </c:pt>
                <c:pt idx="15">
                  <c:v>42.7</c:v>
                </c:pt>
                <c:pt idx="16">
                  <c:v>41.61</c:v>
                </c:pt>
                <c:pt idx="17">
                  <c:v>0</c:v>
                </c:pt>
                <c:pt idx="18">
                  <c:v>48.87</c:v>
                </c:pt>
                <c:pt idx="19">
                  <c:v>0</c:v>
                </c:pt>
                <c:pt idx="20">
                  <c:v>44.47</c:v>
                </c:pt>
                <c:pt idx="21">
                  <c:v>0</c:v>
                </c:pt>
                <c:pt idx="22">
                  <c:v>49.64</c:v>
                </c:pt>
                <c:pt idx="23">
                  <c:v>38.45</c:v>
                </c:pt>
                <c:pt idx="24">
                  <c:v>0</c:v>
                </c:pt>
                <c:pt idx="25">
                  <c:v>33.24</c:v>
                </c:pt>
                <c:pt idx="26">
                  <c:v>0</c:v>
                </c:pt>
                <c:pt idx="27">
                  <c:v>0</c:v>
                </c:pt>
                <c:pt idx="28">
                  <c:v>33.21</c:v>
                </c:pt>
                <c:pt idx="29">
                  <c:v>36.61</c:v>
                </c:pt>
                <c:pt idx="30">
                  <c:v>5.1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14.23</c:v>
                </c:pt>
                <c:pt idx="52">
                  <c:v>62.24</c:v>
                </c:pt>
                <c:pt idx="53">
                  <c:v>47.61</c:v>
                </c:pt>
                <c:pt idx="54">
                  <c:v>43.37</c:v>
                </c:pt>
                <c:pt idx="55">
                  <c:v>32.96</c:v>
                </c:pt>
                <c:pt idx="56">
                  <c:v>18.17</c:v>
                </c:pt>
                <c:pt idx="57">
                  <c:v>32.04</c:v>
                </c:pt>
                <c:pt idx="58">
                  <c:v>30.34</c:v>
                </c:pt>
                <c:pt idx="59">
                  <c:v>31.14</c:v>
                </c:pt>
                <c:pt idx="60">
                  <c:v>41.43</c:v>
                </c:pt>
                <c:pt idx="61">
                  <c:v>19.06</c:v>
                </c:pt>
                <c:pt idx="62">
                  <c:v>20.81</c:v>
                </c:pt>
                <c:pt idx="63">
                  <c:v>45.89</c:v>
                </c:pt>
                <c:pt idx="64">
                  <c:v>66.64</c:v>
                </c:pt>
                <c:pt idx="65">
                  <c:v>50.61</c:v>
                </c:pt>
                <c:pt idx="66">
                  <c:v>50.94</c:v>
                </c:pt>
                <c:pt idx="67">
                  <c:v>46.71</c:v>
                </c:pt>
                <c:pt idx="68">
                  <c:v>41.21</c:v>
                </c:pt>
                <c:pt idx="69">
                  <c:v>61.74</c:v>
                </c:pt>
                <c:pt idx="70">
                  <c:v>39.09</c:v>
                </c:pt>
                <c:pt idx="71">
                  <c:v>37.21</c:v>
                </c:pt>
                <c:pt idx="72">
                  <c:v>38.81</c:v>
                </c:pt>
                <c:pt idx="73">
                  <c:v>27.68</c:v>
                </c:pt>
                <c:pt idx="74">
                  <c:v>22.41</c:v>
                </c:pt>
                <c:pt idx="75">
                  <c:v>12.94</c:v>
                </c:pt>
                <c:pt idx="76">
                  <c:v>11.77</c:v>
                </c:pt>
                <c:pt idx="77">
                  <c:v>11.06</c:v>
                </c:pt>
                <c:pt idx="78">
                  <c:v>12.88</c:v>
                </c:pt>
                <c:pt idx="79">
                  <c:v>12.27</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76.06</c:v>
                </c:pt>
                <c:pt idx="106">
                  <c:v>70.87</c:v>
                </c:pt>
                <c:pt idx="107">
                  <c:v>56.88</c:v>
                </c:pt>
                <c:pt idx="108">
                  <c:v>46.65</c:v>
                </c:pt>
                <c:pt idx="109">
                  <c:v>0</c:v>
                </c:pt>
                <c:pt idx="110">
                  <c:v>0</c:v>
                </c:pt>
                <c:pt idx="111">
                  <c:v>0</c:v>
                </c:pt>
                <c:pt idx="112">
                  <c:v>70.53</c:v>
                </c:pt>
                <c:pt idx="113">
                  <c:v>70.95</c:v>
                </c:pt>
                <c:pt idx="114">
                  <c:v>60.64</c:v>
                </c:pt>
                <c:pt idx="115">
                  <c:v>57.21</c:v>
                </c:pt>
                <c:pt idx="116">
                  <c:v>62.04</c:v>
                </c:pt>
                <c:pt idx="117">
                  <c:v>67.63</c:v>
                </c:pt>
                <c:pt idx="118">
                  <c:v>0</c:v>
                </c:pt>
                <c:pt idx="119">
                  <c:v>0</c:v>
                </c:pt>
                <c:pt idx="120">
                  <c:v>0</c:v>
                </c:pt>
                <c:pt idx="121">
                  <c:v>0</c:v>
                </c:pt>
                <c:pt idx="122">
                  <c:v>0</c:v>
                </c:pt>
                <c:pt idx="123">
                  <c:v>0</c:v>
                </c:pt>
                <c:pt idx="124">
                  <c:v>87.24</c:v>
                </c:pt>
                <c:pt idx="125">
                  <c:v>94.37</c:v>
                </c:pt>
                <c:pt idx="126">
                  <c:v>13.17</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3"/>
          <c:order val="3"/>
          <c:tx>
            <c:strRef>
              <c:f>"Posters"</c:f>
              <c:strCache>
                <c:ptCount val="1"/>
                <c:pt idx="0">
                  <c:v>Posters</c:v>
                </c:pt>
              </c:strCache>
            </c:strRef>
          </c:tx>
          <c:spPr>
            <a:solidFill>
              <a:srgbClr val="c75000"/>
            </a:solidFill>
            <a:ln w="15840">
              <a:solidFill>
                <a:srgbClr val="c75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bonnet'!$Q$6:$Q$153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71.54</c:v>
                </c:pt>
                <c:pt idx="13">
                  <c:v>71.79</c:v>
                </c:pt>
                <c:pt idx="14">
                  <c:v>14.28</c:v>
                </c:pt>
                <c:pt idx="15">
                  <c:v>14.28</c:v>
                </c:pt>
                <c:pt idx="16">
                  <c:v>0</c:v>
                </c:pt>
                <c:pt idx="17">
                  <c:v>0</c:v>
                </c:pt>
                <c:pt idx="18">
                  <c:v>0</c:v>
                </c:pt>
                <c:pt idx="19">
                  <c:v>0</c:v>
                </c:pt>
                <c:pt idx="20">
                  <c:v>1.82</c:v>
                </c:pt>
                <c:pt idx="21">
                  <c:v>0.86</c:v>
                </c:pt>
                <c:pt idx="22">
                  <c:v>0</c:v>
                </c:pt>
                <c:pt idx="23">
                  <c:v>18.96</c:v>
                </c:pt>
                <c:pt idx="24">
                  <c:v>22.07</c:v>
                </c:pt>
                <c:pt idx="25">
                  <c:v>0</c:v>
                </c:pt>
                <c:pt idx="26">
                  <c:v>0</c:v>
                </c:pt>
                <c:pt idx="27">
                  <c:v>4.02</c:v>
                </c:pt>
                <c:pt idx="28">
                  <c:v>2.95</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3.5</c:v>
                </c:pt>
                <c:pt idx="53">
                  <c:v>3.5</c:v>
                </c:pt>
                <c:pt idx="54">
                  <c:v>3.5</c:v>
                </c:pt>
                <c:pt idx="55">
                  <c:v>3.5</c:v>
                </c:pt>
                <c:pt idx="56">
                  <c:v>3.5</c:v>
                </c:pt>
                <c:pt idx="57">
                  <c:v>3.5</c:v>
                </c:pt>
                <c:pt idx="58">
                  <c:v>3.5</c:v>
                </c:pt>
                <c:pt idx="59">
                  <c:v>3.5</c:v>
                </c:pt>
                <c:pt idx="60">
                  <c:v>3.5</c:v>
                </c:pt>
                <c:pt idx="61">
                  <c:v>3.5</c:v>
                </c:pt>
                <c:pt idx="62">
                  <c:v>3.5</c:v>
                </c:pt>
                <c:pt idx="63">
                  <c:v>3.5</c:v>
                </c:pt>
                <c:pt idx="64">
                  <c:v>3.5</c:v>
                </c:pt>
                <c:pt idx="65">
                  <c:v>3.27</c:v>
                </c:pt>
                <c:pt idx="66">
                  <c:v>3.27</c:v>
                </c:pt>
                <c:pt idx="67">
                  <c:v>3.27</c:v>
                </c:pt>
                <c:pt idx="68">
                  <c:v>45.73</c:v>
                </c:pt>
                <c:pt idx="69">
                  <c:v>26.49</c:v>
                </c:pt>
                <c:pt idx="70">
                  <c:v>63.23</c:v>
                </c:pt>
                <c:pt idx="71">
                  <c:v>58.24</c:v>
                </c:pt>
                <c:pt idx="72">
                  <c:v>17</c:v>
                </c:pt>
                <c:pt idx="73">
                  <c:v>17</c:v>
                </c:pt>
                <c:pt idx="74">
                  <c:v>17</c:v>
                </c:pt>
                <c:pt idx="75">
                  <c:v>17</c:v>
                </c:pt>
                <c:pt idx="76">
                  <c:v>34</c:v>
                </c:pt>
                <c:pt idx="77">
                  <c:v>62.4</c:v>
                </c:pt>
                <c:pt idx="78">
                  <c:v>77.31</c:v>
                </c:pt>
                <c:pt idx="79">
                  <c:v>0.36</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3.38</c:v>
                </c:pt>
                <c:pt idx="105">
                  <c:v>4.74</c:v>
                </c:pt>
                <c:pt idx="106">
                  <c:v>4.74</c:v>
                </c:pt>
                <c:pt idx="107">
                  <c:v>4.74</c:v>
                </c:pt>
                <c:pt idx="108">
                  <c:v>4.38</c:v>
                </c:pt>
                <c:pt idx="109">
                  <c:v>3.5</c:v>
                </c:pt>
                <c:pt idx="110">
                  <c:v>3.5</c:v>
                </c:pt>
                <c:pt idx="111">
                  <c:v>3.5</c:v>
                </c:pt>
                <c:pt idx="112">
                  <c:v>3.63</c:v>
                </c:pt>
                <c:pt idx="113">
                  <c:v>3.95</c:v>
                </c:pt>
                <c:pt idx="114">
                  <c:v>3.95</c:v>
                </c:pt>
                <c:pt idx="115">
                  <c:v>3.95</c:v>
                </c:pt>
                <c:pt idx="116">
                  <c:v>81.72</c:v>
                </c:pt>
                <c:pt idx="117">
                  <c:v>81.84</c:v>
                </c:pt>
                <c:pt idx="118">
                  <c:v>26.6</c:v>
                </c:pt>
                <c:pt idx="119">
                  <c:v>26.6</c:v>
                </c:pt>
                <c:pt idx="120">
                  <c:v>59.33</c:v>
                </c:pt>
                <c:pt idx="121">
                  <c:v>57</c:v>
                </c:pt>
                <c:pt idx="122">
                  <c:v>0</c:v>
                </c:pt>
                <c:pt idx="123">
                  <c:v>0</c:v>
                </c:pt>
                <c:pt idx="124">
                  <c:v>20.57</c:v>
                </c:pt>
                <c:pt idx="125">
                  <c:v>43.12</c:v>
                </c:pt>
                <c:pt idx="126">
                  <c:v>43.12</c:v>
                </c:pt>
                <c:pt idx="127">
                  <c:v>27.07</c:v>
                </c:pt>
                <c:pt idx="128">
                  <c:v>6.5</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4"/>
          <c:order val="4"/>
          <c:tx>
            <c:strRef>
              <c:f>"Digital and rest"</c:f>
              <c:strCache>
                <c:ptCount val="1"/>
                <c:pt idx="0">
                  <c:v>Digital and rest</c:v>
                </c:pt>
              </c:strCache>
            </c:strRef>
          </c:tx>
          <c:spPr>
            <a:solidFill>
              <a:srgbClr val="878787"/>
            </a:solidFill>
            <a:ln w="15840">
              <a:solidFill>
                <a:srgbClr val="87878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bonnet'!$R$6:$R$153</c:f>
              <c:numCache>
                <c:formatCode>#,##0</c:formatCode>
                <c:ptCount val="148"/>
                <c:pt idx="0">
                  <c:v>43.63</c:v>
                </c:pt>
                <c:pt idx="1">
                  <c:v>78.97</c:v>
                </c:pt>
                <c:pt idx="2">
                  <c:v>98.72</c:v>
                </c:pt>
                <c:pt idx="3">
                  <c:v>76.92</c:v>
                </c:pt>
                <c:pt idx="4">
                  <c:v>31.71</c:v>
                </c:pt>
                <c:pt idx="5">
                  <c:v>19.61</c:v>
                </c:pt>
                <c:pt idx="6">
                  <c:v>19.06</c:v>
                </c:pt>
                <c:pt idx="7">
                  <c:v>19.77</c:v>
                </c:pt>
                <c:pt idx="8">
                  <c:v>34.42</c:v>
                </c:pt>
                <c:pt idx="9">
                  <c:v>57.35</c:v>
                </c:pt>
                <c:pt idx="10">
                  <c:v>94.14</c:v>
                </c:pt>
                <c:pt idx="11">
                  <c:v>46.59</c:v>
                </c:pt>
                <c:pt idx="12">
                  <c:v>127.78</c:v>
                </c:pt>
                <c:pt idx="13">
                  <c:v>146.16</c:v>
                </c:pt>
                <c:pt idx="14">
                  <c:v>119.02</c:v>
                </c:pt>
                <c:pt idx="15">
                  <c:v>273.31</c:v>
                </c:pt>
                <c:pt idx="16">
                  <c:v>115.6</c:v>
                </c:pt>
                <c:pt idx="17">
                  <c:v>92.33</c:v>
                </c:pt>
                <c:pt idx="18">
                  <c:v>95.76</c:v>
                </c:pt>
                <c:pt idx="19">
                  <c:v>96.28</c:v>
                </c:pt>
                <c:pt idx="20">
                  <c:v>83.35</c:v>
                </c:pt>
                <c:pt idx="21">
                  <c:v>87.01</c:v>
                </c:pt>
                <c:pt idx="22">
                  <c:v>96.95</c:v>
                </c:pt>
                <c:pt idx="23">
                  <c:v>99.76</c:v>
                </c:pt>
                <c:pt idx="24">
                  <c:v>93.66</c:v>
                </c:pt>
                <c:pt idx="25">
                  <c:v>81.67</c:v>
                </c:pt>
                <c:pt idx="26">
                  <c:v>90.15</c:v>
                </c:pt>
                <c:pt idx="27">
                  <c:v>85.13</c:v>
                </c:pt>
                <c:pt idx="28">
                  <c:v>71.06</c:v>
                </c:pt>
                <c:pt idx="29">
                  <c:v>56.06</c:v>
                </c:pt>
                <c:pt idx="30">
                  <c:v>2.69</c:v>
                </c:pt>
                <c:pt idx="31">
                  <c:v>0.71</c:v>
                </c:pt>
                <c:pt idx="32">
                  <c:v>0.74</c:v>
                </c:pt>
                <c:pt idx="33">
                  <c:v>0.75</c:v>
                </c:pt>
                <c:pt idx="34">
                  <c:v>0.85</c:v>
                </c:pt>
                <c:pt idx="35">
                  <c:v>0.97</c:v>
                </c:pt>
                <c:pt idx="36">
                  <c:v>0.87</c:v>
                </c:pt>
                <c:pt idx="37">
                  <c:v>0.92</c:v>
                </c:pt>
                <c:pt idx="38">
                  <c:v>0.95</c:v>
                </c:pt>
                <c:pt idx="39">
                  <c:v>0.47</c:v>
                </c:pt>
                <c:pt idx="40">
                  <c:v>0.24</c:v>
                </c:pt>
                <c:pt idx="41">
                  <c:v>0.08</c:v>
                </c:pt>
                <c:pt idx="42">
                  <c:v>0.16</c:v>
                </c:pt>
                <c:pt idx="43">
                  <c:v>0.11</c:v>
                </c:pt>
                <c:pt idx="44">
                  <c:v>0.05</c:v>
                </c:pt>
                <c:pt idx="45">
                  <c:v>0.06</c:v>
                </c:pt>
                <c:pt idx="46">
                  <c:v>0.06</c:v>
                </c:pt>
                <c:pt idx="47">
                  <c:v>0.11</c:v>
                </c:pt>
                <c:pt idx="48">
                  <c:v>0.27</c:v>
                </c:pt>
                <c:pt idx="49">
                  <c:v>0.41</c:v>
                </c:pt>
                <c:pt idx="50">
                  <c:v>7.2</c:v>
                </c:pt>
                <c:pt idx="51">
                  <c:v>32.14</c:v>
                </c:pt>
                <c:pt idx="52">
                  <c:v>112.34</c:v>
                </c:pt>
                <c:pt idx="53">
                  <c:v>135.49</c:v>
                </c:pt>
                <c:pt idx="54">
                  <c:v>147.23</c:v>
                </c:pt>
                <c:pt idx="55">
                  <c:v>148.08</c:v>
                </c:pt>
                <c:pt idx="56">
                  <c:v>89.12</c:v>
                </c:pt>
                <c:pt idx="57">
                  <c:v>54.04</c:v>
                </c:pt>
                <c:pt idx="58">
                  <c:v>51.16</c:v>
                </c:pt>
                <c:pt idx="59">
                  <c:v>51.25</c:v>
                </c:pt>
                <c:pt idx="60">
                  <c:v>50.7</c:v>
                </c:pt>
                <c:pt idx="61">
                  <c:v>90.39</c:v>
                </c:pt>
                <c:pt idx="62">
                  <c:v>48.79</c:v>
                </c:pt>
                <c:pt idx="63">
                  <c:v>189.4</c:v>
                </c:pt>
                <c:pt idx="64">
                  <c:v>228.6</c:v>
                </c:pt>
                <c:pt idx="65">
                  <c:v>225.82</c:v>
                </c:pt>
                <c:pt idx="66">
                  <c:v>198.68</c:v>
                </c:pt>
                <c:pt idx="67">
                  <c:v>203.35</c:v>
                </c:pt>
                <c:pt idx="68">
                  <c:v>199.41</c:v>
                </c:pt>
                <c:pt idx="69">
                  <c:v>118.05</c:v>
                </c:pt>
                <c:pt idx="70">
                  <c:v>94.96</c:v>
                </c:pt>
                <c:pt idx="71">
                  <c:v>85.76</c:v>
                </c:pt>
                <c:pt idx="72">
                  <c:v>77.54</c:v>
                </c:pt>
                <c:pt idx="73">
                  <c:v>86.14</c:v>
                </c:pt>
                <c:pt idx="74">
                  <c:v>103.31</c:v>
                </c:pt>
                <c:pt idx="75">
                  <c:v>114.32</c:v>
                </c:pt>
                <c:pt idx="76">
                  <c:v>151.56</c:v>
                </c:pt>
                <c:pt idx="77">
                  <c:v>162.14</c:v>
                </c:pt>
                <c:pt idx="78">
                  <c:v>101.11</c:v>
                </c:pt>
                <c:pt idx="79">
                  <c:v>83.65</c:v>
                </c:pt>
                <c:pt idx="80">
                  <c:v>50.55</c:v>
                </c:pt>
                <c:pt idx="81">
                  <c:v>6.52</c:v>
                </c:pt>
                <c:pt idx="82">
                  <c:v>2.23</c:v>
                </c:pt>
                <c:pt idx="83">
                  <c:v>2.16</c:v>
                </c:pt>
                <c:pt idx="84">
                  <c:v>2.21</c:v>
                </c:pt>
                <c:pt idx="85">
                  <c:v>2.72</c:v>
                </c:pt>
                <c:pt idx="86">
                  <c:v>2.83</c:v>
                </c:pt>
                <c:pt idx="87">
                  <c:v>1.54</c:v>
                </c:pt>
                <c:pt idx="88">
                  <c:v>1.56</c:v>
                </c:pt>
                <c:pt idx="89">
                  <c:v>1.47</c:v>
                </c:pt>
                <c:pt idx="90">
                  <c:v>1.4</c:v>
                </c:pt>
                <c:pt idx="91">
                  <c:v>1.25</c:v>
                </c:pt>
                <c:pt idx="92">
                  <c:v>1.14</c:v>
                </c:pt>
                <c:pt idx="93">
                  <c:v>0.56</c:v>
                </c:pt>
                <c:pt idx="94">
                  <c:v>0.39</c:v>
                </c:pt>
                <c:pt idx="95">
                  <c:v>0.59</c:v>
                </c:pt>
                <c:pt idx="96">
                  <c:v>0.79</c:v>
                </c:pt>
                <c:pt idx="97">
                  <c:v>0.43</c:v>
                </c:pt>
                <c:pt idx="98">
                  <c:v>0.24</c:v>
                </c:pt>
                <c:pt idx="99">
                  <c:v>0.24</c:v>
                </c:pt>
                <c:pt idx="100">
                  <c:v>0.18</c:v>
                </c:pt>
                <c:pt idx="101">
                  <c:v>0.23</c:v>
                </c:pt>
                <c:pt idx="102">
                  <c:v>1.74</c:v>
                </c:pt>
                <c:pt idx="103">
                  <c:v>8.22</c:v>
                </c:pt>
                <c:pt idx="104">
                  <c:v>96.79</c:v>
                </c:pt>
                <c:pt idx="105">
                  <c:v>175.09</c:v>
                </c:pt>
                <c:pt idx="106">
                  <c:v>215.78</c:v>
                </c:pt>
                <c:pt idx="107">
                  <c:v>234.33</c:v>
                </c:pt>
                <c:pt idx="108">
                  <c:v>127.65</c:v>
                </c:pt>
                <c:pt idx="109">
                  <c:v>36.73</c:v>
                </c:pt>
                <c:pt idx="110">
                  <c:v>35.76</c:v>
                </c:pt>
                <c:pt idx="111">
                  <c:v>39.18</c:v>
                </c:pt>
                <c:pt idx="112">
                  <c:v>68.83</c:v>
                </c:pt>
                <c:pt idx="113">
                  <c:v>133.66</c:v>
                </c:pt>
                <c:pt idx="114">
                  <c:v>109.83</c:v>
                </c:pt>
                <c:pt idx="115">
                  <c:v>159.45</c:v>
                </c:pt>
                <c:pt idx="116">
                  <c:v>241.56</c:v>
                </c:pt>
                <c:pt idx="117">
                  <c:v>236.38</c:v>
                </c:pt>
                <c:pt idx="118">
                  <c:v>97.91</c:v>
                </c:pt>
                <c:pt idx="119">
                  <c:v>62.84</c:v>
                </c:pt>
                <c:pt idx="120">
                  <c:v>67.77</c:v>
                </c:pt>
                <c:pt idx="121">
                  <c:v>69.04</c:v>
                </c:pt>
                <c:pt idx="122">
                  <c:v>77.07</c:v>
                </c:pt>
                <c:pt idx="123">
                  <c:v>132.19</c:v>
                </c:pt>
                <c:pt idx="124">
                  <c:v>282.42</c:v>
                </c:pt>
                <c:pt idx="125">
                  <c:v>285.76</c:v>
                </c:pt>
                <c:pt idx="126">
                  <c:v>70.52</c:v>
                </c:pt>
                <c:pt idx="127">
                  <c:v>33.88</c:v>
                </c:pt>
                <c:pt idx="128">
                  <c:v>38.58</c:v>
                </c:pt>
                <c:pt idx="129">
                  <c:v>42.21</c:v>
                </c:pt>
                <c:pt idx="130">
                  <c:v>43.36</c:v>
                </c:pt>
                <c:pt idx="131">
                  <c:v>40.05</c:v>
                </c:pt>
                <c:pt idx="132">
                  <c:v>25.79</c:v>
                </c:pt>
                <c:pt idx="133">
                  <c:v>26.87</c:v>
                </c:pt>
                <c:pt idx="134">
                  <c:v>1.19</c:v>
                </c:pt>
                <c:pt idx="135">
                  <c:v>1.19</c:v>
                </c:pt>
                <c:pt idx="136">
                  <c:v>1.19</c:v>
                </c:pt>
                <c:pt idx="137">
                  <c:v>1.19</c:v>
                </c:pt>
                <c:pt idx="138">
                  <c:v>1.19</c:v>
                </c:pt>
                <c:pt idx="139">
                  <c:v>0.05</c:v>
                </c:pt>
                <c:pt idx="140">
                  <c:v>0.05</c:v>
                </c:pt>
                <c:pt idx="141">
                  <c:v>0.05</c:v>
                </c:pt>
                <c:pt idx="142">
                  <c:v>0.05</c:v>
                </c:pt>
                <c:pt idx="143">
                  <c:v>0.01</c:v>
                </c:pt>
                <c:pt idx="144">
                  <c:v>0</c:v>
                </c:pt>
                <c:pt idx="145">
                  <c:v>0</c:v>
                </c:pt>
                <c:pt idx="146">
                  <c:v>1.46</c:v>
                </c:pt>
                <c:pt idx="147">
                  <c:v>37.04</c:v>
                </c:pt>
              </c:numCache>
            </c:numRef>
          </c:val>
          <c:smooth val="0"/>
        </c:ser>
        <c:hiLowLines>
          <c:spPr>
            <a:ln w="0">
              <a:noFill/>
            </a:ln>
          </c:spPr>
        </c:hiLowLines>
        <c:marker val="0"/>
        <c:axId val="60507997"/>
        <c:axId val="33307209"/>
      </c:lineChart>
      <c:catAx>
        <c:axId val="60507997"/>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307209"/>
        <c:crosses val="autoZero"/>
        <c:auto val="1"/>
        <c:lblAlgn val="ctr"/>
        <c:lblOffset val="100"/>
        <c:noMultiLvlLbl val="0"/>
      </c:catAx>
      <c:valAx>
        <c:axId val="3330720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Spend, £ thousands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5079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finished model against the real line. Tick Show the answer to see Wave 1 as well</a:t>
            </a:r>
          </a:p>
        </c:rich>
      </c:tx>
      <c:overlay val="0"/>
      <c:spPr>
        <a:noFill/>
        <a:ln w="0">
          <a:noFill/>
        </a:ln>
      </c:spPr>
    </c:title>
    <c:autoTitleDeleted val="0"/>
    <c:plotArea>
      <c:lineChart>
        <c:grouping val="standard"/>
        <c:varyColors val="0"/>
        <c:ser>
          <c:idx val="0"/>
          <c:order val="0"/>
          <c:tx>
            <c:strRef>
              <c:f>"Wave 1 model"</c:f>
              <c:strCache>
                <c:ptCount val="1"/>
                <c:pt idx="0">
                  <c:v>Wave 1 model</c:v>
                </c:pt>
              </c:strCache>
            </c:strRef>
          </c:tx>
          <c:spPr>
            <a:solidFill>
              <a:srgbClr val="878787"/>
            </a:solidFill>
            <a:ln w="22320">
              <a:solidFill>
                <a:srgbClr val="87878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bonnet'!$BP$6:$BP$153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ser>
          <c:idx val="1"/>
          <c:order val="1"/>
          <c:tx>
            <c:strRef>
              <c:f>"Real sign-ups"</c:f>
              <c:strCache>
                <c:ptCount val="1"/>
                <c:pt idx="0">
                  <c:v>Real sign-ups</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bonnet'!$D$6:$D$153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ser>
          <c:idx val="2"/>
          <c:order val="2"/>
          <c:tx>
            <c:strRef>
              <c:f>"Your model"</c:f>
              <c:strCache>
                <c:ptCount val="1"/>
                <c:pt idx="0">
                  <c:v>Your model</c:v>
                </c:pt>
              </c:strCache>
            </c:strRef>
          </c:tx>
          <c:spPr>
            <a:solidFill>
              <a:srgbClr val="009cee"/>
            </a:solidFill>
            <a:ln w="22320">
              <a:solidFill>
                <a:srgbClr val="009c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bonnet'!$AP$6:$AP$153</c:f>
              <c:numCache>
                <c:formatCode>#,##0</c:formatCode>
                <c:ptCount val="1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numCache>
            </c:numRef>
          </c:val>
          <c:smooth val="0"/>
        </c:ser>
        <c:hiLowLines>
          <c:spPr>
            <a:ln w="0">
              <a:noFill/>
            </a:ln>
          </c:spPr>
        </c:hiLowLines>
        <c:marker val="0"/>
        <c:axId val="10681498"/>
        <c:axId val="99578994"/>
      </c:lineChart>
      <c:catAx>
        <c:axId val="10681498"/>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78994"/>
        <c:crosses val="autoZero"/>
        <c:auto val="1"/>
        <c:lblAlgn val="ctr"/>
        <c:lblOffset val="100"/>
        <c:noMultiLvlLbl val="0"/>
      </c:catAx>
      <c:valAx>
        <c:axId val="9957899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6814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misses: real sign-ups minus your model. Random scatter around zero is good. Long runs above or below are not</a:t>
            </a:r>
          </a:p>
        </c:rich>
      </c:tx>
      <c:overlay val="0"/>
      <c:spPr>
        <a:noFill/>
        <a:ln w="0">
          <a:noFill/>
        </a:ln>
      </c:spPr>
    </c:title>
    <c:autoTitleDeleted val="0"/>
    <c:plotArea>
      <c:lineChart>
        <c:grouping val="standard"/>
        <c:varyColors val="0"/>
        <c:ser>
          <c:idx val="0"/>
          <c:order val="0"/>
          <c:tx>
            <c:strRef>
              <c:f>"Real minus yours"</c:f>
              <c:strCache>
                <c:ptCount val="1"/>
                <c:pt idx="0">
                  <c:v>Real minus yours</c:v>
                </c:pt>
              </c:strCache>
            </c:strRef>
          </c:tx>
          <c:spPr>
            <a:solidFill>
              <a:srgbClr val="00007e"/>
            </a:solidFill>
            <a:ln w="15840">
              <a:solidFill>
                <a:srgbClr val="00007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bonnet'!$BQ$6:$BQ$153</c:f>
              <c:numCache>
                <c:formatCode>#,##0</c:formatCode>
                <c:ptCount val="148"/>
                <c:pt idx="0">
                  <c:v>15469</c:v>
                </c:pt>
                <c:pt idx="1">
                  <c:v>13743</c:v>
                </c:pt>
                <c:pt idx="2">
                  <c:v>11484</c:v>
                </c:pt>
                <c:pt idx="3">
                  <c:v>18475</c:v>
                </c:pt>
                <c:pt idx="4">
                  <c:v>18825</c:v>
                </c:pt>
                <c:pt idx="5">
                  <c:v>2994</c:v>
                </c:pt>
                <c:pt idx="6">
                  <c:v>2443</c:v>
                </c:pt>
                <c:pt idx="7">
                  <c:v>2875</c:v>
                </c:pt>
                <c:pt idx="8">
                  <c:v>4349</c:v>
                </c:pt>
                <c:pt idx="9">
                  <c:v>4234</c:v>
                </c:pt>
                <c:pt idx="10">
                  <c:v>4847</c:v>
                </c:pt>
                <c:pt idx="11">
                  <c:v>8370</c:v>
                </c:pt>
                <c:pt idx="12">
                  <c:v>12608</c:v>
                </c:pt>
                <c:pt idx="13">
                  <c:v>9003</c:v>
                </c:pt>
                <c:pt idx="14">
                  <c:v>10034</c:v>
                </c:pt>
                <c:pt idx="15">
                  <c:v>12711</c:v>
                </c:pt>
                <c:pt idx="16">
                  <c:v>21782</c:v>
                </c:pt>
                <c:pt idx="17">
                  <c:v>9465</c:v>
                </c:pt>
                <c:pt idx="18">
                  <c:v>8614</c:v>
                </c:pt>
                <c:pt idx="19">
                  <c:v>7938</c:v>
                </c:pt>
                <c:pt idx="20">
                  <c:v>6539</c:v>
                </c:pt>
                <c:pt idx="21">
                  <c:v>6488</c:v>
                </c:pt>
                <c:pt idx="22">
                  <c:v>6624</c:v>
                </c:pt>
                <c:pt idx="23">
                  <c:v>4950</c:v>
                </c:pt>
                <c:pt idx="24">
                  <c:v>4778</c:v>
                </c:pt>
                <c:pt idx="25">
                  <c:v>4637</c:v>
                </c:pt>
                <c:pt idx="26">
                  <c:v>3851</c:v>
                </c:pt>
                <c:pt idx="27">
                  <c:v>2277</c:v>
                </c:pt>
                <c:pt idx="28">
                  <c:v>1511</c:v>
                </c:pt>
                <c:pt idx="29">
                  <c:v>969</c:v>
                </c:pt>
                <c:pt idx="30">
                  <c:v>422</c:v>
                </c:pt>
                <c:pt idx="31">
                  <c:v>233</c:v>
                </c:pt>
                <c:pt idx="32">
                  <c:v>182</c:v>
                </c:pt>
                <c:pt idx="33">
                  <c:v>129</c:v>
                </c:pt>
                <c:pt idx="34">
                  <c:v>169</c:v>
                </c:pt>
                <c:pt idx="35">
                  <c:v>249</c:v>
                </c:pt>
                <c:pt idx="36">
                  <c:v>312</c:v>
                </c:pt>
                <c:pt idx="37">
                  <c:v>285</c:v>
                </c:pt>
                <c:pt idx="38">
                  <c:v>400</c:v>
                </c:pt>
                <c:pt idx="39">
                  <c:v>325</c:v>
                </c:pt>
                <c:pt idx="40">
                  <c:v>354</c:v>
                </c:pt>
                <c:pt idx="41">
                  <c:v>283</c:v>
                </c:pt>
                <c:pt idx="42">
                  <c:v>224</c:v>
                </c:pt>
                <c:pt idx="43">
                  <c:v>199</c:v>
                </c:pt>
                <c:pt idx="44">
                  <c:v>143</c:v>
                </c:pt>
                <c:pt idx="45">
                  <c:v>247</c:v>
                </c:pt>
                <c:pt idx="46">
                  <c:v>208</c:v>
                </c:pt>
                <c:pt idx="47">
                  <c:v>178</c:v>
                </c:pt>
                <c:pt idx="48">
                  <c:v>156</c:v>
                </c:pt>
                <c:pt idx="49">
                  <c:v>165</c:v>
                </c:pt>
                <c:pt idx="50">
                  <c:v>424</c:v>
                </c:pt>
                <c:pt idx="51">
                  <c:v>2911</c:v>
                </c:pt>
                <c:pt idx="52">
                  <c:v>10541</c:v>
                </c:pt>
                <c:pt idx="53">
                  <c:v>15091</c:v>
                </c:pt>
                <c:pt idx="54">
                  <c:v>11231</c:v>
                </c:pt>
                <c:pt idx="55">
                  <c:v>17424</c:v>
                </c:pt>
                <c:pt idx="56">
                  <c:v>29920</c:v>
                </c:pt>
                <c:pt idx="57">
                  <c:v>3364</c:v>
                </c:pt>
                <c:pt idx="58">
                  <c:v>3134</c:v>
                </c:pt>
                <c:pt idx="59">
                  <c:v>3133</c:v>
                </c:pt>
                <c:pt idx="60">
                  <c:v>4742</c:v>
                </c:pt>
                <c:pt idx="61">
                  <c:v>5043</c:v>
                </c:pt>
                <c:pt idx="62">
                  <c:v>6334</c:v>
                </c:pt>
                <c:pt idx="63">
                  <c:v>8687</c:v>
                </c:pt>
                <c:pt idx="64">
                  <c:v>9170</c:v>
                </c:pt>
                <c:pt idx="65">
                  <c:v>9821</c:v>
                </c:pt>
                <c:pt idx="66">
                  <c:v>10422</c:v>
                </c:pt>
                <c:pt idx="67">
                  <c:v>11546</c:v>
                </c:pt>
                <c:pt idx="68">
                  <c:v>20655</c:v>
                </c:pt>
                <c:pt idx="69">
                  <c:v>12844</c:v>
                </c:pt>
                <c:pt idx="70">
                  <c:v>7516</c:v>
                </c:pt>
                <c:pt idx="71">
                  <c:v>6687</c:v>
                </c:pt>
                <c:pt idx="72">
                  <c:v>7477</c:v>
                </c:pt>
                <c:pt idx="73">
                  <c:v>6805</c:v>
                </c:pt>
                <c:pt idx="74">
                  <c:v>6394</c:v>
                </c:pt>
                <c:pt idx="75">
                  <c:v>5409</c:v>
                </c:pt>
                <c:pt idx="76">
                  <c:v>4819</c:v>
                </c:pt>
                <c:pt idx="77">
                  <c:v>4558</c:v>
                </c:pt>
                <c:pt idx="78">
                  <c:v>3559</c:v>
                </c:pt>
                <c:pt idx="79">
                  <c:v>2296</c:v>
                </c:pt>
                <c:pt idx="80">
                  <c:v>1719</c:v>
                </c:pt>
                <c:pt idx="81">
                  <c:v>729</c:v>
                </c:pt>
                <c:pt idx="82">
                  <c:v>249</c:v>
                </c:pt>
                <c:pt idx="83">
                  <c:v>175</c:v>
                </c:pt>
                <c:pt idx="84">
                  <c:v>132</c:v>
                </c:pt>
                <c:pt idx="85">
                  <c:v>161</c:v>
                </c:pt>
                <c:pt idx="86">
                  <c:v>198</c:v>
                </c:pt>
                <c:pt idx="87">
                  <c:v>243</c:v>
                </c:pt>
                <c:pt idx="88">
                  <c:v>274</c:v>
                </c:pt>
                <c:pt idx="89">
                  <c:v>329</c:v>
                </c:pt>
                <c:pt idx="90">
                  <c:v>220</c:v>
                </c:pt>
                <c:pt idx="91">
                  <c:v>351</c:v>
                </c:pt>
                <c:pt idx="92">
                  <c:v>420</c:v>
                </c:pt>
                <c:pt idx="93">
                  <c:v>381</c:v>
                </c:pt>
                <c:pt idx="94">
                  <c:v>375</c:v>
                </c:pt>
                <c:pt idx="95">
                  <c:v>800</c:v>
                </c:pt>
                <c:pt idx="96">
                  <c:v>217</c:v>
                </c:pt>
                <c:pt idx="97">
                  <c:v>205</c:v>
                </c:pt>
                <c:pt idx="98">
                  <c:v>114</c:v>
                </c:pt>
                <c:pt idx="99">
                  <c:v>182</c:v>
                </c:pt>
                <c:pt idx="100">
                  <c:v>183</c:v>
                </c:pt>
                <c:pt idx="101">
                  <c:v>150</c:v>
                </c:pt>
                <c:pt idx="102">
                  <c:v>360</c:v>
                </c:pt>
                <c:pt idx="103">
                  <c:v>1570</c:v>
                </c:pt>
                <c:pt idx="104">
                  <c:v>12614</c:v>
                </c:pt>
                <c:pt idx="105">
                  <c:v>12029</c:v>
                </c:pt>
                <c:pt idx="106">
                  <c:v>11971</c:v>
                </c:pt>
                <c:pt idx="107">
                  <c:v>14384</c:v>
                </c:pt>
                <c:pt idx="108">
                  <c:v>37351</c:v>
                </c:pt>
                <c:pt idx="109">
                  <c:v>3292</c:v>
                </c:pt>
                <c:pt idx="110">
                  <c:v>2354</c:v>
                </c:pt>
                <c:pt idx="111">
                  <c:v>2331</c:v>
                </c:pt>
                <c:pt idx="112">
                  <c:v>3075</c:v>
                </c:pt>
                <c:pt idx="113">
                  <c:v>5058</c:v>
                </c:pt>
                <c:pt idx="114">
                  <c:v>6229</c:v>
                </c:pt>
                <c:pt idx="115">
                  <c:v>8104</c:v>
                </c:pt>
                <c:pt idx="116">
                  <c:v>9036</c:v>
                </c:pt>
                <c:pt idx="117">
                  <c:v>16661</c:v>
                </c:pt>
                <c:pt idx="118">
                  <c:v>5340</c:v>
                </c:pt>
                <c:pt idx="119">
                  <c:v>4474</c:v>
                </c:pt>
                <c:pt idx="120">
                  <c:v>6144</c:v>
                </c:pt>
                <c:pt idx="121">
                  <c:v>11482</c:v>
                </c:pt>
                <c:pt idx="122">
                  <c:v>8552</c:v>
                </c:pt>
                <c:pt idx="123">
                  <c:v>7209</c:v>
                </c:pt>
                <c:pt idx="124">
                  <c:v>7837</c:v>
                </c:pt>
                <c:pt idx="125">
                  <c:v>9695</c:v>
                </c:pt>
                <c:pt idx="126">
                  <c:v>7537</c:v>
                </c:pt>
                <c:pt idx="127">
                  <c:v>4443</c:v>
                </c:pt>
                <c:pt idx="128">
                  <c:v>3214</c:v>
                </c:pt>
                <c:pt idx="129">
                  <c:v>3648</c:v>
                </c:pt>
                <c:pt idx="130">
                  <c:v>2800</c:v>
                </c:pt>
                <c:pt idx="131">
                  <c:v>2136</c:v>
                </c:pt>
                <c:pt idx="132">
                  <c:v>1522</c:v>
                </c:pt>
                <c:pt idx="133">
                  <c:v>1286</c:v>
                </c:pt>
                <c:pt idx="134">
                  <c:v>285</c:v>
                </c:pt>
                <c:pt idx="135">
                  <c:v>216</c:v>
                </c:pt>
                <c:pt idx="136">
                  <c:v>195</c:v>
                </c:pt>
                <c:pt idx="137">
                  <c:v>194</c:v>
                </c:pt>
                <c:pt idx="138">
                  <c:v>221</c:v>
                </c:pt>
                <c:pt idx="139">
                  <c:v>350</c:v>
                </c:pt>
                <c:pt idx="140">
                  <c:v>362</c:v>
                </c:pt>
                <c:pt idx="141">
                  <c:v>353</c:v>
                </c:pt>
                <c:pt idx="142">
                  <c:v>348</c:v>
                </c:pt>
                <c:pt idx="143">
                  <c:v>515</c:v>
                </c:pt>
                <c:pt idx="144">
                  <c:v>506</c:v>
                </c:pt>
                <c:pt idx="145">
                  <c:v>488</c:v>
                </c:pt>
                <c:pt idx="146">
                  <c:v>583</c:v>
                </c:pt>
                <c:pt idx="147">
                  <c:v>958</c:v>
                </c:pt>
              </c:numCache>
            </c:numRef>
          </c:val>
          <c:smooth val="0"/>
        </c:ser>
        <c:hiLowLines>
          <c:spPr>
            <a:ln w="0">
              <a:noFill/>
            </a:ln>
          </c:spPr>
        </c:hiLowLines>
        <c:marker val="0"/>
        <c:axId val="66975929"/>
        <c:axId val="56920089"/>
      </c:lineChart>
      <c:catAx>
        <c:axId val="66975929"/>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20089"/>
        <c:crosses val="autoZero"/>
        <c:auto val="1"/>
        <c:lblAlgn val="ctr"/>
        <c:lblOffset val="100"/>
        <c:noMultiLvlLbl val="0"/>
      </c:catAx>
      <c:valAx>
        <c:axId val="5692008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Sign-ups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759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 by channel, £ thousands: the 2025 plan against the plan in use</a:t>
            </a:r>
          </a:p>
        </c:rich>
      </c:tx>
      <c:overlay val="0"/>
      <c:spPr>
        <a:noFill/>
        <a:ln w="0">
          <a:noFill/>
        </a:ln>
      </c:spPr>
    </c:title>
    <c:autoTitleDeleted val="0"/>
    <c:plotArea>
      <c:barChart>
        <c:barDir val="col"/>
        <c:grouping val="clustered"/>
        <c:varyColors val="0"/>
        <c:ser>
          <c:idx val="0"/>
          <c:order val="0"/>
          <c:tx>
            <c:strRef>
              <c:f>"2025 plan"</c:f>
              <c:strCache>
                <c:ptCount val="1"/>
                <c:pt idx="0">
                  <c:v>2025 plan</c:v>
                </c:pt>
              </c:strCache>
            </c:strRef>
          </c:tx>
          <c:spPr>
            <a:solidFill>
              <a:srgbClr val="c6c6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'Level 8'!$B$10:$B$22</c:f>
              <c:strCache>
                <c:ptCount val="13"/>
                <c:pt idx="0">
                  <c:v>DRTV</c:v>
                </c:pt>
                <c:pt idx="1">
                  <c:v>Online video (VOD)</c:v>
                </c:pt>
                <c:pt idx="2">
                  <c:v>Radio</c:v>
                </c:pt>
                <c:pt idx="3">
                  <c:v>Paid social</c:v>
                </c:pt>
                <c:pt idx="4">
                  <c:v>Regional</c:v>
                </c:pt>
                <c:pt idx="5">
                  <c:v>Posters (OOH)</c:v>
                </c:pt>
                <c:pt idx="6">
                  <c:v>Digital audio</c:v>
                </c:pt>
                <c:pt idx="7">
                  <c:v>Display</c:v>
                </c:pt>
                <c:pt idx="8">
                  <c:v>Paid search</c:v>
                </c:pt>
                <c:pt idx="9">
                  <c:v>YouTube</c:v>
                </c:pt>
                <c:pt idx="10">
                  <c:v>Telemarketing</c:v>
                </c:pt>
                <c:pt idx="11">
                  <c:v>Direct mail</c:v>
                </c:pt>
                <c:pt idx="12">
                  <c:v>Door drops</c:v>
                </c:pt>
              </c:strCache>
            </c:strRef>
          </c:cat>
          <c:val>
            <c:numRef>
              <c:f>'Level 8'!$C$10:$C$22</c:f>
              <c:numCache>
                <c:formatCode>#,##0</c:formatCode>
                <c:ptCount val="13"/>
                <c:pt idx="0">
                  <c:v>985</c:v>
                </c:pt>
                <c:pt idx="1">
                  <c:v>899</c:v>
                </c:pt>
                <c:pt idx="2">
                  <c:v>834</c:v>
                </c:pt>
                <c:pt idx="3">
                  <c:v>1063</c:v>
                </c:pt>
                <c:pt idx="4">
                  <c:v>748</c:v>
                </c:pt>
                <c:pt idx="5">
                  <c:v>521</c:v>
                </c:pt>
                <c:pt idx="6">
                  <c:v>458</c:v>
                </c:pt>
                <c:pt idx="7">
                  <c:v>442</c:v>
                </c:pt>
                <c:pt idx="8">
                  <c:v>318</c:v>
                </c:pt>
                <c:pt idx="9">
                  <c:v>121</c:v>
                </c:pt>
                <c:pt idx="10">
                  <c:v>102</c:v>
                </c:pt>
                <c:pt idx="11">
                  <c:v>40</c:v>
                </c:pt>
                <c:pt idx="12">
                  <c:v>22</c:v>
                </c:pt>
              </c:numCache>
            </c:numRef>
          </c:val>
        </c:ser>
        <c:ser>
          <c:idx val="1"/>
          <c:order val="1"/>
          <c:tx>
            <c:strRef>
              <c:f>"Plan in use"</c:f>
              <c:strCache>
                <c:ptCount val="1"/>
                <c:pt idx="0">
                  <c:v>Plan in use</c:v>
                </c:pt>
              </c:strCache>
            </c:strRef>
          </c:tx>
          <c:spPr>
            <a:solidFill>
              <a:srgbClr val="009ce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'Level 8'!$B$10:$B$22</c:f>
              <c:strCache>
                <c:ptCount val="13"/>
                <c:pt idx="0">
                  <c:v>DRTV</c:v>
                </c:pt>
                <c:pt idx="1">
                  <c:v>Online video (VOD)</c:v>
                </c:pt>
                <c:pt idx="2">
                  <c:v>Radio</c:v>
                </c:pt>
                <c:pt idx="3">
                  <c:v>Paid social</c:v>
                </c:pt>
                <c:pt idx="4">
                  <c:v>Regional</c:v>
                </c:pt>
                <c:pt idx="5">
                  <c:v>Posters (OOH)</c:v>
                </c:pt>
                <c:pt idx="6">
                  <c:v>Digital audio</c:v>
                </c:pt>
                <c:pt idx="7">
                  <c:v>Display</c:v>
                </c:pt>
                <c:pt idx="8">
                  <c:v>Paid search</c:v>
                </c:pt>
                <c:pt idx="9">
                  <c:v>YouTube</c:v>
                </c:pt>
                <c:pt idx="10">
                  <c:v>Telemarketing</c:v>
                </c:pt>
                <c:pt idx="11">
                  <c:v>Direct mail</c:v>
                </c:pt>
                <c:pt idx="12">
                  <c:v>Door drops</c:v>
                </c:pt>
              </c:strCache>
            </c:strRef>
          </c:cat>
          <c:val>
            <c:numRef>
              <c:f>'Level 8'!$H$10:$H$22</c:f>
              <c:numCache>
                <c:formatCode>#,##0</c:formatCode>
                <c:ptCount val="13"/>
                <c:pt idx="0">
                  <c:v>985</c:v>
                </c:pt>
                <c:pt idx="1">
                  <c:v>899</c:v>
                </c:pt>
                <c:pt idx="2">
                  <c:v>834</c:v>
                </c:pt>
                <c:pt idx="3">
                  <c:v>1063</c:v>
                </c:pt>
                <c:pt idx="4">
                  <c:v>748</c:v>
                </c:pt>
                <c:pt idx="5">
                  <c:v>521</c:v>
                </c:pt>
                <c:pt idx="6">
                  <c:v>458</c:v>
                </c:pt>
                <c:pt idx="7">
                  <c:v>442</c:v>
                </c:pt>
                <c:pt idx="8">
                  <c:v>318</c:v>
                </c:pt>
                <c:pt idx="9">
                  <c:v>121</c:v>
                </c:pt>
                <c:pt idx="10">
                  <c:v>102</c:v>
                </c:pt>
                <c:pt idx="11">
                  <c:v>40</c:v>
                </c:pt>
                <c:pt idx="12">
                  <c:v>22</c:v>
                </c:pt>
              </c:numCache>
            </c:numRef>
          </c:val>
        </c:ser>
        <c:gapWidth val="150"/>
        <c:overlap val="0"/>
        <c:axId val="43060142"/>
        <c:axId val="67673422"/>
      </c:barChart>
      <c:catAx>
        <c:axId val="430601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673422"/>
        <c:crosses val="autoZero"/>
        <c:auto val="1"/>
        <c:lblAlgn val="ctr"/>
        <c:lblOffset val="100"/>
        <c:noMultiLvlLbl val="0"/>
      </c:catAx>
      <c:valAx>
        <c:axId val="67673422"/>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06014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All CRUK media spend each week, £ thousands (bars) and brand consideration (line)</a:t>
            </a:r>
          </a:p>
        </c:rich>
      </c:tx>
      <c:overlay val="0"/>
      <c:spPr>
        <a:noFill/>
        <a:ln w="0">
          <a:noFill/>
        </a:ln>
      </c:spPr>
    </c:title>
    <c:autoTitleDeleted val="0"/>
    <c:plotArea>
      <c:barChart>
        <c:barDir val="col"/>
        <c:grouping val="clustered"/>
        <c:varyColors val="0"/>
        <c:ser>
          <c:idx val="0"/>
          <c:order val="0"/>
          <c:tx>
            <c:strRef>
              <c:f>"All CRUK media, £ thousands a week"</c:f>
              <c:strCache>
                <c:ptCount val="1"/>
                <c:pt idx="0">
                  <c:v>All CRUK media, £ thousands a week</c:v>
                </c:pt>
              </c:strCache>
            </c:strRef>
          </c:tx>
          <c:spPr>
            <a:solidFill>
              <a:srgbClr val="c6c6c6"/>
            </a:solidFill>
            <a:ln w="0">
              <a:solidFill>
                <a:srgbClr val="c6c6c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bonnet'!$BW$6:$BW$153</c:f>
              <c:numCache>
                <c:formatCode>#,##0</c:formatCode>
                <c:ptCount val="148"/>
                <c:pt idx="0">
                  <c:v>848.3</c:v>
                </c:pt>
                <c:pt idx="1">
                  <c:v>841.2</c:v>
                </c:pt>
                <c:pt idx="2">
                  <c:v>774.9</c:v>
                </c:pt>
                <c:pt idx="3">
                  <c:v>640.5</c:v>
                </c:pt>
                <c:pt idx="4">
                  <c:v>833</c:v>
                </c:pt>
                <c:pt idx="5">
                  <c:v>655.7</c:v>
                </c:pt>
                <c:pt idx="6">
                  <c:v>396.9</c:v>
                </c:pt>
                <c:pt idx="7">
                  <c:v>598.8</c:v>
                </c:pt>
                <c:pt idx="8">
                  <c:v>308.4</c:v>
                </c:pt>
                <c:pt idx="9">
                  <c:v>383.5</c:v>
                </c:pt>
                <c:pt idx="10">
                  <c:v>493.8</c:v>
                </c:pt>
                <c:pt idx="11">
                  <c:v>1020.4</c:v>
                </c:pt>
                <c:pt idx="12">
                  <c:v>1138.5</c:v>
                </c:pt>
                <c:pt idx="13">
                  <c:v>1170.1</c:v>
                </c:pt>
                <c:pt idx="14">
                  <c:v>1100.7</c:v>
                </c:pt>
                <c:pt idx="15">
                  <c:v>1093</c:v>
                </c:pt>
                <c:pt idx="16">
                  <c:v>882.1</c:v>
                </c:pt>
                <c:pt idx="17">
                  <c:v>427.2</c:v>
                </c:pt>
                <c:pt idx="18">
                  <c:v>379.7</c:v>
                </c:pt>
                <c:pt idx="19">
                  <c:v>301.9</c:v>
                </c:pt>
                <c:pt idx="20">
                  <c:v>307.1</c:v>
                </c:pt>
                <c:pt idx="21">
                  <c:v>299.3</c:v>
                </c:pt>
                <c:pt idx="22">
                  <c:v>813.1</c:v>
                </c:pt>
                <c:pt idx="23">
                  <c:v>421.4</c:v>
                </c:pt>
                <c:pt idx="24">
                  <c:v>564.7</c:v>
                </c:pt>
                <c:pt idx="25">
                  <c:v>362.2</c:v>
                </c:pt>
                <c:pt idx="26">
                  <c:v>329.1</c:v>
                </c:pt>
                <c:pt idx="27">
                  <c:v>326.6</c:v>
                </c:pt>
                <c:pt idx="28">
                  <c:v>289.9</c:v>
                </c:pt>
                <c:pt idx="29">
                  <c:v>300.4</c:v>
                </c:pt>
                <c:pt idx="30">
                  <c:v>198.2</c:v>
                </c:pt>
                <c:pt idx="31">
                  <c:v>178.1</c:v>
                </c:pt>
                <c:pt idx="32">
                  <c:v>194.6</c:v>
                </c:pt>
                <c:pt idx="33">
                  <c:v>324.9</c:v>
                </c:pt>
                <c:pt idx="34">
                  <c:v>782</c:v>
                </c:pt>
                <c:pt idx="35">
                  <c:v>1104.7</c:v>
                </c:pt>
                <c:pt idx="36">
                  <c:v>1331.3</c:v>
                </c:pt>
                <c:pt idx="37">
                  <c:v>1103</c:v>
                </c:pt>
                <c:pt idx="38">
                  <c:v>742.8</c:v>
                </c:pt>
                <c:pt idx="39">
                  <c:v>649.3</c:v>
                </c:pt>
                <c:pt idx="40">
                  <c:v>679.6</c:v>
                </c:pt>
                <c:pt idx="41">
                  <c:v>383.4</c:v>
                </c:pt>
                <c:pt idx="42">
                  <c:v>699.9</c:v>
                </c:pt>
                <c:pt idx="43">
                  <c:v>409.7</c:v>
                </c:pt>
                <c:pt idx="44">
                  <c:v>363.6</c:v>
                </c:pt>
                <c:pt idx="45">
                  <c:v>277.4</c:v>
                </c:pt>
                <c:pt idx="46">
                  <c:v>860.1</c:v>
                </c:pt>
                <c:pt idx="47">
                  <c:v>344.4</c:v>
                </c:pt>
                <c:pt idx="48">
                  <c:v>638.2</c:v>
                </c:pt>
                <c:pt idx="49">
                  <c:v>307</c:v>
                </c:pt>
                <c:pt idx="50">
                  <c:v>177.6</c:v>
                </c:pt>
                <c:pt idx="51">
                  <c:v>220.1</c:v>
                </c:pt>
                <c:pt idx="52">
                  <c:v>1195</c:v>
                </c:pt>
                <c:pt idx="53">
                  <c:v>1001.1</c:v>
                </c:pt>
                <c:pt idx="54">
                  <c:v>1194.3</c:v>
                </c:pt>
                <c:pt idx="55">
                  <c:v>1265.5</c:v>
                </c:pt>
                <c:pt idx="56">
                  <c:v>564.3</c:v>
                </c:pt>
                <c:pt idx="57">
                  <c:v>546.8</c:v>
                </c:pt>
                <c:pt idx="58">
                  <c:v>544.1</c:v>
                </c:pt>
                <c:pt idx="59">
                  <c:v>596.5</c:v>
                </c:pt>
                <c:pt idx="60">
                  <c:v>975.6</c:v>
                </c:pt>
                <c:pt idx="61">
                  <c:v>855</c:v>
                </c:pt>
                <c:pt idx="62">
                  <c:v>515.4</c:v>
                </c:pt>
                <c:pt idx="63">
                  <c:v>1163.3</c:v>
                </c:pt>
                <c:pt idx="64">
                  <c:v>1135.1</c:v>
                </c:pt>
                <c:pt idx="65">
                  <c:v>1113.1</c:v>
                </c:pt>
                <c:pt idx="66">
                  <c:v>1015.7</c:v>
                </c:pt>
                <c:pt idx="67">
                  <c:v>609.1</c:v>
                </c:pt>
                <c:pt idx="68">
                  <c:v>653.4</c:v>
                </c:pt>
                <c:pt idx="69">
                  <c:v>481.9</c:v>
                </c:pt>
                <c:pt idx="70">
                  <c:v>489.2</c:v>
                </c:pt>
                <c:pt idx="71">
                  <c:v>570.4</c:v>
                </c:pt>
                <c:pt idx="72">
                  <c:v>476.6</c:v>
                </c:pt>
                <c:pt idx="73">
                  <c:v>520</c:v>
                </c:pt>
                <c:pt idx="74">
                  <c:v>928.8</c:v>
                </c:pt>
                <c:pt idx="75">
                  <c:v>926</c:v>
                </c:pt>
                <c:pt idx="76">
                  <c:v>799.9</c:v>
                </c:pt>
                <c:pt idx="77">
                  <c:v>860.8</c:v>
                </c:pt>
                <c:pt idx="78">
                  <c:v>550.5</c:v>
                </c:pt>
                <c:pt idx="79">
                  <c:v>530.5</c:v>
                </c:pt>
                <c:pt idx="80">
                  <c:v>347.1</c:v>
                </c:pt>
                <c:pt idx="81">
                  <c:v>287.4</c:v>
                </c:pt>
                <c:pt idx="82">
                  <c:v>145.7</c:v>
                </c:pt>
                <c:pt idx="83">
                  <c:v>121</c:v>
                </c:pt>
                <c:pt idx="84">
                  <c:v>174.2</c:v>
                </c:pt>
                <c:pt idx="85">
                  <c:v>234</c:v>
                </c:pt>
                <c:pt idx="86">
                  <c:v>260.1</c:v>
                </c:pt>
                <c:pt idx="87">
                  <c:v>771.6</c:v>
                </c:pt>
                <c:pt idx="88">
                  <c:v>565.7</c:v>
                </c:pt>
                <c:pt idx="89">
                  <c:v>585.9</c:v>
                </c:pt>
                <c:pt idx="90">
                  <c:v>283.3</c:v>
                </c:pt>
                <c:pt idx="91">
                  <c:v>245.1</c:v>
                </c:pt>
                <c:pt idx="92">
                  <c:v>670.7</c:v>
                </c:pt>
                <c:pt idx="93">
                  <c:v>637.6</c:v>
                </c:pt>
                <c:pt idx="94">
                  <c:v>728</c:v>
                </c:pt>
                <c:pt idx="95">
                  <c:v>321.3</c:v>
                </c:pt>
                <c:pt idx="96">
                  <c:v>248.3</c:v>
                </c:pt>
                <c:pt idx="97">
                  <c:v>247.8</c:v>
                </c:pt>
                <c:pt idx="98">
                  <c:v>238</c:v>
                </c:pt>
                <c:pt idx="99">
                  <c:v>182.7</c:v>
                </c:pt>
                <c:pt idx="100">
                  <c:v>106.9</c:v>
                </c:pt>
                <c:pt idx="101">
                  <c:v>120.4</c:v>
                </c:pt>
                <c:pt idx="102">
                  <c:v>222.1</c:v>
                </c:pt>
                <c:pt idx="103">
                  <c:v>131.7</c:v>
                </c:pt>
                <c:pt idx="104">
                  <c:v>416.5</c:v>
                </c:pt>
                <c:pt idx="105">
                  <c:v>1548.1</c:v>
                </c:pt>
                <c:pt idx="106">
                  <c:v>1563.5</c:v>
                </c:pt>
                <c:pt idx="107">
                  <c:v>1319</c:v>
                </c:pt>
                <c:pt idx="108">
                  <c:v>962.7</c:v>
                </c:pt>
                <c:pt idx="109">
                  <c:v>824.1</c:v>
                </c:pt>
                <c:pt idx="110">
                  <c:v>888</c:v>
                </c:pt>
                <c:pt idx="111">
                  <c:v>713.4</c:v>
                </c:pt>
                <c:pt idx="112">
                  <c:v>750.9</c:v>
                </c:pt>
                <c:pt idx="113">
                  <c:v>729.8</c:v>
                </c:pt>
                <c:pt idx="114">
                  <c:v>737.2</c:v>
                </c:pt>
                <c:pt idx="115">
                  <c:v>785.2</c:v>
                </c:pt>
                <c:pt idx="116">
                  <c:v>822.8</c:v>
                </c:pt>
                <c:pt idx="117">
                  <c:v>583.3</c:v>
                </c:pt>
                <c:pt idx="118">
                  <c:v>313.3</c:v>
                </c:pt>
                <c:pt idx="119">
                  <c:v>338.2</c:v>
                </c:pt>
                <c:pt idx="120">
                  <c:v>411.5</c:v>
                </c:pt>
                <c:pt idx="121">
                  <c:v>436.7</c:v>
                </c:pt>
                <c:pt idx="122">
                  <c:v>387.7</c:v>
                </c:pt>
                <c:pt idx="123">
                  <c:v>368</c:v>
                </c:pt>
                <c:pt idx="124">
                  <c:v>553.4</c:v>
                </c:pt>
                <c:pt idx="125">
                  <c:v>593.5</c:v>
                </c:pt>
                <c:pt idx="126">
                  <c:v>1186.3</c:v>
                </c:pt>
                <c:pt idx="127">
                  <c:v>1187.6</c:v>
                </c:pt>
                <c:pt idx="128">
                  <c:v>446.2</c:v>
                </c:pt>
                <c:pt idx="129">
                  <c:v>378.2</c:v>
                </c:pt>
                <c:pt idx="130">
                  <c:v>281.8</c:v>
                </c:pt>
                <c:pt idx="131">
                  <c:v>277.8</c:v>
                </c:pt>
                <c:pt idx="132">
                  <c:v>257.4</c:v>
                </c:pt>
                <c:pt idx="133">
                  <c:v>267</c:v>
                </c:pt>
                <c:pt idx="134">
                  <c:v>184.2</c:v>
                </c:pt>
                <c:pt idx="135">
                  <c:v>194.1</c:v>
                </c:pt>
                <c:pt idx="136">
                  <c:v>194.4</c:v>
                </c:pt>
                <c:pt idx="137">
                  <c:v>308.8</c:v>
                </c:pt>
                <c:pt idx="138">
                  <c:v>296.8</c:v>
                </c:pt>
                <c:pt idx="139">
                  <c:v>976.2</c:v>
                </c:pt>
                <c:pt idx="140">
                  <c:v>1012.9</c:v>
                </c:pt>
                <c:pt idx="141">
                  <c:v>340.9</c:v>
                </c:pt>
                <c:pt idx="142">
                  <c:v>337.5</c:v>
                </c:pt>
                <c:pt idx="143">
                  <c:v>440.9</c:v>
                </c:pt>
                <c:pt idx="144">
                  <c:v>371.9</c:v>
                </c:pt>
                <c:pt idx="145">
                  <c:v>1168.2</c:v>
                </c:pt>
                <c:pt idx="146">
                  <c:v>1022.6</c:v>
                </c:pt>
                <c:pt idx="147">
                  <c:v>319.6</c:v>
                </c:pt>
              </c:numCache>
            </c:numRef>
          </c:val>
        </c:ser>
        <c:gapWidth val="30"/>
        <c:overlap val="0"/>
        <c:axId val="58616437"/>
        <c:axId val="94789557"/>
      </c:barChart>
      <c:lineChart>
        <c:grouping val="standard"/>
        <c:varyColors val="0"/>
        <c:ser>
          <c:idx val="1"/>
          <c:order val="1"/>
          <c:tx>
            <c:strRef>
              <c:f>"Brand consideration"</c:f>
              <c:strCache>
                <c:ptCount val="1"/>
                <c:pt idx="0">
                  <c:v>Brand consideration</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bonnet'!$BV$6:$BV$153</c:f>
              <c:numCache>
                <c:formatCode>0.0%</c:formatCode>
                <c:ptCount val="148"/>
                <c:pt idx="0">
                  <c:v>0.5182</c:v>
                </c:pt>
                <c:pt idx="1">
                  <c:v>0.5182</c:v>
                </c:pt>
                <c:pt idx="2">
                  <c:v>0.5182</c:v>
                </c:pt>
                <c:pt idx="3">
                  <c:v>0.4921</c:v>
                </c:pt>
                <c:pt idx="4">
                  <c:v>0.4817</c:v>
                </c:pt>
                <c:pt idx="5">
                  <c:v>0.4817</c:v>
                </c:pt>
                <c:pt idx="6">
                  <c:v>0.4817</c:v>
                </c:pt>
                <c:pt idx="7">
                  <c:v>0.4868</c:v>
                </c:pt>
                <c:pt idx="8">
                  <c:v>0.4889</c:v>
                </c:pt>
                <c:pt idx="9">
                  <c:v>0.4889</c:v>
                </c:pt>
                <c:pt idx="10">
                  <c:v>0.4889</c:v>
                </c:pt>
                <c:pt idx="11">
                  <c:v>0.498</c:v>
                </c:pt>
                <c:pt idx="12">
                  <c:v>0.5206</c:v>
                </c:pt>
                <c:pt idx="13">
                  <c:v>0.5206</c:v>
                </c:pt>
                <c:pt idx="14">
                  <c:v>0.5206</c:v>
                </c:pt>
                <c:pt idx="15">
                  <c:v>0.5206</c:v>
                </c:pt>
                <c:pt idx="16">
                  <c:v>0.5131</c:v>
                </c:pt>
                <c:pt idx="17">
                  <c:v>0.5131</c:v>
                </c:pt>
                <c:pt idx="18">
                  <c:v>0.5131</c:v>
                </c:pt>
                <c:pt idx="19">
                  <c:v>0.5131</c:v>
                </c:pt>
                <c:pt idx="20">
                  <c:v>0.5201</c:v>
                </c:pt>
                <c:pt idx="21">
                  <c:v>0.5254</c:v>
                </c:pt>
                <c:pt idx="22">
                  <c:v>0.5254</c:v>
                </c:pt>
                <c:pt idx="23">
                  <c:v>0.5254</c:v>
                </c:pt>
                <c:pt idx="24">
                  <c:v>0.517</c:v>
                </c:pt>
                <c:pt idx="25">
                  <c:v>0.4961</c:v>
                </c:pt>
                <c:pt idx="26">
                  <c:v>0.4961</c:v>
                </c:pt>
                <c:pt idx="27">
                  <c:v>0.4961</c:v>
                </c:pt>
                <c:pt idx="28">
                  <c:v>0.4961</c:v>
                </c:pt>
                <c:pt idx="29">
                  <c:v>0.4943</c:v>
                </c:pt>
                <c:pt idx="30">
                  <c:v>0.494</c:v>
                </c:pt>
                <c:pt idx="31">
                  <c:v>0.494</c:v>
                </c:pt>
                <c:pt idx="32">
                  <c:v>0.494</c:v>
                </c:pt>
                <c:pt idx="33">
                  <c:v>0.5005</c:v>
                </c:pt>
                <c:pt idx="34">
                  <c:v>0.5092</c:v>
                </c:pt>
                <c:pt idx="35">
                  <c:v>0.5092</c:v>
                </c:pt>
                <c:pt idx="36">
                  <c:v>0.5092</c:v>
                </c:pt>
                <c:pt idx="37">
                  <c:v>0.5102</c:v>
                </c:pt>
                <c:pt idx="38">
                  <c:v>0.5162</c:v>
                </c:pt>
                <c:pt idx="39">
                  <c:v>0.5162</c:v>
                </c:pt>
                <c:pt idx="40">
                  <c:v>0.5162</c:v>
                </c:pt>
                <c:pt idx="41">
                  <c:v>0.5162</c:v>
                </c:pt>
                <c:pt idx="42">
                  <c:v>0.5277</c:v>
                </c:pt>
                <c:pt idx="43">
                  <c:v>0.5322</c:v>
                </c:pt>
                <c:pt idx="44">
                  <c:v>0.5322</c:v>
                </c:pt>
                <c:pt idx="45">
                  <c:v>0.5322</c:v>
                </c:pt>
                <c:pt idx="46">
                  <c:v>0.5379</c:v>
                </c:pt>
                <c:pt idx="47">
                  <c:v>0.5454</c:v>
                </c:pt>
                <c:pt idx="48">
                  <c:v>0.5454</c:v>
                </c:pt>
                <c:pt idx="49">
                  <c:v>0.5454</c:v>
                </c:pt>
                <c:pt idx="50">
                  <c:v>0.5454</c:v>
                </c:pt>
                <c:pt idx="51">
                  <c:v>0.5123</c:v>
                </c:pt>
                <c:pt idx="52">
                  <c:v>0.5123</c:v>
                </c:pt>
                <c:pt idx="53">
                  <c:v>0.5123</c:v>
                </c:pt>
                <c:pt idx="54">
                  <c:v>0.5123</c:v>
                </c:pt>
                <c:pt idx="55">
                  <c:v>0.5238</c:v>
                </c:pt>
                <c:pt idx="56">
                  <c:v>0.5324</c:v>
                </c:pt>
                <c:pt idx="57">
                  <c:v>0.5324</c:v>
                </c:pt>
                <c:pt idx="58">
                  <c:v>0.5324</c:v>
                </c:pt>
                <c:pt idx="59">
                  <c:v>0.5421</c:v>
                </c:pt>
                <c:pt idx="60">
                  <c:v>0.555</c:v>
                </c:pt>
                <c:pt idx="61">
                  <c:v>0.555</c:v>
                </c:pt>
                <c:pt idx="62">
                  <c:v>0.555</c:v>
                </c:pt>
                <c:pt idx="63">
                  <c:v>0.555</c:v>
                </c:pt>
                <c:pt idx="64">
                  <c:v>0.5375</c:v>
                </c:pt>
                <c:pt idx="65">
                  <c:v>0.5375</c:v>
                </c:pt>
                <c:pt idx="66">
                  <c:v>0.5375</c:v>
                </c:pt>
                <c:pt idx="67">
                  <c:v>0.5375</c:v>
                </c:pt>
                <c:pt idx="68">
                  <c:v>0.5724</c:v>
                </c:pt>
                <c:pt idx="69">
                  <c:v>0.5863</c:v>
                </c:pt>
                <c:pt idx="70">
                  <c:v>0.5863</c:v>
                </c:pt>
                <c:pt idx="71">
                  <c:v>0.5863</c:v>
                </c:pt>
                <c:pt idx="72">
                  <c:v>0.5791</c:v>
                </c:pt>
                <c:pt idx="73">
                  <c:v>0.5609</c:v>
                </c:pt>
                <c:pt idx="74">
                  <c:v>0.5609</c:v>
                </c:pt>
                <c:pt idx="75">
                  <c:v>0.5609</c:v>
                </c:pt>
                <c:pt idx="76">
                  <c:v>0.5609</c:v>
                </c:pt>
                <c:pt idx="77">
                  <c:v>0.5517</c:v>
                </c:pt>
                <c:pt idx="78">
                  <c:v>0.5517</c:v>
                </c:pt>
                <c:pt idx="79">
                  <c:v>0.5517</c:v>
                </c:pt>
                <c:pt idx="80">
                  <c:v>0.5517</c:v>
                </c:pt>
                <c:pt idx="81">
                  <c:v>0.5515</c:v>
                </c:pt>
                <c:pt idx="82">
                  <c:v>0.5513</c:v>
                </c:pt>
                <c:pt idx="83">
                  <c:v>0.5513</c:v>
                </c:pt>
                <c:pt idx="84">
                  <c:v>0.5513</c:v>
                </c:pt>
                <c:pt idx="85">
                  <c:v>0.5506</c:v>
                </c:pt>
                <c:pt idx="86">
                  <c:v>0.546</c:v>
                </c:pt>
                <c:pt idx="87">
                  <c:v>0.546</c:v>
                </c:pt>
                <c:pt idx="88">
                  <c:v>0.546</c:v>
                </c:pt>
                <c:pt idx="89">
                  <c:v>0.546</c:v>
                </c:pt>
                <c:pt idx="90">
                  <c:v>0.5536</c:v>
                </c:pt>
                <c:pt idx="91">
                  <c:v>0.5549</c:v>
                </c:pt>
                <c:pt idx="92">
                  <c:v>0.5549</c:v>
                </c:pt>
                <c:pt idx="93">
                  <c:v>0.5549</c:v>
                </c:pt>
                <c:pt idx="94">
                  <c:v>0.5535</c:v>
                </c:pt>
                <c:pt idx="95">
                  <c:v>0.5517</c:v>
                </c:pt>
                <c:pt idx="96">
                  <c:v>0.5517</c:v>
                </c:pt>
                <c:pt idx="97">
                  <c:v>0.5517</c:v>
                </c:pt>
                <c:pt idx="98">
                  <c:v>0.5518</c:v>
                </c:pt>
                <c:pt idx="99">
                  <c:v>0.5528</c:v>
                </c:pt>
                <c:pt idx="100">
                  <c:v>0.5528</c:v>
                </c:pt>
                <c:pt idx="101">
                  <c:v>0.5528</c:v>
                </c:pt>
                <c:pt idx="102">
                  <c:v>0.5528</c:v>
                </c:pt>
                <c:pt idx="103">
                  <c:v>0.5341</c:v>
                </c:pt>
                <c:pt idx="104">
                  <c:v>0.5266</c:v>
                </c:pt>
                <c:pt idx="105">
                  <c:v>0.5266</c:v>
                </c:pt>
                <c:pt idx="106">
                  <c:v>0.5266</c:v>
                </c:pt>
                <c:pt idx="107">
                  <c:v>0.5206</c:v>
                </c:pt>
                <c:pt idx="108">
                  <c:v>0.5056</c:v>
                </c:pt>
                <c:pt idx="109">
                  <c:v>0.5056</c:v>
                </c:pt>
                <c:pt idx="110">
                  <c:v>0.5056</c:v>
                </c:pt>
                <c:pt idx="111">
                  <c:v>0.5133</c:v>
                </c:pt>
                <c:pt idx="112">
                  <c:v>0.5324</c:v>
                </c:pt>
                <c:pt idx="113">
                  <c:v>0.5324</c:v>
                </c:pt>
                <c:pt idx="114">
                  <c:v>0.5324</c:v>
                </c:pt>
                <c:pt idx="115">
                  <c:v>0.5324</c:v>
                </c:pt>
                <c:pt idx="116">
                  <c:v>0.5418</c:v>
                </c:pt>
                <c:pt idx="117">
                  <c:v>0.5433</c:v>
                </c:pt>
                <c:pt idx="118">
                  <c:v>0.5433</c:v>
                </c:pt>
                <c:pt idx="119">
                  <c:v>0.5433</c:v>
                </c:pt>
                <c:pt idx="120">
                  <c:v>0.5543</c:v>
                </c:pt>
                <c:pt idx="121">
                  <c:v>0.5626</c:v>
                </c:pt>
                <c:pt idx="122">
                  <c:v>0.5626</c:v>
                </c:pt>
                <c:pt idx="123">
                  <c:v>0.5626</c:v>
                </c:pt>
                <c:pt idx="124">
                  <c:v>0.5629</c:v>
                </c:pt>
                <c:pt idx="125">
                  <c:v>0.5649</c:v>
                </c:pt>
                <c:pt idx="126">
                  <c:v>0.5649</c:v>
                </c:pt>
                <c:pt idx="127">
                  <c:v>0.5649</c:v>
                </c:pt>
                <c:pt idx="128">
                  <c:v>0.5649</c:v>
                </c:pt>
                <c:pt idx="129">
                  <c:v>0.5546</c:v>
                </c:pt>
                <c:pt idx="130">
                  <c:v>0.5529</c:v>
                </c:pt>
                <c:pt idx="131">
                  <c:v>0.5529</c:v>
                </c:pt>
                <c:pt idx="132">
                  <c:v>0.5529</c:v>
                </c:pt>
                <c:pt idx="133">
                  <c:v>0.5476</c:v>
                </c:pt>
                <c:pt idx="134">
                  <c:v>0.5406</c:v>
                </c:pt>
                <c:pt idx="135">
                  <c:v>0.5406</c:v>
                </c:pt>
                <c:pt idx="136">
                  <c:v>0.5406</c:v>
                </c:pt>
                <c:pt idx="137">
                  <c:v>0.5406</c:v>
                </c:pt>
                <c:pt idx="138">
                  <c:v>0.5438</c:v>
                </c:pt>
                <c:pt idx="139">
                  <c:v>0.5438</c:v>
                </c:pt>
                <c:pt idx="140">
                  <c:v>0.5438</c:v>
                </c:pt>
                <c:pt idx="141">
                  <c:v>0.5438</c:v>
                </c:pt>
                <c:pt idx="142">
                  <c:v>0.5564</c:v>
                </c:pt>
                <c:pt idx="143">
                  <c:v>0.5615</c:v>
                </c:pt>
                <c:pt idx="144">
                  <c:v>0.5615</c:v>
                </c:pt>
                <c:pt idx="145">
                  <c:v>0.5615</c:v>
                </c:pt>
                <c:pt idx="146">
                  <c:v>0.5615</c:v>
                </c:pt>
                <c:pt idx="147">
                  <c:v>0.5615</c:v>
                </c:pt>
              </c:numCache>
            </c:numRef>
          </c:val>
          <c:smooth val="0"/>
        </c:ser>
        <c:hiLowLines>
          <c:spPr>
            <a:ln w="0">
              <a:noFill/>
            </a:ln>
          </c:spPr>
        </c:hiLowLines>
        <c:marker val="0"/>
        <c:axId val="10944150"/>
        <c:axId val="43975761"/>
      </c:lineChart>
      <c:catAx>
        <c:axId val="58616437"/>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89557"/>
        <c:crosses val="autoZero"/>
        <c:auto val="1"/>
        <c:lblAlgn val="ctr"/>
        <c:lblOffset val="100"/>
        <c:noMultiLvlLbl val="0"/>
      </c:catAx>
      <c:valAx>
        <c:axId val="94789557"/>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Spend, £ thousands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616437"/>
        <c:crosses val="autoZero"/>
        <c:crossBetween val="between"/>
      </c:valAx>
      <c:catAx>
        <c:axId val="10944150"/>
        <c:scaling>
          <c:orientation val="minMax"/>
        </c:scaling>
        <c:delete val="0"/>
        <c:axPos val="t"/>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75761"/>
        <c:crosses val="autoZero"/>
        <c:auto val="1"/>
        <c:lblAlgn val="ctr"/>
        <c:lblOffset val="100"/>
        <c:noMultiLvlLbl val="0"/>
      </c:catAx>
      <c:valAx>
        <c:axId val="43975761"/>
        <c:scaling>
          <c:orientation val="minMax"/>
          <c:max val="0.65"/>
          <c:min val="0.4"/>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Consideration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944150"/>
        <c:crosses val="max"/>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Committed Givers each week, real figures</a:t>
            </a:r>
          </a:p>
        </c:rich>
      </c:tx>
      <c:overlay val="0"/>
      <c:spPr>
        <a:noFill/>
        <a:ln w="0">
          <a:noFill/>
        </a:ln>
      </c:spPr>
    </c:title>
    <c:autoTitleDeleted val="0"/>
    <c:plotArea>
      <c:lineChart>
        <c:grouping val="standard"/>
        <c:varyColors val="0"/>
        <c:ser>
          <c:idx val="0"/>
          <c:order val="0"/>
          <c:tx>
            <c:strRef>
              <c:f>"New Committed Givers a week"</c:f>
              <c:strCache>
                <c:ptCount val="1"/>
                <c:pt idx="0">
                  <c:v>New Committed Givers a week</c:v>
                </c:pt>
              </c:strCache>
            </c:strRef>
          </c:tx>
          <c:spPr>
            <a:solidFill>
              <a:srgbClr val="00007e"/>
            </a:solidFill>
            <a:ln w="15840">
              <a:solidFill>
                <a:srgbClr val="00007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'Under the bonnet'!$A$6:$A$153</c:f>
              <c:strCache>
                <c:ptCount val="148"/>
                <c:pt idx="0">
                  <c:v>08 Jan 23</c:v>
                </c:pt>
                <c:pt idx="1">
                  <c:v>15 Jan 23</c:v>
                </c:pt>
                <c:pt idx="2">
                  <c:v>22 Jan 23</c:v>
                </c:pt>
                <c:pt idx="3">
                  <c:v>29 Jan 23</c:v>
                </c:pt>
                <c:pt idx="4">
                  <c:v>05 Feb 23</c:v>
                </c:pt>
                <c:pt idx="5">
                  <c:v>12 Feb 23</c:v>
                </c:pt>
                <c:pt idx="6">
                  <c:v>19 Feb 23</c:v>
                </c:pt>
                <c:pt idx="7">
                  <c:v>26 Feb 23</c:v>
                </c:pt>
                <c:pt idx="8">
                  <c:v>05 Mar 23</c:v>
                </c:pt>
                <c:pt idx="9">
                  <c:v>12 Mar 23</c:v>
                </c:pt>
                <c:pt idx="10">
                  <c:v>19 Mar 23</c:v>
                </c:pt>
                <c:pt idx="11">
                  <c:v>26 Mar 23</c:v>
                </c:pt>
                <c:pt idx="12">
                  <c:v>02 Apr 23</c:v>
                </c:pt>
                <c:pt idx="13">
                  <c:v>09 Apr 23</c:v>
                </c:pt>
                <c:pt idx="14">
                  <c:v>16 Apr 23</c:v>
                </c:pt>
                <c:pt idx="15">
                  <c:v>23 Apr 23</c:v>
                </c:pt>
                <c:pt idx="16">
                  <c:v>30 Apr 23</c:v>
                </c:pt>
                <c:pt idx="17">
                  <c:v>07 May 23</c:v>
                </c:pt>
                <c:pt idx="18">
                  <c:v>14 May 23</c:v>
                </c:pt>
                <c:pt idx="19">
                  <c:v>21 May 23</c:v>
                </c:pt>
                <c:pt idx="20">
                  <c:v>28 May 23</c:v>
                </c:pt>
                <c:pt idx="21">
                  <c:v>04 Jun 23</c:v>
                </c:pt>
                <c:pt idx="22">
                  <c:v>11 Jun 23</c:v>
                </c:pt>
                <c:pt idx="23">
                  <c:v>18 Jun 23</c:v>
                </c:pt>
                <c:pt idx="24">
                  <c:v>25 Jun 23</c:v>
                </c:pt>
                <c:pt idx="25">
                  <c:v>02 Jul 23</c:v>
                </c:pt>
                <c:pt idx="26">
                  <c:v>09 Jul 23</c:v>
                </c:pt>
                <c:pt idx="27">
                  <c:v>16 Jul 23</c:v>
                </c:pt>
                <c:pt idx="28">
                  <c:v>23 Jul 23</c:v>
                </c:pt>
                <c:pt idx="29">
                  <c:v>30 Jul 23</c:v>
                </c:pt>
                <c:pt idx="30">
                  <c:v>06 Aug 23</c:v>
                </c:pt>
                <c:pt idx="31">
                  <c:v>13 Aug 23</c:v>
                </c:pt>
                <c:pt idx="32">
                  <c:v>20 Aug 23</c:v>
                </c:pt>
                <c:pt idx="33">
                  <c:v>27 Aug 23</c:v>
                </c:pt>
                <c:pt idx="34">
                  <c:v>03 Sep 23</c:v>
                </c:pt>
                <c:pt idx="35">
                  <c:v>10 Sep 23</c:v>
                </c:pt>
                <c:pt idx="36">
                  <c:v>17 Sep 23</c:v>
                </c:pt>
                <c:pt idx="37">
                  <c:v>24 Sep 23</c:v>
                </c:pt>
                <c:pt idx="38">
                  <c:v>01 Oct 23</c:v>
                </c:pt>
                <c:pt idx="39">
                  <c:v>08 Oct 23</c:v>
                </c:pt>
                <c:pt idx="40">
                  <c:v>15 Oct 23</c:v>
                </c:pt>
                <c:pt idx="41">
                  <c:v>22 Oct 23</c:v>
                </c:pt>
                <c:pt idx="42">
                  <c:v>29 Oct 23</c:v>
                </c:pt>
                <c:pt idx="43">
                  <c:v>05 Nov 23</c:v>
                </c:pt>
                <c:pt idx="44">
                  <c:v>12 Nov 23</c:v>
                </c:pt>
                <c:pt idx="45">
                  <c:v>19 Nov 23</c:v>
                </c:pt>
                <c:pt idx="46">
                  <c:v>26 Nov 23</c:v>
                </c:pt>
                <c:pt idx="47">
                  <c:v>03 Dec 23</c:v>
                </c:pt>
                <c:pt idx="48">
                  <c:v>10 Dec 23</c:v>
                </c:pt>
                <c:pt idx="49">
                  <c:v>17 Dec 23</c:v>
                </c:pt>
                <c:pt idx="50">
                  <c:v>24 Dec 23</c:v>
                </c:pt>
                <c:pt idx="51">
                  <c:v>31 Dec 23</c:v>
                </c:pt>
                <c:pt idx="52">
                  <c:v>07 Jan 24</c:v>
                </c:pt>
                <c:pt idx="53">
                  <c:v>14 Jan 24</c:v>
                </c:pt>
                <c:pt idx="54">
                  <c:v>21 Jan 24</c:v>
                </c:pt>
                <c:pt idx="55">
                  <c:v>28 Jan 24</c:v>
                </c:pt>
                <c:pt idx="56">
                  <c:v>04 Feb 24</c:v>
                </c:pt>
                <c:pt idx="57">
                  <c:v>11 Feb 24</c:v>
                </c:pt>
                <c:pt idx="58">
                  <c:v>18 Feb 24</c:v>
                </c:pt>
                <c:pt idx="59">
                  <c:v>25 Feb 24</c:v>
                </c:pt>
                <c:pt idx="60">
                  <c:v>03 Mar 24</c:v>
                </c:pt>
                <c:pt idx="61">
                  <c:v>10 Mar 24</c:v>
                </c:pt>
                <c:pt idx="62">
                  <c:v>17 Mar 24</c:v>
                </c:pt>
                <c:pt idx="63">
                  <c:v>24 Mar 24</c:v>
                </c:pt>
                <c:pt idx="64">
                  <c:v>31 Mar 24</c:v>
                </c:pt>
                <c:pt idx="65">
                  <c:v>07 Apr 24</c:v>
                </c:pt>
                <c:pt idx="66">
                  <c:v>14 Apr 24</c:v>
                </c:pt>
                <c:pt idx="67">
                  <c:v>21 Apr 24</c:v>
                </c:pt>
                <c:pt idx="68">
                  <c:v>28 Apr 24</c:v>
                </c:pt>
                <c:pt idx="69">
                  <c:v>05 May 24</c:v>
                </c:pt>
                <c:pt idx="70">
                  <c:v>12 May 24</c:v>
                </c:pt>
                <c:pt idx="71">
                  <c:v>19 May 24</c:v>
                </c:pt>
                <c:pt idx="72">
                  <c:v>26 May 24</c:v>
                </c:pt>
                <c:pt idx="73">
                  <c:v>02 Jun 24</c:v>
                </c:pt>
                <c:pt idx="74">
                  <c:v>09 Jun 24</c:v>
                </c:pt>
                <c:pt idx="75">
                  <c:v>16 Jun 24</c:v>
                </c:pt>
                <c:pt idx="76">
                  <c:v>23 Jun 24</c:v>
                </c:pt>
                <c:pt idx="77">
                  <c:v>30 Jun 24</c:v>
                </c:pt>
                <c:pt idx="78">
                  <c:v>07 Jul 24</c:v>
                </c:pt>
                <c:pt idx="79">
                  <c:v>14 Jul 24</c:v>
                </c:pt>
                <c:pt idx="80">
                  <c:v>21 Jul 24</c:v>
                </c:pt>
                <c:pt idx="81">
                  <c:v>28 Jul 24</c:v>
                </c:pt>
                <c:pt idx="82">
                  <c:v>04 Aug 24</c:v>
                </c:pt>
                <c:pt idx="83">
                  <c:v>11 Aug 24</c:v>
                </c:pt>
                <c:pt idx="84">
                  <c:v>18 Aug 24</c:v>
                </c:pt>
                <c:pt idx="85">
                  <c:v>25 Aug 24</c:v>
                </c:pt>
                <c:pt idx="86">
                  <c:v>01 Sep 24</c:v>
                </c:pt>
                <c:pt idx="87">
                  <c:v>08 Sep 24</c:v>
                </c:pt>
                <c:pt idx="88">
                  <c:v>15 Sep 24</c:v>
                </c:pt>
                <c:pt idx="89">
                  <c:v>22 Sep 24</c:v>
                </c:pt>
                <c:pt idx="90">
                  <c:v>29 Sep 24</c:v>
                </c:pt>
                <c:pt idx="91">
                  <c:v>06 Oct 24</c:v>
                </c:pt>
                <c:pt idx="92">
                  <c:v>13 Oct 24</c:v>
                </c:pt>
                <c:pt idx="93">
                  <c:v>20 Oct 24</c:v>
                </c:pt>
                <c:pt idx="94">
                  <c:v>27 Oct 24</c:v>
                </c:pt>
                <c:pt idx="95">
                  <c:v>03 Nov 24</c:v>
                </c:pt>
                <c:pt idx="96">
                  <c:v>10 Nov 24</c:v>
                </c:pt>
                <c:pt idx="97">
                  <c:v>17 Nov 24</c:v>
                </c:pt>
                <c:pt idx="98">
                  <c:v>24 Nov 24</c:v>
                </c:pt>
                <c:pt idx="99">
                  <c:v>01 Dec 24</c:v>
                </c:pt>
                <c:pt idx="100">
                  <c:v>08 Dec 24</c:v>
                </c:pt>
                <c:pt idx="101">
                  <c:v>15 Dec 24</c:v>
                </c:pt>
                <c:pt idx="102">
                  <c:v>22 Dec 24</c:v>
                </c:pt>
                <c:pt idx="103">
                  <c:v>29 Dec 24</c:v>
                </c:pt>
                <c:pt idx="104">
                  <c:v>05 Jan 25</c:v>
                </c:pt>
                <c:pt idx="105">
                  <c:v>12 Jan 25</c:v>
                </c:pt>
                <c:pt idx="106">
                  <c:v>19 Jan 25</c:v>
                </c:pt>
                <c:pt idx="107">
                  <c:v>26 Jan 25</c:v>
                </c:pt>
                <c:pt idx="108">
                  <c:v>02 Feb 25</c:v>
                </c:pt>
                <c:pt idx="109">
                  <c:v>09 Feb 25</c:v>
                </c:pt>
                <c:pt idx="110">
                  <c:v>16 Feb 25</c:v>
                </c:pt>
                <c:pt idx="111">
                  <c:v>23 Feb 25</c:v>
                </c:pt>
                <c:pt idx="112">
                  <c:v>02 Mar 25</c:v>
                </c:pt>
                <c:pt idx="113">
                  <c:v>09 Mar 25</c:v>
                </c:pt>
                <c:pt idx="114">
                  <c:v>16 Mar 25</c:v>
                </c:pt>
                <c:pt idx="115">
                  <c:v>23 Mar 25</c:v>
                </c:pt>
                <c:pt idx="116">
                  <c:v>30 Mar 25</c:v>
                </c:pt>
                <c:pt idx="117">
                  <c:v>06 Apr 25</c:v>
                </c:pt>
                <c:pt idx="118">
                  <c:v>13 Apr 25</c:v>
                </c:pt>
                <c:pt idx="119">
                  <c:v>20 Apr 25</c:v>
                </c:pt>
                <c:pt idx="120">
                  <c:v>27 Apr 25</c:v>
                </c:pt>
                <c:pt idx="121">
                  <c:v>04 May 25</c:v>
                </c:pt>
                <c:pt idx="122">
                  <c:v>11 May 25</c:v>
                </c:pt>
                <c:pt idx="123">
                  <c:v>18 May 25</c:v>
                </c:pt>
                <c:pt idx="124">
                  <c:v>25 May 25</c:v>
                </c:pt>
                <c:pt idx="125">
                  <c:v>01 Jun 25</c:v>
                </c:pt>
                <c:pt idx="126">
                  <c:v>08 Jun 25</c:v>
                </c:pt>
                <c:pt idx="127">
                  <c:v>15 Jun 25</c:v>
                </c:pt>
                <c:pt idx="128">
                  <c:v>22 Jun 25</c:v>
                </c:pt>
                <c:pt idx="129">
                  <c:v>29 Jun 25</c:v>
                </c:pt>
                <c:pt idx="130">
                  <c:v>06 Jul 25</c:v>
                </c:pt>
                <c:pt idx="131">
                  <c:v>13 Jul 25</c:v>
                </c:pt>
                <c:pt idx="132">
                  <c:v>20 Jul 25</c:v>
                </c:pt>
                <c:pt idx="133">
                  <c:v>27 Jul 25</c:v>
                </c:pt>
                <c:pt idx="134">
                  <c:v>03 Aug 25</c:v>
                </c:pt>
                <c:pt idx="135">
                  <c:v>10 Aug 25</c:v>
                </c:pt>
                <c:pt idx="136">
                  <c:v>17 Aug 25</c:v>
                </c:pt>
                <c:pt idx="137">
                  <c:v>24 Aug 25</c:v>
                </c:pt>
                <c:pt idx="138">
                  <c:v>31 Aug 25</c:v>
                </c:pt>
                <c:pt idx="139">
                  <c:v>07 Sep 25</c:v>
                </c:pt>
                <c:pt idx="140">
                  <c:v>14 Sep 25</c:v>
                </c:pt>
                <c:pt idx="141">
                  <c:v>21 Sep 25</c:v>
                </c:pt>
                <c:pt idx="142">
                  <c:v>28 Sep 25</c:v>
                </c:pt>
                <c:pt idx="143">
                  <c:v>05 Oct 25</c:v>
                </c:pt>
                <c:pt idx="144">
                  <c:v>12 Oct 25</c:v>
                </c:pt>
                <c:pt idx="145">
                  <c:v>19 Oct 25</c:v>
                </c:pt>
                <c:pt idx="146">
                  <c:v>26 Oct 25</c:v>
                </c:pt>
                <c:pt idx="147">
                  <c:v>02 Nov 25</c:v>
                </c:pt>
              </c:strCache>
            </c:strRef>
          </c:cat>
          <c:val>
            <c:numRef>
              <c:f>'Under the bonnet'!$BU$6:$BU$153</c:f>
              <c:numCache>
                <c:formatCode>#,##0</c:formatCode>
                <c:ptCount val="148"/>
                <c:pt idx="0">
                  <c:v>353</c:v>
                </c:pt>
                <c:pt idx="1">
                  <c:v>396</c:v>
                </c:pt>
                <c:pt idx="2">
                  <c:v>273</c:v>
                </c:pt>
                <c:pt idx="3">
                  <c:v>308</c:v>
                </c:pt>
                <c:pt idx="4">
                  <c:v>500</c:v>
                </c:pt>
                <c:pt idx="5">
                  <c:v>462</c:v>
                </c:pt>
                <c:pt idx="6">
                  <c:v>406</c:v>
                </c:pt>
                <c:pt idx="7">
                  <c:v>344</c:v>
                </c:pt>
                <c:pt idx="8">
                  <c:v>249</c:v>
                </c:pt>
                <c:pt idx="9">
                  <c:v>248</c:v>
                </c:pt>
                <c:pt idx="10">
                  <c:v>209</c:v>
                </c:pt>
                <c:pt idx="11">
                  <c:v>237</c:v>
                </c:pt>
                <c:pt idx="12">
                  <c:v>221</c:v>
                </c:pt>
                <c:pt idx="13">
                  <c:v>282</c:v>
                </c:pt>
                <c:pt idx="14">
                  <c:v>336</c:v>
                </c:pt>
                <c:pt idx="15">
                  <c:v>246</c:v>
                </c:pt>
                <c:pt idx="16">
                  <c:v>221</c:v>
                </c:pt>
                <c:pt idx="17">
                  <c:v>189</c:v>
                </c:pt>
                <c:pt idx="18">
                  <c:v>180</c:v>
                </c:pt>
                <c:pt idx="19">
                  <c:v>139</c:v>
                </c:pt>
                <c:pt idx="20">
                  <c:v>136</c:v>
                </c:pt>
                <c:pt idx="21">
                  <c:v>147</c:v>
                </c:pt>
                <c:pt idx="22">
                  <c:v>280</c:v>
                </c:pt>
                <c:pt idx="23">
                  <c:v>166</c:v>
                </c:pt>
                <c:pt idx="24">
                  <c:v>352</c:v>
                </c:pt>
                <c:pt idx="25">
                  <c:v>245</c:v>
                </c:pt>
                <c:pt idx="26">
                  <c:v>195</c:v>
                </c:pt>
                <c:pt idx="27">
                  <c:v>209</c:v>
                </c:pt>
                <c:pt idx="28">
                  <c:v>201</c:v>
                </c:pt>
                <c:pt idx="29">
                  <c:v>175</c:v>
                </c:pt>
                <c:pt idx="30">
                  <c:v>192</c:v>
                </c:pt>
                <c:pt idx="31">
                  <c:v>153</c:v>
                </c:pt>
                <c:pt idx="32">
                  <c:v>177</c:v>
                </c:pt>
                <c:pt idx="33">
                  <c:v>107</c:v>
                </c:pt>
                <c:pt idx="34">
                  <c:v>150</c:v>
                </c:pt>
                <c:pt idx="35">
                  <c:v>151</c:v>
                </c:pt>
                <c:pt idx="36">
                  <c:v>196</c:v>
                </c:pt>
                <c:pt idx="37">
                  <c:v>218</c:v>
                </c:pt>
                <c:pt idx="38">
                  <c:v>308</c:v>
                </c:pt>
                <c:pt idx="39">
                  <c:v>226</c:v>
                </c:pt>
                <c:pt idx="40">
                  <c:v>227</c:v>
                </c:pt>
                <c:pt idx="41">
                  <c:v>196</c:v>
                </c:pt>
                <c:pt idx="42">
                  <c:v>173</c:v>
                </c:pt>
                <c:pt idx="43">
                  <c:v>327</c:v>
                </c:pt>
                <c:pt idx="44">
                  <c:v>221</c:v>
                </c:pt>
                <c:pt idx="45">
                  <c:v>177</c:v>
                </c:pt>
                <c:pt idx="46">
                  <c:v>248</c:v>
                </c:pt>
                <c:pt idx="47">
                  <c:v>283</c:v>
                </c:pt>
                <c:pt idx="48">
                  <c:v>275</c:v>
                </c:pt>
                <c:pt idx="49">
                  <c:v>218</c:v>
                </c:pt>
                <c:pt idx="50">
                  <c:v>239</c:v>
                </c:pt>
                <c:pt idx="51">
                  <c:v>154</c:v>
                </c:pt>
                <c:pt idx="52">
                  <c:v>268</c:v>
                </c:pt>
                <c:pt idx="53">
                  <c:v>281</c:v>
                </c:pt>
                <c:pt idx="54">
                  <c:v>266</c:v>
                </c:pt>
                <c:pt idx="55">
                  <c:v>319</c:v>
                </c:pt>
                <c:pt idx="56">
                  <c:v>294</c:v>
                </c:pt>
                <c:pt idx="57">
                  <c:v>362</c:v>
                </c:pt>
                <c:pt idx="58">
                  <c:v>278</c:v>
                </c:pt>
                <c:pt idx="59">
                  <c:v>316</c:v>
                </c:pt>
                <c:pt idx="60">
                  <c:v>236</c:v>
                </c:pt>
                <c:pt idx="61">
                  <c:v>238</c:v>
                </c:pt>
                <c:pt idx="62">
                  <c:v>175</c:v>
                </c:pt>
                <c:pt idx="63">
                  <c:v>208</c:v>
                </c:pt>
                <c:pt idx="64">
                  <c:v>198</c:v>
                </c:pt>
                <c:pt idx="65">
                  <c:v>253</c:v>
                </c:pt>
                <c:pt idx="66">
                  <c:v>233</c:v>
                </c:pt>
                <c:pt idx="67">
                  <c:v>134</c:v>
                </c:pt>
                <c:pt idx="68">
                  <c:v>182</c:v>
                </c:pt>
                <c:pt idx="69">
                  <c:v>153</c:v>
                </c:pt>
                <c:pt idx="70">
                  <c:v>119</c:v>
                </c:pt>
                <c:pt idx="71">
                  <c:v>95</c:v>
                </c:pt>
                <c:pt idx="72">
                  <c:v>134</c:v>
                </c:pt>
                <c:pt idx="73">
                  <c:v>145</c:v>
                </c:pt>
                <c:pt idx="74">
                  <c:v>249</c:v>
                </c:pt>
                <c:pt idx="75">
                  <c:v>216</c:v>
                </c:pt>
                <c:pt idx="76">
                  <c:v>106</c:v>
                </c:pt>
                <c:pt idx="77">
                  <c:v>165</c:v>
                </c:pt>
                <c:pt idx="78">
                  <c:v>135</c:v>
                </c:pt>
                <c:pt idx="79">
                  <c:v>119</c:v>
                </c:pt>
                <c:pt idx="80">
                  <c:v>109</c:v>
                </c:pt>
                <c:pt idx="81">
                  <c:v>108</c:v>
                </c:pt>
                <c:pt idx="82">
                  <c:v>98</c:v>
                </c:pt>
                <c:pt idx="83">
                  <c:v>63</c:v>
                </c:pt>
                <c:pt idx="84">
                  <c:v>95</c:v>
                </c:pt>
                <c:pt idx="85">
                  <c:v>76</c:v>
                </c:pt>
                <c:pt idx="86">
                  <c:v>95</c:v>
                </c:pt>
                <c:pt idx="87">
                  <c:v>91</c:v>
                </c:pt>
                <c:pt idx="88">
                  <c:v>94</c:v>
                </c:pt>
                <c:pt idx="89">
                  <c:v>85</c:v>
                </c:pt>
                <c:pt idx="90">
                  <c:v>99</c:v>
                </c:pt>
                <c:pt idx="91">
                  <c:v>132</c:v>
                </c:pt>
                <c:pt idx="92">
                  <c:v>146</c:v>
                </c:pt>
                <c:pt idx="93">
                  <c:v>107</c:v>
                </c:pt>
                <c:pt idx="94">
                  <c:v>160</c:v>
                </c:pt>
                <c:pt idx="95">
                  <c:v>151</c:v>
                </c:pt>
                <c:pt idx="96">
                  <c:v>121</c:v>
                </c:pt>
                <c:pt idx="97">
                  <c:v>119</c:v>
                </c:pt>
                <c:pt idx="98">
                  <c:v>107</c:v>
                </c:pt>
                <c:pt idx="99">
                  <c:v>88</c:v>
                </c:pt>
                <c:pt idx="100">
                  <c:v>123</c:v>
                </c:pt>
                <c:pt idx="101">
                  <c:v>129</c:v>
                </c:pt>
                <c:pt idx="102">
                  <c:v>126</c:v>
                </c:pt>
                <c:pt idx="103">
                  <c:v>79</c:v>
                </c:pt>
                <c:pt idx="104">
                  <c:v>133</c:v>
                </c:pt>
                <c:pt idx="105">
                  <c:v>181</c:v>
                </c:pt>
                <c:pt idx="106">
                  <c:v>204</c:v>
                </c:pt>
                <c:pt idx="107">
                  <c:v>147</c:v>
                </c:pt>
                <c:pt idx="108">
                  <c:v>129</c:v>
                </c:pt>
                <c:pt idx="109">
                  <c:v>208</c:v>
                </c:pt>
                <c:pt idx="110">
                  <c:v>183</c:v>
                </c:pt>
                <c:pt idx="111">
                  <c:v>191</c:v>
                </c:pt>
                <c:pt idx="112">
                  <c:v>187</c:v>
                </c:pt>
                <c:pt idx="113">
                  <c:v>200</c:v>
                </c:pt>
                <c:pt idx="114">
                  <c:v>149</c:v>
                </c:pt>
                <c:pt idx="115">
                  <c:v>138</c:v>
                </c:pt>
                <c:pt idx="116">
                  <c:v>127</c:v>
                </c:pt>
                <c:pt idx="117">
                  <c:v>95</c:v>
                </c:pt>
                <c:pt idx="118">
                  <c:v>89</c:v>
                </c:pt>
                <c:pt idx="119">
                  <c:v>75</c:v>
                </c:pt>
                <c:pt idx="120">
                  <c:v>74</c:v>
                </c:pt>
                <c:pt idx="121">
                  <c:v>128</c:v>
                </c:pt>
                <c:pt idx="122">
                  <c:v>54</c:v>
                </c:pt>
                <c:pt idx="123">
                  <c:v>83</c:v>
                </c:pt>
                <c:pt idx="124">
                  <c:v>45</c:v>
                </c:pt>
                <c:pt idx="125">
                  <c:v>70</c:v>
                </c:pt>
                <c:pt idx="126">
                  <c:v>82</c:v>
                </c:pt>
                <c:pt idx="127">
                  <c:v>94</c:v>
                </c:pt>
                <c:pt idx="128">
                  <c:v>71</c:v>
                </c:pt>
                <c:pt idx="129">
                  <c:v>109</c:v>
                </c:pt>
                <c:pt idx="130">
                  <c:v>126</c:v>
                </c:pt>
                <c:pt idx="131">
                  <c:v>75</c:v>
                </c:pt>
                <c:pt idx="132">
                  <c:v>62</c:v>
                </c:pt>
                <c:pt idx="133">
                  <c:v>73</c:v>
                </c:pt>
                <c:pt idx="134">
                  <c:v>78</c:v>
                </c:pt>
                <c:pt idx="135">
                  <c:v>105</c:v>
                </c:pt>
                <c:pt idx="136">
                  <c:v>75</c:v>
                </c:pt>
                <c:pt idx="137">
                  <c:v>83</c:v>
                </c:pt>
                <c:pt idx="138">
                  <c:v>96</c:v>
                </c:pt>
                <c:pt idx="139">
                  <c:v>95</c:v>
                </c:pt>
                <c:pt idx="140">
                  <c:v>126</c:v>
                </c:pt>
                <c:pt idx="141">
                  <c:v>151</c:v>
                </c:pt>
                <c:pt idx="142">
                  <c:v>158</c:v>
                </c:pt>
                <c:pt idx="143">
                  <c:v>159</c:v>
                </c:pt>
                <c:pt idx="144">
                  <c:v>162</c:v>
                </c:pt>
                <c:pt idx="145">
                  <c:v>158</c:v>
                </c:pt>
                <c:pt idx="146">
                  <c:v>210</c:v>
                </c:pt>
                <c:pt idx="147">
                  <c:v>184</c:v>
                </c:pt>
              </c:numCache>
            </c:numRef>
          </c:val>
          <c:smooth val="0"/>
        </c:ser>
        <c:hiLowLines>
          <c:spPr>
            <a:ln w="0">
              <a:noFill/>
            </a:ln>
          </c:spPr>
        </c:hiLowLines>
        <c:marker val="0"/>
        <c:axId val="81535086"/>
        <c:axId val="49780236"/>
      </c:lineChart>
      <c:catAx>
        <c:axId val="81535086"/>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780236"/>
        <c:crosses val="autoZero"/>
        <c:auto val="1"/>
        <c:lblAlgn val="ctr"/>
        <c:lblOffset val="100"/>
        <c:noMultiLvlLbl val="0"/>
      </c:catAx>
      <c:valAx>
        <c:axId val="49780236"/>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New givers a week</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3508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kettle: the advert runs for three weeks, the sign-ups carry on for ten</a:t>
            </a:r>
          </a:p>
        </c:rich>
      </c:tx>
      <c:overlay val="0"/>
      <c:spPr>
        <a:noFill/>
        <a:ln w="0">
          <a:noFill/>
        </a:ln>
      </c:spPr>
    </c:title>
    <c:autoTitleDeleted val="0"/>
    <c:plotArea>
      <c:barChart>
        <c:barDir val="col"/>
        <c:grouping val="clustered"/>
        <c:varyColors val="0"/>
        <c:ser>
          <c:idx val="0"/>
          <c:order val="0"/>
          <c:tx>
            <c:strRef>
              <c:f>Words!C72</c:f>
              <c:strCache>
                <c:ptCount val="1"/>
                <c:pt idx="0">
                  <c:v>Advert on air</c:v>
                </c:pt>
              </c:strCache>
            </c:strRef>
          </c:tx>
          <c:spPr>
            <a:solidFill>
              <a:srgbClr val="c6c6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Words!$B$73:$B$88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Words!$C$73:$C$88</c:f>
              <c:numCache>
                <c:formatCode>General</c:formatCode>
                <c:ptCount val="16"/>
                <c:pt idx="0">
                  <c:v>100</c:v>
                </c:pt>
                <c:pt idx="1">
                  <c:v>100</c:v>
                </c:pt>
                <c:pt idx="2">
                  <c:v>100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er>
        <c:gapWidth val="150"/>
        <c:overlap val="0"/>
        <c:axId val="16095080"/>
        <c:axId val="26127543"/>
      </c:barChart>
      <c:lineChart>
        <c:grouping val="standard"/>
        <c:varyColors val="0"/>
        <c:ser>
          <c:idx val="1"/>
          <c:order val="1"/>
          <c:tx>
            <c:strRef>
              <c:f>Words!D72</c:f>
              <c:strCache>
                <c:ptCount val="1"/>
                <c:pt idx="0">
                  <c:v>Sign-ups it causes (60% memory)</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Words!$B$73:$B$88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Words!$D$73:$D$88</c:f>
              <c:numCache>
                <c:formatCode>General</c:formatCode>
                <c:ptCount val="16"/>
                <c:pt idx="0">
                  <c:v>100</c:v>
                </c:pt>
                <c:pt idx="1">
                  <c:v>160</c:v>
                </c:pt>
                <c:pt idx="2">
                  <c:v>196</c:v>
                </c:pt>
                <c:pt idx="3">
                  <c:v>118</c:v>
                </c:pt>
                <c:pt idx="4">
                  <c:v>71</c:v>
                </c:pt>
                <c:pt idx="5">
                  <c:v>42</c:v>
                </c:pt>
                <c:pt idx="6">
                  <c:v>25</c:v>
                </c:pt>
                <c:pt idx="7">
                  <c:v>15</c:v>
                </c:pt>
                <c:pt idx="8">
                  <c:v>9</c:v>
                </c:pt>
                <c:pt idx="9">
                  <c:v>5</c:v>
                </c:pt>
                <c:pt idx="10">
                  <c:v>3</c:v>
                </c:pt>
                <c:pt idx="11">
                  <c:v>2</c:v>
                </c:pt>
                <c:pt idx="12">
                  <c:v>1</c:v>
                </c:pt>
                <c:pt idx="13">
                  <c:v>1</c:v>
                </c:pt>
                <c:pt idx="14">
                  <c:v>0</c:v>
                </c:pt>
                <c:pt idx="15">
                  <c:v>0</c:v>
                </c:pt>
              </c:numCache>
            </c:numRef>
          </c:val>
          <c:smooth val="0"/>
        </c:ser>
        <c:hiLowLines>
          <c:spPr>
            <a:ln w="0">
              <a:noFill/>
            </a:ln>
          </c:spPr>
        </c:hiLowLines>
        <c:marker val="0"/>
        <c:axId val="16095080"/>
        <c:axId val="26127543"/>
      </c:lineChart>
      <c:catAx>
        <c:axId val="160950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27543"/>
        <c:crosses val="autoZero"/>
        <c:auto val="1"/>
        <c:lblAlgn val="ctr"/>
        <c:lblOffset val="100"/>
        <c:noMultiLvlLbl val="0"/>
      </c:catAx>
      <c:valAx>
        <c:axId val="2612754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09508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third biscuit: income rises fast at first, then flattens</a:t>
            </a:r>
          </a:p>
        </c:rich>
      </c:tx>
      <c:overlay val="0"/>
      <c:spPr>
        <a:noFill/>
        <a:ln w="0">
          <a:noFill/>
        </a:ln>
      </c:spPr>
    </c:title>
    <c:autoTitleDeleted val="0"/>
    <c:plotArea>
      <c:lineChart>
        <c:grouping val="standard"/>
        <c:varyColors val="0"/>
        <c:ser>
          <c:idx val="0"/>
          <c:order val="0"/>
          <c:tx>
            <c:strRef>
              <c:f>Words!G72</c:f>
              <c:strCache>
                <c:ptCount val="1"/>
                <c:pt idx="0">
                  <c:v>Income £k</c:v>
                </c:pt>
              </c:strCache>
            </c:strRef>
          </c:tx>
          <c:spPr>
            <a:solidFill>
              <a:srgbClr val="e60078"/>
            </a:solidFill>
            <a:ln w="22320">
              <a:solidFill>
                <a:srgbClr val="e600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Words!$F$73:$F$83</c:f>
              <c:strCache>
                <c:ptCount val="11"/>
                <c:pt idx="0">
                  <c:v>0</c:v>
                </c:pt>
                <c:pt idx="1">
                  <c:v>100</c:v>
                </c:pt>
                <c:pt idx="2">
                  <c:v>200</c:v>
                </c:pt>
                <c:pt idx="3">
                  <c:v>300</c:v>
                </c:pt>
                <c:pt idx="4">
                  <c:v>400</c:v>
                </c:pt>
                <c:pt idx="5">
                  <c:v>500</c:v>
                </c:pt>
                <c:pt idx="6">
                  <c:v>600</c:v>
                </c:pt>
                <c:pt idx="7">
                  <c:v>700</c:v>
                </c:pt>
                <c:pt idx="8">
                  <c:v>800</c:v>
                </c:pt>
                <c:pt idx="9">
                  <c:v>900</c:v>
                </c:pt>
                <c:pt idx="10">
                  <c:v>1000</c:v>
                </c:pt>
              </c:strCache>
            </c:strRef>
          </c:cat>
          <c:val>
            <c:numRef>
              <c:f>Words!$G$73:$G$83</c:f>
              <c:numCache>
                <c:formatCode>General</c:formatCode>
                <c:ptCount val="11"/>
                <c:pt idx="0">
                  <c:v>0</c:v>
                </c:pt>
                <c:pt idx="1">
                  <c:v>525</c:v>
                </c:pt>
                <c:pt idx="2">
                  <c:v>742</c:v>
                </c:pt>
                <c:pt idx="3">
                  <c:v>909</c:v>
                </c:pt>
                <c:pt idx="4">
                  <c:v>1050</c:v>
                </c:pt>
                <c:pt idx="5">
                  <c:v>1174</c:v>
                </c:pt>
                <c:pt idx="6">
                  <c:v>1286</c:v>
                </c:pt>
                <c:pt idx="7">
                  <c:v>1389</c:v>
                </c:pt>
                <c:pt idx="8">
                  <c:v>1485</c:v>
                </c:pt>
                <c:pt idx="9">
                  <c:v>1575</c:v>
                </c:pt>
                <c:pt idx="10">
                  <c:v>1660</c:v>
                </c:pt>
              </c:numCache>
            </c:numRef>
          </c:val>
          <c:smooth val="1"/>
        </c:ser>
        <c:ser>
          <c:idx val="1"/>
          <c:order val="1"/>
          <c:tx>
            <c:strRef>
              <c:f>Words!H72</c:f>
              <c:strCache>
                <c:ptCount val="1"/>
                <c:pt idx="0">
                  <c:v>Income if every pound earned like the first</c:v>
                </c:pt>
              </c:strCache>
            </c:strRef>
          </c:tx>
          <c:spPr>
            <a:solidFill>
              <a:srgbClr val="c6c6c6"/>
            </a:solidFill>
            <a:ln w="22320">
              <a:solidFill>
                <a:srgbClr val="c6c6c6"/>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Words!$F$73:$F$83</c:f>
              <c:strCache>
                <c:ptCount val="11"/>
                <c:pt idx="0">
                  <c:v>0</c:v>
                </c:pt>
                <c:pt idx="1">
                  <c:v>100</c:v>
                </c:pt>
                <c:pt idx="2">
                  <c:v>200</c:v>
                </c:pt>
                <c:pt idx="3">
                  <c:v>300</c:v>
                </c:pt>
                <c:pt idx="4">
                  <c:v>400</c:v>
                </c:pt>
                <c:pt idx="5">
                  <c:v>500</c:v>
                </c:pt>
                <c:pt idx="6">
                  <c:v>600</c:v>
                </c:pt>
                <c:pt idx="7">
                  <c:v>700</c:v>
                </c:pt>
                <c:pt idx="8">
                  <c:v>800</c:v>
                </c:pt>
                <c:pt idx="9">
                  <c:v>900</c:v>
                </c:pt>
                <c:pt idx="10">
                  <c:v>1000</c:v>
                </c:pt>
              </c:strCache>
            </c:strRef>
          </c:cat>
          <c:val>
            <c:numRef>
              <c:f>Words!$H$73:$H$83</c:f>
              <c:numCache>
                <c:formatCode>General</c:formatCode>
                <c:ptCount val="11"/>
                <c:pt idx="0">
                  <c:v>0</c:v>
                </c:pt>
                <c:pt idx="1">
                  <c:v>330</c:v>
                </c:pt>
                <c:pt idx="2">
                  <c:v>660</c:v>
                </c:pt>
                <c:pt idx="3">
                  <c:v>990</c:v>
                </c:pt>
                <c:pt idx="4">
                  <c:v>1320</c:v>
                </c:pt>
                <c:pt idx="5">
                  <c:v>1650</c:v>
                </c:pt>
                <c:pt idx="6">
                  <c:v>1980</c:v>
                </c:pt>
                <c:pt idx="7">
                  <c:v>2310</c:v>
                </c:pt>
                <c:pt idx="8">
                  <c:v>2640</c:v>
                </c:pt>
                <c:pt idx="9">
                  <c:v>2970</c:v>
                </c:pt>
                <c:pt idx="10">
                  <c:v>3300</c:v>
                </c:pt>
              </c:numCache>
            </c:numRef>
          </c:val>
          <c:smooth val="1"/>
        </c:ser>
        <c:hiLowLines>
          <c:spPr>
            <a:ln w="0">
              <a:noFill/>
            </a:ln>
          </c:spPr>
        </c:hiLowLines>
        <c:marker val="0"/>
        <c:axId val="59639923"/>
        <c:axId val="10985734"/>
      </c:lineChart>
      <c:catAx>
        <c:axId val="5963992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Spend £k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985734"/>
        <c:crosses val="autoZero"/>
        <c:auto val="1"/>
        <c:lblAlgn val="ctr"/>
        <c:lblOffset val="100"/>
        <c:noMultiLvlLbl val="0"/>
      </c:catAx>
      <c:valAx>
        <c:axId val="1098573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Income £k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3992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detective: TV ran in all three peaks, radio in two, the sale in one. The differences give each away</a:t>
            </a:r>
          </a:p>
        </c:rich>
      </c:tx>
      <c:overlay val="0"/>
      <c:spPr>
        <a:noFill/>
        <a:ln w="0">
          <a:noFill/>
        </a:ln>
      </c:spPr>
    </c:title>
    <c:autoTitleDeleted val="0"/>
    <c:plotArea>
      <c:barChart>
        <c:barDir val="col"/>
        <c:grouping val="stacked"/>
        <c:varyColors val="0"/>
        <c:ser>
          <c:idx val="0"/>
          <c:order val="0"/>
          <c:tx>
            <c:strRef>
              <c:f>Words!K72</c:f>
              <c:strCache>
                <c:ptCount val="1"/>
                <c:pt idx="0">
                  <c:v>Base</c:v>
                </c:pt>
              </c:strCache>
            </c:strRef>
          </c:tx>
          <c:spPr>
            <a:solidFill>
              <a:srgbClr val="c6c6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Words!$J$73:$J$94</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Words!$K$73:$K$94</c:f>
              <c:numCache>
                <c:formatCode>General</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ser>
        <c:ser>
          <c:idx val="1"/>
          <c:order val="1"/>
          <c:tx>
            <c:strRef>
              <c:f>Words!L72</c:f>
              <c:strCache>
                <c:ptCount val="1"/>
                <c:pt idx="0">
                  <c:v>Economy</c:v>
                </c:pt>
              </c:strCache>
            </c:strRef>
          </c:tx>
          <c:spPr>
            <a:solidFill>
              <a:srgbClr val="87878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Words!$J$73:$J$94</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Words!$L$73:$L$94</c:f>
              <c:numCache>
                <c:formatCode>General</c:formatCode>
                <c:ptCount val="22"/>
                <c:pt idx="0">
                  <c:v>0</c:v>
                </c:pt>
                <c:pt idx="1">
                  <c:v>0</c:v>
                </c:pt>
                <c:pt idx="2">
                  <c:v>0</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ser>
        <c:ser>
          <c:idx val="2"/>
          <c:order val="2"/>
          <c:tx>
            <c:strRef>
              <c:f>Words!M72</c:f>
              <c:strCache>
                <c:ptCount val="1"/>
                <c:pt idx="0">
                  <c:v>TV</c:v>
                </c:pt>
              </c:strCache>
            </c:strRef>
          </c:tx>
          <c:spPr>
            <a:solidFill>
              <a:srgbClr val="00007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Words!$J$73:$J$94</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Words!$M$73:$M$94</c:f>
              <c:numCache>
                <c:formatCode>General</c:formatCode>
                <c:ptCount val="22"/>
                <c:pt idx="0">
                  <c:v>0</c:v>
                </c:pt>
                <c:pt idx="1">
                  <c:v>0</c:v>
                </c:pt>
                <c:pt idx="2">
                  <c:v>0</c:v>
                </c:pt>
                <c:pt idx="3">
                  <c:v>0</c:v>
                </c:pt>
                <c:pt idx="4">
                  <c:v>0</c:v>
                </c:pt>
                <c:pt idx="5">
                  <c:v>0</c:v>
                </c:pt>
                <c:pt idx="6">
                  <c:v>1</c:v>
                </c:pt>
                <c:pt idx="7">
                  <c:v>1</c:v>
                </c:pt>
                <c:pt idx="8">
                  <c:v>1</c:v>
                </c:pt>
                <c:pt idx="9">
                  <c:v>0</c:v>
                </c:pt>
                <c:pt idx="10">
                  <c:v>0</c:v>
                </c:pt>
                <c:pt idx="11">
                  <c:v>1</c:v>
                </c:pt>
                <c:pt idx="12">
                  <c:v>1</c:v>
                </c:pt>
                <c:pt idx="13">
                  <c:v>1</c:v>
                </c:pt>
                <c:pt idx="14">
                  <c:v>0</c:v>
                </c:pt>
                <c:pt idx="15">
                  <c:v>0</c:v>
                </c:pt>
                <c:pt idx="16">
                  <c:v>1</c:v>
                </c:pt>
                <c:pt idx="17">
                  <c:v>1</c:v>
                </c:pt>
                <c:pt idx="18">
                  <c:v>1</c:v>
                </c:pt>
                <c:pt idx="19">
                  <c:v>0</c:v>
                </c:pt>
                <c:pt idx="20">
                  <c:v>0</c:v>
                </c:pt>
                <c:pt idx="21">
                  <c:v>0</c:v>
                </c:pt>
              </c:numCache>
            </c:numRef>
          </c:val>
        </c:ser>
        <c:ser>
          <c:idx val="3"/>
          <c:order val="3"/>
          <c:tx>
            <c:strRef>
              <c:f>Words!N72</c:f>
              <c:strCache>
                <c:ptCount val="1"/>
                <c:pt idx="0">
                  <c:v>Radio</c:v>
                </c:pt>
              </c:strCache>
            </c:strRef>
          </c:tx>
          <c:spPr>
            <a:solidFill>
              <a:srgbClr val="009ce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Words!$J$73:$J$94</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Words!$N$73:$N$94</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0</c:v>
                </c:pt>
                <c:pt idx="15">
                  <c:v>0</c:v>
                </c:pt>
                <c:pt idx="16">
                  <c:v>1</c:v>
                </c:pt>
                <c:pt idx="17">
                  <c:v>1</c:v>
                </c:pt>
                <c:pt idx="18">
                  <c:v>1</c:v>
                </c:pt>
                <c:pt idx="19">
                  <c:v>0</c:v>
                </c:pt>
                <c:pt idx="20">
                  <c:v>0</c:v>
                </c:pt>
                <c:pt idx="21">
                  <c:v>0</c:v>
                </c:pt>
              </c:numCache>
            </c:numRef>
          </c:val>
        </c:ser>
        <c:ser>
          <c:idx val="4"/>
          <c:order val="4"/>
          <c:tx>
            <c:strRef>
              <c:f>Words!O72</c:f>
              <c:strCache>
                <c:ptCount val="1"/>
                <c:pt idx="0">
                  <c:v>Sale</c:v>
                </c:pt>
              </c:strCache>
            </c:strRef>
          </c:tx>
          <c:spPr>
            <a:solidFill>
              <a:srgbClr val="e6007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Words!$J$73:$J$94</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Words!$O$73:$O$94</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1</c:v>
                </c:pt>
                <c:pt idx="18">
                  <c:v>1</c:v>
                </c:pt>
                <c:pt idx="19">
                  <c:v>0</c:v>
                </c:pt>
                <c:pt idx="20">
                  <c:v>0</c:v>
                </c:pt>
                <c:pt idx="21">
                  <c:v>0</c:v>
                </c:pt>
              </c:numCache>
            </c:numRef>
          </c:val>
        </c:ser>
        <c:gapWidth val="150"/>
        <c:overlap val="100"/>
        <c:axId val="49958708"/>
        <c:axId val="71480378"/>
      </c:barChart>
      <c:catAx>
        <c:axId val="499587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480378"/>
        <c:crosses val="autoZero"/>
        <c:auto val="1"/>
        <c:lblAlgn val="ctr"/>
        <c:lblOffset val="100"/>
        <c:noMultiLvlLbl val="0"/>
      </c:catAx>
      <c:valAx>
        <c:axId val="7148037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95870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Rain on the next field: less Committed Giving media, fewer Race for Life sign-ups from its halo</a:t>
            </a:r>
          </a:p>
        </c:rich>
      </c:tx>
      <c:overlay val="0"/>
      <c:spPr>
        <a:noFill/>
        <a:ln w="0">
          <a:noFill/>
        </a:ln>
      </c:spPr>
    </c:title>
    <c:autoTitleDeleted val="0"/>
    <c:plotArea>
      <c:barChart>
        <c:barDir val="col"/>
        <c:grouping val="clustered"/>
        <c:varyColors val="0"/>
        <c:ser>
          <c:idx val="0"/>
          <c:order val="0"/>
          <c:tx>
            <c:strRef>
              <c:f>Words!R72</c:f>
              <c:strCache>
                <c:ptCount val="1"/>
                <c:pt idx="0">
                  <c:v>Committed Giving media £m</c:v>
                </c:pt>
              </c:strCache>
            </c:strRef>
          </c:tx>
          <c:spPr>
            <a:solidFill>
              <a:srgbClr val="c6c6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Words!$Q$73:$Q$75</c:f>
              <c:strCache>
                <c:ptCount val="3"/>
                <c:pt idx="0">
                  <c:v>2023</c:v>
                </c:pt>
                <c:pt idx="1">
                  <c:v>2024</c:v>
                </c:pt>
                <c:pt idx="2">
                  <c:v>2025 to Oct</c:v>
                </c:pt>
              </c:strCache>
            </c:strRef>
          </c:cat>
          <c:val>
            <c:numRef>
              <c:f>Words!$R$73:$R$75</c:f>
              <c:numCache>
                <c:formatCode>General</c:formatCode>
                <c:ptCount val="3"/>
                <c:pt idx="0">
                  <c:v>8.3</c:v>
                </c:pt>
                <c:pt idx="1">
                  <c:v>6.6</c:v>
                </c:pt>
                <c:pt idx="2">
                  <c:v>3.2</c:v>
                </c:pt>
              </c:numCache>
            </c:numRef>
          </c:val>
        </c:ser>
        <c:gapWidth val="150"/>
        <c:overlap val="0"/>
        <c:axId val="16908527"/>
        <c:axId val="8588646"/>
      </c:barChart>
      <c:lineChart>
        <c:grouping val="standard"/>
        <c:varyColors val="0"/>
        <c:ser>
          <c:idx val="1"/>
          <c:order val="1"/>
          <c:tx>
            <c:strRef>
              <c:f>Words!S72</c:f>
              <c:strCache>
                <c:ptCount val="1"/>
                <c:pt idx="0">
                  <c:v>Race for Life sign-ups from its halo</c:v>
                </c:pt>
              </c:strCache>
            </c:strRef>
          </c:tx>
          <c:spPr>
            <a:solidFill>
              <a:srgbClr val="e60078"/>
            </a:solidFill>
            <a:ln w="22320">
              <a:solidFill>
                <a:srgbClr val="e60078"/>
              </a:solidFill>
              <a:round/>
            </a:ln>
          </c:spPr>
          <c:marker>
            <c:symbol val="circle"/>
            <c:size val="5"/>
            <c:spPr>
              <a:solidFill>
                <a:srgbClr val="e6007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Words!$Q$73:$Q$75</c:f>
              <c:strCache>
                <c:ptCount val="3"/>
                <c:pt idx="0">
                  <c:v>2023</c:v>
                </c:pt>
                <c:pt idx="1">
                  <c:v>2024</c:v>
                </c:pt>
                <c:pt idx="2">
                  <c:v>2025 to Oct</c:v>
                </c:pt>
              </c:strCache>
            </c:strRef>
          </c:cat>
          <c:val>
            <c:numRef>
              <c:f>Words!$S$73:$S$75</c:f>
              <c:numCache>
                <c:formatCode>General</c:formatCode>
                <c:ptCount val="3"/>
                <c:pt idx="0">
                  <c:v>30778</c:v>
                </c:pt>
                <c:pt idx="1">
                  <c:v>23325</c:v>
                </c:pt>
                <c:pt idx="2">
                  <c:v>12178</c:v>
                </c:pt>
              </c:numCache>
            </c:numRef>
          </c:val>
          <c:smooth val="0"/>
        </c:ser>
        <c:hiLowLines>
          <c:spPr>
            <a:ln w="0">
              <a:noFill/>
            </a:ln>
          </c:spPr>
        </c:hiLowLines>
        <c:marker val="1"/>
        <c:axId val="67774819"/>
        <c:axId val="1242213"/>
      </c:lineChart>
      <c:catAx>
        <c:axId val="169085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8646"/>
        <c:crosses val="autoZero"/>
        <c:auto val="1"/>
        <c:lblAlgn val="ctr"/>
        <c:lblOffset val="100"/>
        <c:noMultiLvlLbl val="0"/>
      </c:catAx>
      <c:valAx>
        <c:axId val="8588646"/>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Committed Giving media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908527"/>
        <c:crosses val="autoZero"/>
        <c:crossBetween val="between"/>
      </c:valAx>
      <c:catAx>
        <c:axId val="67774819"/>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42213"/>
        <c:crosses val="autoZero"/>
        <c:auto val="1"/>
        <c:lblAlgn val="ctr"/>
        <c:lblOffset val="100"/>
        <c:noMultiLvlLbl val="0"/>
      </c:catAx>
      <c:valAx>
        <c:axId val="1242213"/>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Race for Life sign-ups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774819"/>
        <c:crosses val="max"/>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6.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
</Relationships>
</file>

<file path=xl/drawings/_rels/drawing7.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
</Relationships>
</file>

<file path=xl/drawings/_rels/drawing8.xml.rels><?xml version="1.0" encoding="UTF-8"?>
<Relationships xmlns="http://schemas.openxmlformats.org/package/2006/relationships"><Relationship Id="rId1" Type="http://schemas.openxmlformats.org/officeDocument/2006/relationships/chart" Target="../charts/chart12.xml"/>
</Relationships>
</file>

<file path=xl/drawings/_rels/drawing9.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_rels/drawing10.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17</xdr:row>
      <xdr:rowOff>111600</xdr:rowOff>
    </xdr:to>
    <xdr:graphicFrame>
      <xdr:nvGraphicFramePr>
        <xdr:cNvPr id="0"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17</xdr:row>
      <xdr:rowOff>111600</xdr:rowOff>
    </xdr:to>
    <xdr:graphicFrame>
      <xdr:nvGraphicFramePr>
        <xdr:cNvPr id="1"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17</xdr:row>
      <xdr:rowOff>111600</xdr:rowOff>
    </xdr:to>
    <xdr:graphicFrame>
      <xdr:nvGraphicFramePr>
        <xdr:cNvPr id="2"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15</xdr:row>
      <xdr:rowOff>187920</xdr:rowOff>
    </xdr:to>
    <xdr:graphicFrame>
      <xdr:nvGraphicFramePr>
        <xdr:cNvPr id="3"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16</xdr:col>
      <xdr:colOff>292680</xdr:colOff>
      <xdr:row>40</xdr:row>
      <xdr:rowOff>172800</xdr:rowOff>
    </xdr:to>
    <xdr:graphicFrame>
      <xdr:nvGraphicFramePr>
        <xdr:cNvPr id="4" name="Chart 2"/>
        <xdr:cNvGraphicFramePr/>
      </xdr:nvGraphicFramePr>
      <xdr:xfrm>
        <a:off x="8623440" y="786780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16</xdr:row>
      <xdr:rowOff>102240</xdr:rowOff>
    </xdr:to>
    <xdr:graphicFrame>
      <xdr:nvGraphicFramePr>
        <xdr:cNvPr id="5"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16</xdr:col>
      <xdr:colOff>292680</xdr:colOff>
      <xdr:row>39</xdr:row>
      <xdr:rowOff>410760</xdr:rowOff>
    </xdr:to>
    <xdr:graphicFrame>
      <xdr:nvGraphicFramePr>
        <xdr:cNvPr id="6" name="Chart 2"/>
        <xdr:cNvGraphicFramePr/>
      </xdr:nvGraphicFramePr>
      <xdr:xfrm>
        <a:off x="8623440" y="776304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14</xdr:row>
      <xdr:rowOff>197280</xdr:rowOff>
    </xdr:to>
    <xdr:graphicFrame>
      <xdr:nvGraphicFramePr>
        <xdr:cNvPr id="7" name="Chart 1"/>
        <xdr:cNvGraphicFramePr/>
      </xdr:nvGraphicFramePr>
      <xdr:xfrm>
        <a:off x="862344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16</xdr:col>
      <xdr:colOff>292680</xdr:colOff>
      <xdr:row>39</xdr:row>
      <xdr:rowOff>601200</xdr:rowOff>
    </xdr:to>
    <xdr:graphicFrame>
      <xdr:nvGraphicFramePr>
        <xdr:cNvPr id="8" name="Chart 2"/>
        <xdr:cNvGraphicFramePr/>
      </xdr:nvGraphicFramePr>
      <xdr:xfrm>
        <a:off x="8623440" y="827712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18</xdr:col>
      <xdr:colOff>292680</xdr:colOff>
      <xdr:row>11</xdr:row>
      <xdr:rowOff>330840</xdr:rowOff>
    </xdr:to>
    <xdr:graphicFrame>
      <xdr:nvGraphicFramePr>
        <xdr:cNvPr id="9" name="Chart 1"/>
        <xdr:cNvGraphicFramePr/>
      </xdr:nvGraphicFramePr>
      <xdr:xfrm>
        <a:off x="1329372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26</xdr:row>
      <xdr:rowOff>0</xdr:rowOff>
    </xdr:from>
    <xdr:to>
      <xdr:col>18</xdr:col>
      <xdr:colOff>292680</xdr:colOff>
      <xdr:row>42</xdr:row>
      <xdr:rowOff>86760</xdr:rowOff>
    </xdr:to>
    <xdr:graphicFrame>
      <xdr:nvGraphicFramePr>
        <xdr:cNvPr id="10" name="Chart 2"/>
        <xdr:cNvGraphicFramePr/>
      </xdr:nvGraphicFramePr>
      <xdr:xfrm>
        <a:off x="13293720" y="1063944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44</xdr:row>
      <xdr:rowOff>0</xdr:rowOff>
    </xdr:from>
    <xdr:to>
      <xdr:col>8</xdr:col>
      <xdr:colOff>203040</xdr:colOff>
      <xdr:row>62</xdr:row>
      <xdr:rowOff>170640</xdr:rowOff>
    </xdr:to>
    <xdr:graphicFrame>
      <xdr:nvGraphicFramePr>
        <xdr:cNvPr id="11" name="Chart 1"/>
        <xdr:cNvGraphicFramePr/>
      </xdr:nvGraphicFramePr>
      <xdr:xfrm>
        <a:off x="177840" y="11182320"/>
        <a:ext cx="93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16</xdr:col>
      <xdr:colOff>292680</xdr:colOff>
      <xdr:row>14</xdr:row>
      <xdr:rowOff>83160</xdr:rowOff>
    </xdr:to>
    <xdr:graphicFrame>
      <xdr:nvGraphicFramePr>
        <xdr:cNvPr id="12" name="Chart 1"/>
        <xdr:cNvGraphicFramePr/>
      </xdr:nvGraphicFramePr>
      <xdr:xfrm>
        <a:off x="9867960" y="8002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0</xdr:rowOff>
    </xdr:from>
    <xdr:to>
      <xdr:col>16</xdr:col>
      <xdr:colOff>292680</xdr:colOff>
      <xdr:row>35</xdr:row>
      <xdr:rowOff>124920</xdr:rowOff>
    </xdr:to>
    <xdr:graphicFrame>
      <xdr:nvGraphicFramePr>
        <xdr:cNvPr id="13" name="Chart 2"/>
        <xdr:cNvGraphicFramePr/>
      </xdr:nvGraphicFramePr>
      <xdr:xfrm>
        <a:off x="9867960" y="787716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2</xdr:col>
      <xdr:colOff>3625920</xdr:colOff>
      <xdr:row>45</xdr:row>
      <xdr:rowOff>22320</xdr:rowOff>
    </xdr:to>
    <xdr:graphicFrame>
      <xdr:nvGraphicFramePr>
        <xdr:cNvPr id="14" name="Chart 1"/>
        <xdr:cNvGraphicFramePr/>
      </xdr:nvGraphicFramePr>
      <xdr:xfrm>
        <a:off x="177840" y="16573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30</xdr:row>
      <xdr:rowOff>0</xdr:rowOff>
    </xdr:from>
    <xdr:to>
      <xdr:col>4</xdr:col>
      <xdr:colOff>1847880</xdr:colOff>
      <xdr:row>45</xdr:row>
      <xdr:rowOff>22320</xdr:rowOff>
    </xdr:to>
    <xdr:graphicFrame>
      <xdr:nvGraphicFramePr>
        <xdr:cNvPr id="15" name="Chart 2"/>
        <xdr:cNvGraphicFramePr/>
      </xdr:nvGraphicFramePr>
      <xdr:xfrm>
        <a:off x="6222960" y="165736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47</xdr:row>
      <xdr:rowOff>0</xdr:rowOff>
    </xdr:from>
    <xdr:to>
      <xdr:col>2</xdr:col>
      <xdr:colOff>3625920</xdr:colOff>
      <xdr:row>62</xdr:row>
      <xdr:rowOff>21960</xdr:rowOff>
    </xdr:to>
    <xdr:graphicFrame>
      <xdr:nvGraphicFramePr>
        <xdr:cNvPr id="16" name="Chart 3"/>
        <xdr:cNvGraphicFramePr/>
      </xdr:nvGraphicFramePr>
      <xdr:xfrm>
        <a:off x="177840" y="19811880"/>
        <a:ext cx="57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47</xdr:row>
      <xdr:rowOff>0</xdr:rowOff>
    </xdr:from>
    <xdr:to>
      <xdr:col>4</xdr:col>
      <xdr:colOff>1847880</xdr:colOff>
      <xdr:row>62</xdr:row>
      <xdr:rowOff>21960</xdr:rowOff>
    </xdr:to>
    <xdr:graphicFrame>
      <xdr:nvGraphicFramePr>
        <xdr:cNvPr id="17" name="Chart 4"/>
        <xdr:cNvGraphicFramePr/>
      </xdr:nvGraphicFramePr>
      <xdr:xfrm>
        <a:off x="6222960" y="19811880"/>
        <a:ext cx="575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game_v2.xlsx" TargetMode="External"/><Relationship Id="rId2" Type="http://schemas.openxmlformats.org/officeDocument/2006/relationships/hyperlink" Target="game_v2.xlsx" TargetMode="External"/><Relationship Id="rId3" Type="http://schemas.openxmlformats.org/officeDocument/2006/relationships/hyperlink" Target="game_v2.xlsx" TargetMode="External"/><Relationship Id="rId4" Type="http://schemas.openxmlformats.org/officeDocument/2006/relationships/hyperlink" Target="game_v2.xlsx" TargetMode="External"/><Relationship Id="rId5" Type="http://schemas.openxmlformats.org/officeDocument/2006/relationships/hyperlink" Target="game_v2.xlsx" TargetMode="External"/><Relationship Id="rId6" Type="http://schemas.openxmlformats.org/officeDocument/2006/relationships/hyperlink" Target="game_v2.xlsx" TargetMode="External"/><Relationship Id="rId7" Type="http://schemas.openxmlformats.org/officeDocument/2006/relationships/hyperlink" Target="game_v2.xlsx" TargetMode="External"/><Relationship Id="rId8" Type="http://schemas.openxmlformats.org/officeDocument/2006/relationships/hyperlink" Target="game_v2.xlsx" TargetMode="External"/><Relationship Id="rId9" Type="http://schemas.openxmlformats.org/officeDocument/2006/relationships/hyperlink" Target="game_v2.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0078"/>
    <pageSetUpPr fitToPage="true"/>
  </sheetPr>
  <dimension ref="B1:N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46"/>
    <col collapsed="false" customWidth="true" hidden="false" outlineLevel="0" max="4" min="4" style="0" width="30"/>
    <col collapsed="false" customWidth="true" hidden="false" outlineLevel="0" max="5" min="5" style="0" width="20"/>
    <col collapsed="false" customWidth="true" hidden="false" outlineLevel="0" max="6" min="6" style="0" width="2"/>
  </cols>
  <sheetData>
    <row r="1" customFormat="false" ht="30" hidden="false" customHeight="true" outlineLevel="0" collapsed="false">
      <c r="B1" s="1" t="s">
        <v>0</v>
      </c>
    </row>
    <row r="2" customFormat="false" ht="18" hidden="false" customHeight="true" outlineLevel="0" collapsed="false">
      <c r="B2" s="2" t="s">
        <v>1</v>
      </c>
      <c r="C2" s="2"/>
      <c r="D2" s="2"/>
      <c r="E2" s="2"/>
      <c r="F2" s="2"/>
      <c r="G2" s="2"/>
      <c r="H2" s="2"/>
      <c r="I2" s="2"/>
      <c r="J2" s="2"/>
      <c r="K2" s="2"/>
      <c r="L2" s="2"/>
      <c r="M2" s="2"/>
      <c r="N2" s="2"/>
    </row>
    <row r="4" customFormat="false" ht="19.5" hidden="false" customHeight="true" outlineLevel="0" collapsed="false">
      <c r="B4" s="3" t="s">
        <v>2</v>
      </c>
    </row>
    <row r="5" customFormat="false" ht="33.75" hidden="false" customHeight="true" outlineLevel="0" collapsed="false">
      <c r="B5" s="4" t="s">
        <v>3</v>
      </c>
      <c r="C5" s="4"/>
      <c r="D5" s="4"/>
      <c r="E5" s="4"/>
    </row>
    <row r="6" customFormat="false" ht="33.75" hidden="false" customHeight="true" outlineLevel="0" collapsed="false">
      <c r="B6" s="4" t="s">
        <v>4</v>
      </c>
      <c r="C6" s="4"/>
      <c r="D6" s="4"/>
      <c r="E6" s="4"/>
    </row>
    <row r="7" customFormat="false" ht="33.75" hidden="false" customHeight="true" outlineLevel="0" collapsed="false">
      <c r="B7" s="4" t="s">
        <v>5</v>
      </c>
      <c r="C7" s="4"/>
      <c r="D7" s="4"/>
      <c r="E7" s="4"/>
    </row>
    <row r="9" customFormat="false" ht="19.5" hidden="false" customHeight="true" outlineLevel="0" collapsed="false">
      <c r="B9" s="3" t="s">
        <v>6</v>
      </c>
    </row>
    <row r="10" customFormat="false" ht="33.75" hidden="false" customHeight="true" outlineLevel="0" collapsed="false">
      <c r="B10" s="4" t="s">
        <v>7</v>
      </c>
      <c r="C10" s="4"/>
      <c r="D10" s="4"/>
      <c r="E10" s="4"/>
    </row>
    <row r="12" customFormat="false" ht="19.5" hidden="false" customHeight="true" outlineLevel="0" collapsed="false">
      <c r="B12" s="3" t="s">
        <v>8</v>
      </c>
    </row>
    <row r="13" customFormat="false" ht="33.75" hidden="false" customHeight="true" outlineLevel="0" collapsed="false">
      <c r="B13" s="5" t="s">
        <v>9</v>
      </c>
      <c r="C13" s="4" t="s">
        <v>10</v>
      </c>
      <c r="D13" s="4"/>
      <c r="E13" s="4"/>
    </row>
    <row r="14" customFormat="false" ht="33.75" hidden="false" customHeight="true" outlineLevel="0" collapsed="false">
      <c r="B14" s="5" t="s">
        <v>11</v>
      </c>
      <c r="C14" s="4" t="s">
        <v>12</v>
      </c>
      <c r="D14" s="4"/>
      <c r="E14" s="4"/>
    </row>
    <row r="16" customFormat="false" ht="19.5" hidden="false" customHeight="true" outlineLevel="0" collapsed="false">
      <c r="B16" s="3" t="s">
        <v>13</v>
      </c>
    </row>
    <row r="17" customFormat="false" ht="15" hidden="false" customHeight="false" outlineLevel="0" collapsed="false">
      <c r="B17" s="6" t="s">
        <v>14</v>
      </c>
      <c r="C17" s="6" t="s">
        <v>15</v>
      </c>
      <c r="D17" s="6" t="s">
        <v>16</v>
      </c>
      <c r="E17" s="6" t="s">
        <v>17</v>
      </c>
    </row>
    <row r="18" customFormat="false" ht="19.5" hidden="false" customHeight="true" outlineLevel="0" collapsed="false">
      <c r="B18" s="7" t="s">
        <v>18</v>
      </c>
      <c r="C18" s="8" t="s">
        <v>19</v>
      </c>
      <c r="D18" s="8" t="s">
        <v>20</v>
      </c>
      <c r="E18" s="9" t="str">
        <f aca="false">'Level 1'!C17</f>
        <v>Keep going</v>
      </c>
    </row>
    <row r="19" customFormat="false" ht="19.5" hidden="false" customHeight="true" outlineLevel="0" collapsed="false">
      <c r="B19" s="7" t="s">
        <v>21</v>
      </c>
      <c r="C19" s="8" t="s">
        <v>22</v>
      </c>
      <c r="D19" s="8" t="s">
        <v>23</v>
      </c>
      <c r="E19" s="9" t="str">
        <f aca="false">'Level 2'!C17</f>
        <v>Keep going</v>
      </c>
    </row>
    <row r="20" customFormat="false" ht="19.5" hidden="false" customHeight="true" outlineLevel="0" collapsed="false">
      <c r="B20" s="7" t="s">
        <v>24</v>
      </c>
      <c r="C20" s="8" t="s">
        <v>25</v>
      </c>
      <c r="D20" s="8" t="s">
        <v>26</v>
      </c>
      <c r="E20" s="9" t="str">
        <f aca="false">'Level 3'!C19</f>
        <v>Keep going</v>
      </c>
    </row>
    <row r="21" customFormat="false" ht="19.5" hidden="false" customHeight="true" outlineLevel="0" collapsed="false">
      <c r="B21" s="7" t="s">
        <v>27</v>
      </c>
      <c r="C21" s="8" t="s">
        <v>28</v>
      </c>
      <c r="D21" s="8" t="s">
        <v>29</v>
      </c>
      <c r="E21" s="9" t="str">
        <f aca="false">'Level 4'!C20</f>
        <v>Keep going</v>
      </c>
    </row>
    <row r="22" customFormat="false" ht="19.5" hidden="false" customHeight="true" outlineLevel="0" collapsed="false">
      <c r="B22" s="7" t="s">
        <v>30</v>
      </c>
      <c r="C22" s="8" t="s">
        <v>31</v>
      </c>
      <c r="D22" s="8" t="s">
        <v>32</v>
      </c>
      <c r="E22" s="9" t="str">
        <f aca="false">'Level 5'!C21</f>
        <v>Keep going</v>
      </c>
    </row>
    <row r="23" customFormat="false" ht="19.5" hidden="false" customHeight="true" outlineLevel="0" collapsed="false">
      <c r="B23" s="7" t="s">
        <v>33</v>
      </c>
      <c r="C23" s="8" t="s">
        <v>34</v>
      </c>
      <c r="D23" s="8" t="s">
        <v>35</v>
      </c>
      <c r="E23" s="9" t="str">
        <f aca="false">'Level 6'!C22</f>
        <v>Keep going</v>
      </c>
    </row>
    <row r="24" customFormat="false" ht="19.5" hidden="false" customHeight="true" outlineLevel="0" collapsed="false">
      <c r="B24" s="7" t="s">
        <v>36</v>
      </c>
      <c r="C24" s="8" t="s">
        <v>37</v>
      </c>
      <c r="D24" s="8" t="s">
        <v>38</v>
      </c>
      <c r="E24" s="9" t="str">
        <f aca="false">'Level 7'!C17</f>
        <v>Keep going</v>
      </c>
    </row>
    <row r="25" customFormat="false" ht="19.5" hidden="false" customHeight="true" outlineLevel="0" collapsed="false">
      <c r="B25" s="7" t="s">
        <v>39</v>
      </c>
      <c r="C25" s="8" t="s">
        <v>40</v>
      </c>
      <c r="D25" s="8" t="s">
        <v>41</v>
      </c>
      <c r="E25" s="9" t="str">
        <f aca="false">'Level 8'!C32</f>
        <v>Keep going</v>
      </c>
    </row>
    <row r="26" customFormat="false" ht="19.5" hidden="false" customHeight="true" outlineLevel="0" collapsed="false">
      <c r="B26" s="7" t="s">
        <v>42</v>
      </c>
      <c r="C26" s="8" t="s">
        <v>43</v>
      </c>
      <c r="D26" s="8" t="s">
        <v>44</v>
      </c>
      <c r="E26" s="9" t="s">
        <v>45</v>
      </c>
    </row>
    <row r="28" customFormat="false" ht="17.35" hidden="false" customHeight="false" outlineLevel="0" collapsed="false">
      <c r="B28" s="10" t="s">
        <v>46</v>
      </c>
      <c r="C28" s="11" t="str">
        <f aca="false">COUNTIF(E18:E26,"Level done*")&amp;" of 8"</f>
        <v>0 of 8</v>
      </c>
    </row>
    <row r="30" customFormat="false" ht="19.5" hidden="false" customHeight="true" outlineLevel="0" collapsed="false">
      <c r="B30" s="3" t="s">
        <v>47</v>
      </c>
    </row>
    <row r="31" customFormat="false" ht="33.75" hidden="false" customHeight="true" outlineLevel="0" collapsed="false">
      <c r="B31" s="12" t="s">
        <v>48</v>
      </c>
      <c r="C31" s="12"/>
      <c r="D31" s="12"/>
      <c r="E31" s="12"/>
    </row>
    <row r="33" customFormat="false" ht="19.5" hidden="false" customHeight="true" outlineLevel="0" collapsed="false">
      <c r="B33" s="3" t="s">
        <v>49</v>
      </c>
    </row>
    <row r="34" customFormat="false" ht="63.75" hidden="false" customHeight="true" outlineLevel="0" collapsed="false">
      <c r="B34" s="13" t="s">
        <v>50</v>
      </c>
      <c r="C34" s="13"/>
      <c r="D34" s="13"/>
      <c r="E34" s="13"/>
    </row>
    <row r="35" customFormat="false" ht="33.75" hidden="false" customHeight="true" outlineLevel="0" collapsed="false">
      <c r="B35" s="13" t="s">
        <v>51</v>
      </c>
      <c r="C35" s="13"/>
      <c r="D35" s="13"/>
      <c r="E35" s="13"/>
    </row>
  </sheetData>
  <mergeCells count="10">
    <mergeCell ref="B2:N2"/>
    <mergeCell ref="B5:E5"/>
    <mergeCell ref="B6:E6"/>
    <mergeCell ref="B7:E7"/>
    <mergeCell ref="B10:E10"/>
    <mergeCell ref="C13:E13"/>
    <mergeCell ref="C14:E14"/>
    <mergeCell ref="B31:E31"/>
    <mergeCell ref="B34:E34"/>
    <mergeCell ref="B35:E35"/>
  </mergeCells>
  <conditionalFormatting sqref="E18:E26">
    <cfRule type="expression" priority="2" aboveAverage="0" equalAverage="0" bottom="0" percent="0" rank="0" text="" dxfId="0">
      <formula>ISNUMBER(SEARCH("About right",E18))</formula>
    </cfRule>
    <cfRule type="expression" priority="3" aboveAverage="0" equalAverage="0" bottom="0" percent="0" rank="0" text="" dxfId="1">
      <formula>ISNUMBER(SEARCH("Too",E18))</formula>
    </cfRule>
    <cfRule type="expression" priority="4" aboveAverage="0" equalAverage="0" bottom="0" percent="0" rank="0" text="" dxfId="0">
      <formula>ISNUMBER(SEARCH("done",E18))</formula>
    </cfRule>
    <cfRule type="expression" priority="5" aboveAverage="0" equalAverage="0" bottom="0" percent="0" rank="0" text="" dxfId="1">
      <formula>ISNUMBER(SEARCH("Keep going",E18))</formula>
    </cfRule>
  </conditionalFormatting>
  <hyperlinks>
    <hyperlink ref="B18" r:id="rId1" location="'Level%201'!A1" display="Level 1"/>
    <hyperlink ref="B19" r:id="rId2" location="'Level%202'!A1" display="Level 2"/>
    <hyperlink ref="B20" r:id="rId3" location="'Level%203'!A1" display="Level 3"/>
    <hyperlink ref="B21" r:id="rId4" location="'Level%204'!A1" display="Level 4"/>
    <hyperlink ref="B22" r:id="rId5" location="'Level%205'!A1" display="Level 5"/>
    <hyperlink ref="B23" r:id="rId6" location="'Level%206'!A1" display="Level 6"/>
    <hyperlink ref="B24" r:id="rId7" location="'Level%207'!A1" display="Level 7"/>
    <hyperlink ref="B25" r:id="rId8" location="'Level%208'!A1" display="Level 8"/>
    <hyperlink ref="B26" r:id="rId9" location="'Level%209'!A1" display="Level 9"/>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C5F2"/>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52</v>
      </c>
    </row>
    <row r="2" customFormat="false" ht="18" hidden="false" customHeight="true" outlineLevel="0" collapsed="false">
      <c r="B2" s="2" t="s">
        <v>53</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55</v>
      </c>
      <c r="C5" s="4"/>
      <c r="D5" s="4"/>
    </row>
    <row r="6" customFormat="false" ht="33.75" hidden="false" customHeight="true" outlineLevel="0" collapsed="false">
      <c r="B6" s="4" t="s">
        <v>56</v>
      </c>
      <c r="C6" s="4"/>
      <c r="D6" s="4"/>
    </row>
    <row r="7" customFormat="false" ht="33.75" hidden="false" customHeight="true" outlineLevel="0" collapsed="false">
      <c r="B7" s="4" t="s">
        <v>57</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59</v>
      </c>
      <c r="C11" s="15"/>
      <c r="D11" s="16" t="s">
        <v>60</v>
      </c>
    </row>
    <row r="15" customFormat="false" ht="19.5" hidden="false" customHeight="true" outlineLevel="0" collapsed="false">
      <c r="B15" s="3" t="s">
        <v>61</v>
      </c>
    </row>
    <row r="16" customFormat="false" ht="21.75" hidden="false" customHeight="true" outlineLevel="0" collapsed="false">
      <c r="B16" s="14" t="s">
        <v>62</v>
      </c>
      <c r="C16" s="17" t="str">
        <f aca="false">IF('Level 1'!$C$11="","Type a number",IF('Level 1'!$C$11&lt;Answers!$C$3*(1-Answers!$C$11),"Too low",IF('Level 1'!$C$11&gt;Answers!$C$3*(1+Answers!$C$11),"Too high","About right")))</f>
        <v>Type a number</v>
      </c>
    </row>
    <row r="17" customFormat="false" ht="21.75" hidden="false" customHeight="true" outlineLevel="0" collapsed="false">
      <c r="B17" s="14" t="s">
        <v>63</v>
      </c>
      <c r="C17" s="17" t="str">
        <f aca="false">IF(AND(C16="About right"),"Level done. Move on.","Keep going")</f>
        <v>Keep going</v>
      </c>
    </row>
    <row r="23" customFormat="false" ht="19.5" hidden="false" customHeight="true" outlineLevel="0" collapsed="false">
      <c r="B23" s="3" t="s">
        <v>64</v>
      </c>
    </row>
    <row r="24" customFormat="false" ht="33.75" hidden="false" customHeight="true" outlineLevel="0" collapsed="false">
      <c r="B24" s="4" t="s">
        <v>65</v>
      </c>
      <c r="C24" s="4"/>
      <c r="D24" s="4"/>
    </row>
    <row r="25" customFormat="false" ht="33.75" hidden="false" customHeight="true" outlineLevel="0" collapsed="false">
      <c r="B25" s="4" t="s">
        <v>66</v>
      </c>
      <c r="C25" s="4"/>
      <c r="D25" s="4"/>
    </row>
    <row r="26" customFormat="false" ht="33.75" hidden="false" customHeight="true" outlineLevel="0" collapsed="false">
      <c r="B26" s="4" t="s">
        <v>67</v>
      </c>
      <c r="C26" s="4"/>
      <c r="D26" s="4"/>
    </row>
    <row r="28" customFormat="false" ht="19.5" hidden="false" customHeight="true" outlineLevel="0" collapsed="false">
      <c r="B28" s="3" t="s">
        <v>47</v>
      </c>
    </row>
    <row r="29" customFormat="false" ht="33.75" hidden="false" customHeight="true" outlineLevel="0" collapsed="false">
      <c r="B29" s="12" t="s">
        <v>68</v>
      </c>
      <c r="C29" s="12"/>
      <c r="D29" s="12"/>
    </row>
    <row r="31" customFormat="false" ht="15" hidden="false" customHeight="false" outlineLevel="0" collapsed="false">
      <c r="B31" s="10" t="s">
        <v>69</v>
      </c>
      <c r="C31" s="18" t="s">
        <v>70</v>
      </c>
    </row>
    <row r="32" customFormat="false" ht="15" hidden="false" customHeight="false" outlineLevel="0" collapsed="false">
      <c r="B32" s="14" t="s">
        <v>71</v>
      </c>
      <c r="C32" s="19" t="str">
        <f aca="false">IF(C31="Yes",Answers!C3,"")</f>
        <v/>
      </c>
    </row>
    <row r="36" customFormat="false" ht="19.5" hidden="false" customHeight="true" outlineLevel="0" collapsed="false">
      <c r="B36" s="3" t="s">
        <v>72</v>
      </c>
    </row>
    <row r="37" customFormat="false" ht="18.75" hidden="false" customHeight="true" outlineLevel="0" collapsed="false">
      <c r="B37" s="4" t="s">
        <v>73</v>
      </c>
      <c r="C37" s="4"/>
      <c r="D37" s="4"/>
    </row>
  </sheetData>
  <mergeCells count="9">
    <mergeCell ref="B2:N2"/>
    <mergeCell ref="B5:D5"/>
    <mergeCell ref="B6:D6"/>
    <mergeCell ref="B7:D7"/>
    <mergeCell ref="B24:D24"/>
    <mergeCell ref="B25:D25"/>
    <mergeCell ref="B26:D26"/>
    <mergeCell ref="B29:D29"/>
    <mergeCell ref="B37:D37"/>
  </mergeCells>
  <conditionalFormatting sqref="C16:C18">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C5F2"/>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74</v>
      </c>
    </row>
    <row r="2" customFormat="false" ht="18" hidden="false" customHeight="true" outlineLevel="0" collapsed="false">
      <c r="B2" s="2" t="s">
        <v>75</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76</v>
      </c>
      <c r="C5" s="4"/>
      <c r="D5" s="4"/>
    </row>
    <row r="6" customFormat="false" ht="33.75" hidden="false" customHeight="true" outlineLevel="0" collapsed="false">
      <c r="B6" s="4" t="s">
        <v>77</v>
      </c>
      <c r="C6" s="4"/>
      <c r="D6" s="4"/>
    </row>
    <row r="7" customFormat="false" ht="33.75" hidden="false" customHeight="true" outlineLevel="0" collapsed="false">
      <c r="B7" s="4" t="s">
        <v>78</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79</v>
      </c>
      <c r="C11" s="15"/>
      <c r="D11" s="16" t="s">
        <v>80</v>
      </c>
    </row>
    <row r="15" customFormat="false" ht="19.5" hidden="false" customHeight="true" outlineLevel="0" collapsed="false">
      <c r="B15" s="3" t="s">
        <v>61</v>
      </c>
    </row>
    <row r="16" customFormat="false" ht="21.75" hidden="false" customHeight="true" outlineLevel="0" collapsed="false">
      <c r="B16" s="14" t="s">
        <v>62</v>
      </c>
      <c r="C16" s="17" t="str">
        <f aca="false">IF('Level 2'!$C$11="","Type a number",IF('Level 2'!$C$11&lt;Answers!$C$4*(1-Answers!$C$11),"Too low",IF('Level 2'!$C$11&gt;Answers!$C$4*(1+Answers!$C$11),"Too high","About right")))</f>
        <v>Type a number</v>
      </c>
    </row>
    <row r="17" customFormat="false" ht="21.75" hidden="false" customHeight="true" outlineLevel="0" collapsed="false">
      <c r="B17" s="14" t="s">
        <v>63</v>
      </c>
      <c r="C17" s="17" t="str">
        <f aca="false">IF(AND(C16="About right"),"Level done. Move on.","Keep going")</f>
        <v>Keep going</v>
      </c>
    </row>
    <row r="23" customFormat="false" ht="19.5" hidden="false" customHeight="true" outlineLevel="0" collapsed="false">
      <c r="B23" s="3" t="s">
        <v>64</v>
      </c>
    </row>
    <row r="24" customFormat="false" ht="33.75" hidden="false" customHeight="true" outlineLevel="0" collapsed="false">
      <c r="B24" s="4" t="s">
        <v>81</v>
      </c>
      <c r="C24" s="4"/>
      <c r="D24" s="4"/>
    </row>
    <row r="25" customFormat="false" ht="33.75" hidden="false" customHeight="true" outlineLevel="0" collapsed="false">
      <c r="B25" s="4" t="s">
        <v>82</v>
      </c>
      <c r="C25" s="4"/>
      <c r="D25" s="4"/>
    </row>
    <row r="26" customFormat="false" ht="33.75" hidden="false" customHeight="true" outlineLevel="0" collapsed="false">
      <c r="B26" s="4" t="s">
        <v>83</v>
      </c>
      <c r="C26" s="4"/>
      <c r="D26" s="4"/>
    </row>
    <row r="28" customFormat="false" ht="19.5" hidden="false" customHeight="true" outlineLevel="0" collapsed="false">
      <c r="B28" s="3" t="s">
        <v>47</v>
      </c>
    </row>
    <row r="29" customFormat="false" ht="33.75" hidden="false" customHeight="true" outlineLevel="0" collapsed="false">
      <c r="B29" s="12" t="s">
        <v>84</v>
      </c>
      <c r="C29" s="12"/>
      <c r="D29" s="12"/>
    </row>
    <row r="31" customFormat="false" ht="15" hidden="false" customHeight="false" outlineLevel="0" collapsed="false">
      <c r="B31" s="10" t="s">
        <v>69</v>
      </c>
      <c r="C31" s="18" t="s">
        <v>70</v>
      </c>
    </row>
    <row r="32" customFormat="false" ht="15" hidden="false" customHeight="false" outlineLevel="0" collapsed="false">
      <c r="B32" s="14" t="s">
        <v>85</v>
      </c>
      <c r="C32" s="19" t="str">
        <f aca="false">IF(C31="Yes",Answers!C4,"")</f>
        <v/>
      </c>
    </row>
    <row r="36" customFormat="false" ht="19.5" hidden="false" customHeight="true" outlineLevel="0" collapsed="false">
      <c r="B36" s="3" t="s">
        <v>72</v>
      </c>
    </row>
    <row r="37" customFormat="false" ht="18.75" hidden="false" customHeight="true" outlineLevel="0" collapsed="false">
      <c r="B37" s="4" t="s">
        <v>86</v>
      </c>
      <c r="C37" s="4"/>
      <c r="D37" s="4"/>
    </row>
  </sheetData>
  <mergeCells count="9">
    <mergeCell ref="B2:N2"/>
    <mergeCell ref="B5:D5"/>
    <mergeCell ref="B6:D6"/>
    <mergeCell ref="B7:D7"/>
    <mergeCell ref="B24:D24"/>
    <mergeCell ref="B25:D25"/>
    <mergeCell ref="B26:D26"/>
    <mergeCell ref="B29:D29"/>
    <mergeCell ref="B37:D37"/>
  </mergeCells>
  <conditionalFormatting sqref="C16:C18">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C5F2"/>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87</v>
      </c>
    </row>
    <row r="2" customFormat="false" ht="18" hidden="false" customHeight="true" outlineLevel="0" collapsed="false">
      <c r="B2" s="2" t="s">
        <v>88</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89</v>
      </c>
      <c r="C5" s="4"/>
      <c r="D5" s="4"/>
    </row>
    <row r="6" customFormat="false" ht="33.75" hidden="false" customHeight="true" outlineLevel="0" collapsed="false">
      <c r="B6" s="4" t="s">
        <v>90</v>
      </c>
      <c r="C6" s="4"/>
      <c r="D6" s="4"/>
    </row>
    <row r="7" customFormat="false" ht="33.75" hidden="false" customHeight="true" outlineLevel="0" collapsed="false">
      <c r="B7" s="4" t="s">
        <v>91</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92</v>
      </c>
      <c r="C11" s="15"/>
      <c r="D11" s="16" t="s">
        <v>93</v>
      </c>
    </row>
    <row r="15" customFormat="false" ht="19.5" hidden="false" customHeight="true" outlineLevel="0" collapsed="false">
      <c r="B15" s="3" t="s">
        <v>61</v>
      </c>
    </row>
    <row r="16" customFormat="false" ht="21.75" hidden="false" customHeight="true" outlineLevel="0" collapsed="false">
      <c r="B16" s="14" t="s">
        <v>62</v>
      </c>
      <c r="C16" s="17" t="str">
        <f aca="false">IF('Level 3'!$C$11="","Type a number",IF('Level 3'!$C$11&lt;Answers!$C$5*(1-Answers!$C$11),"Too low",IF('Level 3'!$C$11&gt;Answers!$C$5*(1+Answers!$C$11),"Too high","About right")))</f>
        <v>Type a number</v>
      </c>
    </row>
    <row r="17" customFormat="false" ht="21.75" hidden="false" customHeight="true" outlineLevel="0" collapsed="false">
      <c r="B17" s="14" t="s">
        <v>94</v>
      </c>
      <c r="C17" s="20" t="n">
        <f aca="false">MAX(0,1-SUMXMY2('Under the bonnet'!$D$6:$D$153,'Under the bonnet'!$AL$6:$AL$153)/DEVSQ('Under the bonnet'!$D$6:$D$153))</f>
        <v>0</v>
      </c>
    </row>
    <row r="18" customFormat="false" ht="21.75" hidden="false" customHeight="true" outlineLevel="0" collapsed="false">
      <c r="B18" s="14" t="s">
        <v>95</v>
      </c>
      <c r="C18" s="20" t="n">
        <f aca="false">Answers!C27</f>
        <v>0.47</v>
      </c>
    </row>
    <row r="19" customFormat="false" ht="21.75" hidden="false" customHeight="true" outlineLevel="0" collapsed="false">
      <c r="B19" s="14" t="s">
        <v>63</v>
      </c>
      <c r="C19" s="17" t="str">
        <f aca="false">IF(AND(C16="About right"),"Level done. Move on.","Keep going")</f>
        <v>Keep going</v>
      </c>
    </row>
    <row r="23" customFormat="false" ht="19.5" hidden="false" customHeight="true" outlineLevel="0" collapsed="false">
      <c r="B23" s="3" t="s">
        <v>64</v>
      </c>
    </row>
    <row r="24" customFormat="false" ht="33.75" hidden="false" customHeight="true" outlineLevel="0" collapsed="false">
      <c r="B24" s="4" t="s">
        <v>96</v>
      </c>
      <c r="C24" s="4"/>
      <c r="D24" s="4"/>
    </row>
    <row r="25" customFormat="false" ht="33.75" hidden="false" customHeight="true" outlineLevel="0" collapsed="false">
      <c r="B25" s="4" t="s">
        <v>97</v>
      </c>
      <c r="C25" s="4"/>
      <c r="D25" s="4"/>
    </row>
    <row r="26" customFormat="false" ht="18.75" hidden="false" customHeight="true" outlineLevel="0" collapsed="false">
      <c r="B26" s="4" t="s">
        <v>98</v>
      </c>
      <c r="C26" s="4"/>
      <c r="D26" s="4"/>
    </row>
    <row r="28" customFormat="false" ht="19.5" hidden="false" customHeight="true" outlineLevel="0" collapsed="false">
      <c r="B28" s="3" t="s">
        <v>47</v>
      </c>
    </row>
    <row r="29" customFormat="false" ht="18.75" hidden="false" customHeight="true" outlineLevel="0" collapsed="false">
      <c r="B29" s="12" t="s">
        <v>99</v>
      </c>
      <c r="C29" s="12"/>
      <c r="D29" s="12"/>
    </row>
    <row r="31" customFormat="false" ht="15" hidden="false" customHeight="false" outlineLevel="0" collapsed="false">
      <c r="B31" s="10" t="s">
        <v>69</v>
      </c>
      <c r="C31" s="18" t="s">
        <v>70</v>
      </c>
    </row>
    <row r="32" customFormat="false" ht="15" hidden="false" customHeight="false" outlineLevel="0" collapsed="false">
      <c r="B32" s="14" t="s">
        <v>100</v>
      </c>
      <c r="C32" s="19" t="str">
        <f aca="false">IF(C31="Yes",Answers!C5,"")</f>
        <v/>
      </c>
    </row>
    <row r="36" customFormat="false" ht="19.5" hidden="false" customHeight="true" outlineLevel="0" collapsed="false">
      <c r="B36" s="3" t="s">
        <v>72</v>
      </c>
    </row>
    <row r="37" customFormat="false" ht="18.75" hidden="false" customHeight="true" outlineLevel="0" collapsed="false">
      <c r="B37" s="4" t="s">
        <v>101</v>
      </c>
      <c r="C37" s="4"/>
      <c r="D37" s="4"/>
    </row>
  </sheetData>
  <mergeCells count="9">
    <mergeCell ref="B2:N2"/>
    <mergeCell ref="B5:D5"/>
    <mergeCell ref="B6:D6"/>
    <mergeCell ref="B7:D7"/>
    <mergeCell ref="B24:D24"/>
    <mergeCell ref="B25:D25"/>
    <mergeCell ref="B26:D26"/>
    <mergeCell ref="B29:D29"/>
    <mergeCell ref="B37:D37"/>
  </mergeCells>
  <conditionalFormatting sqref="C16:C20">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CEE"/>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102</v>
      </c>
    </row>
    <row r="2" customFormat="false" ht="18" hidden="false" customHeight="true" outlineLevel="0" collapsed="false">
      <c r="B2" s="2" t="s">
        <v>103</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104</v>
      </c>
      <c r="C5" s="4"/>
      <c r="D5" s="4"/>
    </row>
    <row r="6" customFormat="false" ht="33.75" hidden="false" customHeight="true" outlineLevel="0" collapsed="false">
      <c r="B6" s="4" t="s">
        <v>105</v>
      </c>
      <c r="C6" s="4"/>
      <c r="D6" s="4"/>
    </row>
    <row r="7" customFormat="false" ht="33.75" hidden="false" customHeight="true" outlineLevel="0" collapsed="false">
      <c r="B7" s="4" t="s">
        <v>106</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107</v>
      </c>
      <c r="C11" s="15"/>
      <c r="D11" s="16" t="s">
        <v>108</v>
      </c>
    </row>
    <row r="12" customFormat="false" ht="33.75" hidden="false" customHeight="true" outlineLevel="0" collapsed="false">
      <c r="B12" s="14" t="s">
        <v>109</v>
      </c>
      <c r="C12" s="21"/>
      <c r="D12" s="16" t="s">
        <v>110</v>
      </c>
    </row>
    <row r="13" customFormat="false" ht="33.75" hidden="false" customHeight="true" outlineLevel="0" collapsed="false">
      <c r="B13" s="14" t="s">
        <v>111</v>
      </c>
      <c r="C13" s="22" t="str">
        <f aca="false">IF(C11="","",C11*90/1000)</f>
        <v/>
      </c>
      <c r="D13" s="16" t="s">
        <v>112</v>
      </c>
    </row>
    <row r="15" customFormat="false" ht="19.5" hidden="false" customHeight="true" outlineLevel="0" collapsed="false">
      <c r="B15" s="3" t="s">
        <v>61</v>
      </c>
    </row>
    <row r="16" customFormat="false" ht="21.75" hidden="false" customHeight="true" outlineLevel="0" collapsed="false">
      <c r="B16" s="14" t="s">
        <v>113</v>
      </c>
      <c r="C16" s="17" t="str">
        <f aca="false">IF('Level 4'!$C$11="","Type a number",IF('Level 4'!$C$11&lt;Answers!$C$6*(1-Answers!$C$11),"Too low",IF('Level 4'!$C$11&gt;Answers!$C$6*(1+Answers!$C$11),"Too high","About right")))</f>
        <v>Type a number</v>
      </c>
    </row>
    <row r="17" customFormat="false" ht="21.75" hidden="false" customHeight="true" outlineLevel="0" collapsed="false">
      <c r="B17" s="14" t="s">
        <v>114</v>
      </c>
      <c r="C17" s="17" t="str">
        <f aca="false">IF('Level 4'!$C$12="","Pick a memory",IF('Level 4'!$C$12&lt;Answers!$C$7-Answers!$C$12,"Too short: the effect fades too fast",IF('Level 4'!$C$12&gt;Answers!$C$7+Answers!$C$12,"Too long: the effect lingers too much","About right")))</f>
        <v>Pick a memory</v>
      </c>
    </row>
    <row r="18" customFormat="false" ht="21.75" hidden="false" customHeight="true" outlineLevel="0" collapsed="false">
      <c r="B18" s="14" t="s">
        <v>94</v>
      </c>
      <c r="C18" s="20" t="n">
        <f aca="false">MAX(0,1-SUMXMY2('Under the bonnet'!$D$6:$D$153,'Under the bonnet'!$AM$6:$AM$153)/DEVSQ('Under the bonnet'!$D$6:$D$153))</f>
        <v>0</v>
      </c>
    </row>
    <row r="19" customFormat="false" ht="21.75" hidden="false" customHeight="true" outlineLevel="0" collapsed="false">
      <c r="B19" s="14" t="s">
        <v>95</v>
      </c>
      <c r="C19" s="20" t="n">
        <f aca="false">Answers!C28</f>
        <v>0.81</v>
      </c>
    </row>
    <row r="20" customFormat="false" ht="21.75" hidden="false" customHeight="true" outlineLevel="0" collapsed="false">
      <c r="B20" s="14" t="s">
        <v>63</v>
      </c>
      <c r="C20" s="17" t="str">
        <f aca="false">IF(AND(C16="About right",C17="About right"),"Level done. Move on.","Keep going")</f>
        <v>Keep going</v>
      </c>
    </row>
    <row r="23" customFormat="false" ht="19.5" hidden="false" customHeight="true" outlineLevel="0" collapsed="false">
      <c r="B23" s="3" t="s">
        <v>64</v>
      </c>
    </row>
    <row r="24" customFormat="false" ht="33.75" hidden="false" customHeight="true" outlineLevel="0" collapsed="false">
      <c r="B24" s="4" t="s">
        <v>115</v>
      </c>
      <c r="C24" s="4"/>
      <c r="D24" s="4"/>
    </row>
    <row r="25" customFormat="false" ht="33.75" hidden="false" customHeight="true" outlineLevel="0" collapsed="false">
      <c r="B25" s="4" t="s">
        <v>116</v>
      </c>
      <c r="C25" s="4"/>
      <c r="D25" s="4"/>
    </row>
    <row r="26" customFormat="false" ht="33.75" hidden="false" customHeight="true" outlineLevel="0" collapsed="false">
      <c r="B26" s="4" t="s">
        <v>117</v>
      </c>
      <c r="C26" s="4"/>
      <c r="D26" s="4"/>
    </row>
    <row r="28" customFormat="false" ht="19.5" hidden="false" customHeight="true" outlineLevel="0" collapsed="false">
      <c r="B28" s="3" t="s">
        <v>47</v>
      </c>
    </row>
    <row r="29" customFormat="false" ht="33.75" hidden="false" customHeight="true" outlineLevel="0" collapsed="false">
      <c r="B29" s="12" t="s">
        <v>118</v>
      </c>
      <c r="C29" s="12"/>
      <c r="D29" s="12"/>
    </row>
    <row r="31" customFormat="false" ht="15" hidden="false" customHeight="false" outlineLevel="0" collapsed="false">
      <c r="B31" s="10" t="s">
        <v>69</v>
      </c>
      <c r="C31" s="18" t="s">
        <v>70</v>
      </c>
    </row>
    <row r="32" customFormat="false" ht="15" hidden="false" customHeight="false" outlineLevel="0" collapsed="false">
      <c r="B32" s="14" t="s">
        <v>119</v>
      </c>
      <c r="C32" s="23" t="str">
        <f aca="false">IF(C31="Yes",Answers!C6,"")</f>
        <v/>
      </c>
    </row>
    <row r="33" customFormat="false" ht="15" hidden="false" customHeight="false" outlineLevel="0" collapsed="false">
      <c r="B33" s="14" t="s">
        <v>120</v>
      </c>
      <c r="C33" s="24" t="str">
        <f aca="false">IF(C31="Yes",Answers!C7,"")</f>
        <v/>
      </c>
    </row>
    <row r="36" customFormat="false" ht="19.5" hidden="false" customHeight="true" outlineLevel="0" collapsed="false">
      <c r="B36" s="3" t="s">
        <v>72</v>
      </c>
    </row>
    <row r="37" customFormat="false" ht="18.75" hidden="false" customHeight="true" outlineLevel="0" collapsed="false">
      <c r="B37" s="4" t="s">
        <v>121</v>
      </c>
      <c r="C37" s="4"/>
      <c r="D37" s="4"/>
    </row>
  </sheetData>
  <mergeCells count="9">
    <mergeCell ref="B2:N2"/>
    <mergeCell ref="B5:D5"/>
    <mergeCell ref="B6:D6"/>
    <mergeCell ref="B7:D7"/>
    <mergeCell ref="B24:D24"/>
    <mergeCell ref="B25:D25"/>
    <mergeCell ref="B26:D26"/>
    <mergeCell ref="B29:D29"/>
    <mergeCell ref="B37:D37"/>
  </mergeCells>
  <conditionalFormatting sqref="C16:C21">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2">
    <dataValidation allowBlank="true" errorStyle="stop" operator="between" showDropDown="false" showErrorMessage="false" showInputMessage="false" sqref="C12" type="list">
      <formula1>"0,10,20,30,40,50,60,70,80,90"</formula1>
      <formula2>0</formula2>
    </dataValidation>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CEE"/>
    <pageSetUpPr fitToPage="true"/>
  </sheetPr>
  <dimension ref="B1:N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122</v>
      </c>
    </row>
    <row r="2" customFormat="false" ht="18" hidden="false" customHeight="true" outlineLevel="0" collapsed="false">
      <c r="B2" s="2" t="s">
        <v>123</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124</v>
      </c>
      <c r="C5" s="4"/>
      <c r="D5" s="4"/>
    </row>
    <row r="6" customFormat="false" ht="18.75" hidden="false" customHeight="true" outlineLevel="0" collapsed="false">
      <c r="B6" s="4" t="s">
        <v>125</v>
      </c>
      <c r="C6" s="4"/>
      <c r="D6" s="4"/>
    </row>
    <row r="7" customFormat="false" ht="33.75" hidden="false" customHeight="true" outlineLevel="0" collapsed="false">
      <c r="B7" s="4" t="s">
        <v>126</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127</v>
      </c>
      <c r="C11" s="25"/>
      <c r="D11" s="16" t="s">
        <v>128</v>
      </c>
    </row>
    <row r="12" customFormat="false" ht="33.75" hidden="false" customHeight="true" outlineLevel="0" collapsed="false">
      <c r="B12" s="14" t="s">
        <v>129</v>
      </c>
      <c r="C12" s="25"/>
      <c r="D12" s="16" t="s">
        <v>128</v>
      </c>
    </row>
    <row r="13" customFormat="false" ht="33.75" hidden="false" customHeight="true" outlineLevel="0" collapsed="false">
      <c r="B13" s="14" t="s">
        <v>130</v>
      </c>
      <c r="C13" s="25"/>
      <c r="D13" s="16" t="s">
        <v>131</v>
      </c>
    </row>
    <row r="15" customFormat="false" ht="19.5" hidden="false" customHeight="true" outlineLevel="0" collapsed="false">
      <c r="B15" s="3" t="s">
        <v>61</v>
      </c>
    </row>
    <row r="16" customFormat="false" ht="21.75" hidden="false" customHeight="true" outlineLevel="0" collapsed="false">
      <c r="B16" s="14" t="s">
        <v>132</v>
      </c>
      <c r="C16" s="17" t="str">
        <f aca="false">IF('Level 5'!$C$11="","Type a number",IF('Level 5'!$C$11&lt;Answers!$C$8*(1-Answers!$C$11),"Too low",IF('Level 5'!$C$11&gt;Answers!$C$8*(1+Answers!$C$11),"Too high","About right")))</f>
        <v>Type a number</v>
      </c>
    </row>
    <row r="17" customFormat="false" ht="21.75" hidden="false" customHeight="true" outlineLevel="0" collapsed="false">
      <c r="B17" s="14" t="s">
        <v>133</v>
      </c>
      <c r="C17" s="17" t="str">
        <f aca="false">IF('Level 5'!$C$12="","Type a number",IF('Level 5'!$C$12&lt;Answers!$C$9*(1-Answers!$C$11),"Too low",IF('Level 5'!$C$12&gt;Answers!$C$9*(1+Answers!$C$11),"Too high","About right")))</f>
        <v>Type a number</v>
      </c>
    </row>
    <row r="18" customFormat="false" ht="21.75" hidden="false" customHeight="true" outlineLevel="0" collapsed="false">
      <c r="B18" s="14" t="s">
        <v>134</v>
      </c>
      <c r="C18" s="17" t="str">
        <f aca="false">IF('Level 5'!$C$13="","Type a number",IF('Level 5'!$C$13&lt;Answers!$C$10*(1-Answers!$C$11),"Too low",IF('Level 5'!$C$13&gt;Answers!$C$10*(1+Answers!$C$11),"Too high","About right")))</f>
        <v>Type a number</v>
      </c>
    </row>
    <row r="19" customFormat="false" ht="21.75" hidden="false" customHeight="true" outlineLevel="0" collapsed="false">
      <c r="B19" s="14" t="s">
        <v>94</v>
      </c>
      <c r="C19" s="20" t="n">
        <f aca="false">MAX(0,1-SUMXMY2('Under the bonnet'!$D$6:$D$153,'Under the bonnet'!$AN$6:$AN$153)/DEVSQ('Under the bonnet'!$D$6:$D$153))</f>
        <v>0</v>
      </c>
    </row>
    <row r="20" customFormat="false" ht="21.75" hidden="false" customHeight="true" outlineLevel="0" collapsed="false">
      <c r="B20" s="14" t="s">
        <v>95</v>
      </c>
      <c r="C20" s="20" t="n">
        <f aca="false">Answers!C29</f>
        <v>0.84</v>
      </c>
    </row>
    <row r="21" customFormat="false" ht="21.75" hidden="false" customHeight="true" outlineLevel="0" collapsed="false">
      <c r="B21" s="14" t="s">
        <v>63</v>
      </c>
      <c r="C21" s="17" t="str">
        <f aca="false">IF(AND(C16="About right",C17="About right",C18="About right"),"Level done. Move on.","Keep going")</f>
        <v>Keep going</v>
      </c>
    </row>
    <row r="23" customFormat="false" ht="19.5" hidden="false" customHeight="true" outlineLevel="0" collapsed="false">
      <c r="B23" s="3" t="s">
        <v>64</v>
      </c>
    </row>
    <row r="24" customFormat="false" ht="33.75" hidden="false" customHeight="true" outlineLevel="0" collapsed="false">
      <c r="B24" s="4" t="s">
        <v>135</v>
      </c>
      <c r="C24" s="4"/>
      <c r="D24" s="4"/>
    </row>
    <row r="25" customFormat="false" ht="33.75" hidden="false" customHeight="true" outlineLevel="0" collapsed="false">
      <c r="B25" s="4" t="s">
        <v>136</v>
      </c>
      <c r="C25" s="4"/>
      <c r="D25" s="4"/>
    </row>
    <row r="26" customFormat="false" ht="33.75" hidden="false" customHeight="true" outlineLevel="0" collapsed="false">
      <c r="B26" s="4" t="s">
        <v>137</v>
      </c>
      <c r="C26" s="4"/>
      <c r="D26" s="4"/>
    </row>
    <row r="28" customFormat="false" ht="19.5" hidden="false" customHeight="true" outlineLevel="0" collapsed="false">
      <c r="B28" s="3" t="s">
        <v>47</v>
      </c>
    </row>
    <row r="29" customFormat="false" ht="33.75" hidden="false" customHeight="true" outlineLevel="0" collapsed="false">
      <c r="B29" s="12" t="s">
        <v>138</v>
      </c>
      <c r="C29" s="12"/>
      <c r="D29" s="12"/>
    </row>
    <row r="31" customFormat="false" ht="15" hidden="false" customHeight="false" outlineLevel="0" collapsed="false">
      <c r="B31" s="10" t="s">
        <v>69</v>
      </c>
      <c r="C31" s="18" t="s">
        <v>70</v>
      </c>
    </row>
    <row r="32" customFormat="false" ht="15" hidden="false" customHeight="false" outlineLevel="0" collapsed="false">
      <c r="B32" s="14" t="s">
        <v>139</v>
      </c>
      <c r="C32" s="23" t="str">
        <f aca="false">IF(C31="Yes",Answers!C8,"")</f>
        <v/>
      </c>
    </row>
    <row r="33" customFormat="false" ht="15" hidden="false" customHeight="false" outlineLevel="0" collapsed="false">
      <c r="B33" s="14" t="s">
        <v>140</v>
      </c>
      <c r="C33" s="23" t="str">
        <f aca="false">IF(C31="Yes",Answers!C9,"")</f>
        <v/>
      </c>
    </row>
    <row r="34" customFormat="false" ht="15" hidden="false" customHeight="false" outlineLevel="0" collapsed="false">
      <c r="B34" s="14" t="s">
        <v>141</v>
      </c>
      <c r="C34" s="23" t="str">
        <f aca="false">IF(C31="Yes",Answers!C10,"")</f>
        <v/>
      </c>
    </row>
    <row r="39" customFormat="false" ht="19.5" hidden="false" customHeight="true" outlineLevel="0" collapsed="false">
      <c r="B39" s="3" t="s">
        <v>142</v>
      </c>
    </row>
    <row r="40" customFormat="false" ht="33.75" hidden="false" customHeight="true" outlineLevel="0" collapsed="false">
      <c r="B40" s="4" t="s">
        <v>143</v>
      </c>
      <c r="C40" s="4"/>
      <c r="D40" s="4"/>
    </row>
    <row r="41" customFormat="false" ht="30" hidden="false" customHeight="true" outlineLevel="0" collapsed="false">
      <c r="B41" s="14" t="s">
        <v>144</v>
      </c>
      <c r="C41" s="19" t="str">
        <f aca="false">IF(C11="","",SUMIFS('Under the bonnet'!$AB$6:$AB$153,'Under the bonnet'!$B$6:$B$153,2024,'Under the bonnet'!$C$6:$C$153,"&lt;=10")-SUMIFS('Under the bonnet'!$AB$6:$AB$153,'Under the bonnet'!$B$6:$B$153,2025,'Under the bonnet'!$C$6:$C$153,"&lt;=10"))</f>
        <v/>
      </c>
    </row>
    <row r="42" customFormat="false" ht="30" hidden="false" customHeight="true" outlineLevel="0" collapsed="false">
      <c r="B42" s="14" t="s">
        <v>145</v>
      </c>
      <c r="C42" s="19" t="n">
        <v>9139</v>
      </c>
      <c r="D42" s="16" t="s">
        <v>146</v>
      </c>
    </row>
    <row r="43" customFormat="false" ht="30" hidden="false" customHeight="true" outlineLevel="0" collapsed="false">
      <c r="B43" s="14" t="s">
        <v>147</v>
      </c>
      <c r="C43" s="21" t="n">
        <v>20</v>
      </c>
      <c r="D43" s="16" t="s">
        <v>148</v>
      </c>
    </row>
    <row r="44" customFormat="false" ht="30" hidden="false" customHeight="true" outlineLevel="0" collapsed="false">
      <c r="B44" s="14" t="s">
        <v>149</v>
      </c>
      <c r="C44" s="19" t="str">
        <f aca="false">IF(C11="","",C11*C43/100*SUMIFS('Under the bonnet'!$J$6:$J$153,'Under the bonnet'!$B$6:$B$153,2025))</f>
        <v/>
      </c>
      <c r="D44" s="16" t="s">
        <v>150</v>
      </c>
    </row>
    <row r="46" customFormat="false" ht="19.5" hidden="false" customHeight="true" outlineLevel="0" collapsed="false">
      <c r="B46" s="3" t="s">
        <v>72</v>
      </c>
    </row>
    <row r="47" customFormat="false" ht="18.75" hidden="false" customHeight="true" outlineLevel="0" collapsed="false">
      <c r="B47" s="4" t="s">
        <v>151</v>
      </c>
      <c r="C47" s="4"/>
      <c r="D47" s="4"/>
    </row>
  </sheetData>
  <mergeCells count="10">
    <mergeCell ref="B2:N2"/>
    <mergeCell ref="B5:D5"/>
    <mergeCell ref="B6:D6"/>
    <mergeCell ref="B7:D7"/>
    <mergeCell ref="B24:D24"/>
    <mergeCell ref="B25:D25"/>
    <mergeCell ref="B26:D26"/>
    <mergeCell ref="B29:D29"/>
    <mergeCell ref="B40:D40"/>
    <mergeCell ref="B47:D47"/>
  </mergeCells>
  <conditionalFormatting sqref="C16:C22">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CEE"/>
    <pageSetUpPr fitToPage="true"/>
  </sheetPr>
  <dimension ref="B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2"/>
  </cols>
  <sheetData>
    <row r="1" customFormat="false" ht="30" hidden="false" customHeight="true" outlineLevel="0" collapsed="false">
      <c r="B1" s="1" t="s">
        <v>152</v>
      </c>
    </row>
    <row r="2" customFormat="false" ht="18" hidden="false" customHeight="true" outlineLevel="0" collapsed="false">
      <c r="B2" s="2" t="s">
        <v>153</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154</v>
      </c>
      <c r="C5" s="4"/>
      <c r="D5" s="4"/>
    </row>
    <row r="6" customFormat="false" ht="33.75" hidden="false" customHeight="true" outlineLevel="0" collapsed="false">
      <c r="B6" s="4" t="s">
        <v>155</v>
      </c>
      <c r="C6" s="4"/>
      <c r="D6" s="4"/>
    </row>
    <row r="7" customFormat="false" ht="33.75" hidden="false" customHeight="true" outlineLevel="0" collapsed="false">
      <c r="B7" s="4" t="s">
        <v>156</v>
      </c>
      <c r="C7" s="4"/>
      <c r="D7" s="4"/>
    </row>
    <row r="9" customFormat="false" ht="19.5" hidden="false" customHeight="true" outlineLevel="0" collapsed="false">
      <c r="B9" s="3" t="s">
        <v>58</v>
      </c>
    </row>
    <row r="10" customFormat="false" ht="6" hidden="false" customHeight="true" outlineLevel="0" collapsed="false"/>
    <row r="11" customFormat="false" ht="33.75" hidden="false" customHeight="true" outlineLevel="0" collapsed="false">
      <c r="B11" s="14" t="s">
        <v>157</v>
      </c>
      <c r="C11" s="25"/>
      <c r="D11" s="16" t="str">
        <f aca="false">"Memory fixed at "&amp;Answers!C16&amp;"%. Sign-ups per £1,000, counting every week."</f>
        <v>Memory fixed at 80%. Sign-ups per £1,000, counting every week.</v>
      </c>
    </row>
    <row r="12" customFormat="false" ht="33.75" hidden="false" customHeight="true" outlineLevel="0" collapsed="false">
      <c r="B12" s="14" t="s">
        <v>158</v>
      </c>
      <c r="C12" s="25"/>
      <c r="D12" s="16" t="str">
        <f aca="false">"Memory fixed at "&amp;Answers!C17&amp;"%. Sign-ups per £1,000, counting every week."</f>
        <v>Memory fixed at 80%. Sign-ups per £1,000, counting every week.</v>
      </c>
    </row>
    <row r="13" customFormat="false" ht="33.75" hidden="false" customHeight="true" outlineLevel="0" collapsed="false">
      <c r="B13" s="14" t="s">
        <v>159</v>
      </c>
      <c r="C13" s="25"/>
      <c r="D13" s="16" t="str">
        <f aca="false">"Memory fixed at "&amp;Answers!C18&amp;"%. Sign-ups per £1,000, counting every week."</f>
        <v>Memory fixed at 80%. Sign-ups per £1,000, counting every week.</v>
      </c>
    </row>
    <row r="14" customFormat="false" ht="33.75" hidden="false" customHeight="true" outlineLevel="0" collapsed="false">
      <c r="B14" s="14" t="s">
        <v>160</v>
      </c>
      <c r="C14" s="25"/>
      <c r="D14" s="16" t="str">
        <f aca="false">"Memory fixed at "&amp;Answers!C19&amp;"%. Sign-ups per £1,000, counting every week."</f>
        <v>Memory fixed at 80%. Sign-ups per £1,000, counting every week.</v>
      </c>
    </row>
    <row r="15" customFormat="false" ht="19.5" hidden="false" customHeight="true" outlineLevel="0" collapsed="false">
      <c r="B15" s="26" t="s">
        <v>61</v>
      </c>
      <c r="C15" s="25"/>
      <c r="D15" s="16" t="str">
        <f aca="false">"Memory fixed at "&amp;Answers!C20&amp;"%. Sign-ups per £1,000, counting every week."</f>
        <v>Memory fixed at 80%. Sign-ups per £1,000, counting every week.</v>
      </c>
    </row>
    <row r="16" customFormat="false" ht="21.75" hidden="false" customHeight="true" outlineLevel="0" collapsed="false">
      <c r="B16" s="14" t="s">
        <v>161</v>
      </c>
      <c r="C16" s="17" t="str">
        <f aca="false">IF('Level 6'!$C$11="","Type a number",IF('Level 6'!$C$11&lt;Answers!$E$16*(1-Answers!$C$13),"Too low",IF('Level 6'!$C$11&gt;Answers!$E$16*(1+Answers!$C$13),"Too high","About right")))</f>
        <v>Type a number</v>
      </c>
    </row>
    <row r="17" customFormat="false" ht="21.75" hidden="false" customHeight="true" outlineLevel="0" collapsed="false">
      <c r="B17" s="14" t="s">
        <v>162</v>
      </c>
      <c r="C17" s="17" t="str">
        <f aca="false">IF('Level 6'!$C$12="","Type a number",IF('Level 6'!$C$12&lt;Answers!$E$17*(1-Answers!$C$13),"Too low",IF('Level 6'!$C$12&gt;Answers!$E$17*(1+Answers!$C$13),"Too high","About right")))</f>
        <v>Type a number</v>
      </c>
    </row>
    <row r="18" customFormat="false" ht="21.75" hidden="false" customHeight="true" outlineLevel="0" collapsed="false">
      <c r="B18" s="14" t="s">
        <v>163</v>
      </c>
      <c r="C18" s="17" t="str">
        <f aca="false">IF('Level 6'!$C$13="","Type a number",IF('Level 6'!$C$13&lt;Answers!$E$18*(1-Answers!$C$13),"Too low",IF('Level 6'!$C$13&gt;Answers!$E$18*(1+Answers!$C$13),"Too high","About right")))</f>
        <v>Type a number</v>
      </c>
    </row>
    <row r="19" customFormat="false" ht="21.75" hidden="false" customHeight="true" outlineLevel="0" collapsed="false">
      <c r="B19" s="14" t="s">
        <v>164</v>
      </c>
      <c r="C19" s="17" t="str">
        <f aca="false">IF('Level 6'!$C$14="","Type a number",IF('Level 6'!$C$14&lt;Answers!$E$19*(1-Answers!$C$13),"Too low",IF('Level 6'!$C$14&gt;Answers!$E$19*(1+Answers!$C$13),"Too high","About right")))</f>
        <v>Type a number</v>
      </c>
    </row>
    <row r="20" customFormat="false" ht="21.75" hidden="false" customHeight="true" outlineLevel="0" collapsed="false">
      <c r="B20" s="14" t="s">
        <v>165</v>
      </c>
      <c r="C20" s="17" t="str">
        <f aca="false">IF('Level 6'!$C$15="","Type a number",IF('Level 6'!$C$15&lt;Answers!$E$20*(1-Answers!$C$13),"Too low",IF('Level 6'!$C$15&gt;Answers!$E$20*(1+Answers!$C$13),"Too high","About right")))</f>
        <v>Type a number</v>
      </c>
    </row>
    <row r="21" customFormat="false" ht="21.75" hidden="false" customHeight="true" outlineLevel="0" collapsed="false">
      <c r="B21" s="14" t="s">
        <v>166</v>
      </c>
      <c r="C21" s="20" t="n">
        <f aca="false">MAX(0,1-SUMXMY2('Under the bonnet'!$D$6:$D$153,'Under the bonnet'!$AO$6:$AO$153)/DEVSQ('Under the bonnet'!$D$6:$D$153))</f>
        <v>0</v>
      </c>
    </row>
    <row r="22" customFormat="false" ht="21.75" hidden="false" customHeight="true" outlineLevel="0" collapsed="false">
      <c r="B22" s="14" t="s">
        <v>63</v>
      </c>
      <c r="C22" s="17" t="str">
        <f aca="false">IF(AND(C16="About right",C17="About right",C18="About right",C19="About right",C20="About right"),"Level done. Move on.","Keep going")</f>
        <v>Keep going</v>
      </c>
    </row>
    <row r="23" customFormat="false" ht="19.5" hidden="false" customHeight="true" outlineLevel="0" collapsed="false">
      <c r="B23" s="3" t="s">
        <v>64</v>
      </c>
    </row>
    <row r="24" customFormat="false" ht="33.75" hidden="false" customHeight="true" outlineLevel="0" collapsed="false">
      <c r="B24" s="4" t="s">
        <v>167</v>
      </c>
      <c r="C24" s="4"/>
      <c r="D24" s="4"/>
    </row>
    <row r="25" customFormat="false" ht="33.75" hidden="false" customHeight="true" outlineLevel="0" collapsed="false">
      <c r="B25" s="4" t="s">
        <v>168</v>
      </c>
      <c r="C25" s="4"/>
      <c r="D25" s="4"/>
    </row>
    <row r="26" customFormat="false" ht="33.75" hidden="false" customHeight="true" outlineLevel="0" collapsed="false">
      <c r="B26" s="4" t="s">
        <v>169</v>
      </c>
      <c r="C26" s="4"/>
      <c r="D26" s="4"/>
    </row>
    <row r="28" customFormat="false" ht="19.5" hidden="false" customHeight="true" outlineLevel="0" collapsed="false">
      <c r="B28" s="3" t="s">
        <v>47</v>
      </c>
    </row>
    <row r="29" customFormat="false" ht="18.75" hidden="false" customHeight="true" outlineLevel="0" collapsed="false">
      <c r="B29" s="12" t="s">
        <v>170</v>
      </c>
      <c r="C29" s="12"/>
      <c r="D29" s="12"/>
    </row>
    <row r="31" customFormat="false" ht="15" hidden="false" customHeight="false" outlineLevel="0" collapsed="false">
      <c r="B31" s="10" t="s">
        <v>69</v>
      </c>
      <c r="C31" s="18" t="s">
        <v>70</v>
      </c>
    </row>
    <row r="32" customFormat="false" ht="15" hidden="false" customHeight="false" outlineLevel="0" collapsed="false">
      <c r="B32" s="14" t="s">
        <v>171</v>
      </c>
      <c r="C32" s="27" t="str">
        <f aca="false">IF(C31="Yes",TEXT(Answers!E16,"0.0")&amp;", "&amp;TEXT(Answers!E17,"0.0")&amp;", "&amp;TEXT(Answers!E18,"0.0")&amp;", "&amp;TEXT(Answers!E19,"0.0")&amp;", "&amp;TEXT(Answers!E20,"0.0"),"")</f>
        <v/>
      </c>
    </row>
    <row r="39" customFormat="false" ht="19.5" hidden="false" customHeight="true" outlineLevel="0" collapsed="false">
      <c r="B39" s="3" t="s">
        <v>172</v>
      </c>
    </row>
    <row r="40" customFormat="false" ht="48.75" hidden="false" customHeight="true" outlineLevel="0" collapsed="false">
      <c r="B40" s="4" t="s">
        <v>173</v>
      </c>
      <c r="C40" s="4"/>
      <c r="D40" s="4"/>
    </row>
    <row r="41" customFormat="false" ht="19.5" hidden="false" customHeight="true" outlineLevel="0" collapsed="false">
      <c r="B41" s="14" t="s">
        <v>174</v>
      </c>
      <c r="C41" s="28" t="n">
        <f aca="false">CORREL('Under the bonnet'!$N$6:$N$153,'Under the bonnet'!$O$6:$O$153)</f>
        <v>0.453326380363413</v>
      </c>
    </row>
    <row r="42" customFormat="false" ht="19.5" hidden="false" customHeight="true" outlineLevel="0" collapsed="false">
      <c r="B42" s="14" t="s">
        <v>175</v>
      </c>
      <c r="C42" s="28" t="n">
        <f aca="false">CORREL('Under the bonnet'!$N$6:$N$153,'Under the bonnet'!$P$6:$P$153)</f>
        <v>0.260108850123891</v>
      </c>
    </row>
    <row r="43" customFormat="false" ht="19.5" hidden="false" customHeight="true" outlineLevel="0" collapsed="false">
      <c r="B43" s="14" t="s">
        <v>176</v>
      </c>
      <c r="C43" s="28" t="n">
        <f aca="false">CORREL('Under the bonnet'!$P$6:$P$153,'Under the bonnet'!$Q$6:$Q$153)</f>
        <v>0.291513161302664</v>
      </c>
    </row>
    <row r="44" customFormat="false" ht="19.5" hidden="false" customHeight="true" outlineLevel="0" collapsed="false">
      <c r="B44" s="14" t="s">
        <v>177</v>
      </c>
      <c r="C44" s="28" t="n">
        <f aca="false">CORREL('Under the bonnet'!$O$6:$O$153,'Under the bonnet'!$R$6:$R$153)</f>
        <v>0.505254488518266</v>
      </c>
    </row>
    <row r="46" customFormat="false" ht="48.75" hidden="false" customHeight="true" outlineLevel="0" collapsed="false">
      <c r="B46" s="4" t="s">
        <v>178</v>
      </c>
      <c r="C46" s="4"/>
      <c r="D46" s="4"/>
    </row>
    <row r="47" customFormat="false" ht="63.75" hidden="false" customHeight="true" outlineLevel="0" collapsed="false">
      <c r="B47" s="4" t="s">
        <v>179</v>
      </c>
      <c r="C47" s="4"/>
      <c r="D47" s="4"/>
    </row>
    <row r="49" customFormat="false" ht="19.5" hidden="false" customHeight="true" outlineLevel="0" collapsed="false">
      <c r="B49" s="3" t="s">
        <v>72</v>
      </c>
    </row>
    <row r="50" customFormat="false" ht="18.75" hidden="false" customHeight="true" outlineLevel="0" collapsed="false">
      <c r="B50" s="4" t="s">
        <v>180</v>
      </c>
      <c r="C50" s="4"/>
      <c r="D50" s="4"/>
    </row>
  </sheetData>
  <mergeCells count="12">
    <mergeCell ref="B2:N2"/>
    <mergeCell ref="B5:D5"/>
    <mergeCell ref="B6:D6"/>
    <mergeCell ref="B7:D7"/>
    <mergeCell ref="B24:D24"/>
    <mergeCell ref="B25:D25"/>
    <mergeCell ref="B26:D26"/>
    <mergeCell ref="B29:D29"/>
    <mergeCell ref="B40:D40"/>
    <mergeCell ref="B46:D46"/>
    <mergeCell ref="B47:D47"/>
    <mergeCell ref="B50:D50"/>
  </mergeCells>
  <conditionalFormatting sqref="C16:C23">
    <cfRule type="expression" priority="2" aboveAverage="0" equalAverage="0" bottom="0" percent="0" rank="0" text="" dxfId="0">
      <formula>ISNUMBER(SEARCH("About right",C16))</formula>
    </cfRule>
    <cfRule type="expression" priority="3" aboveAverage="0" equalAverage="0" bottom="0" percent="0" rank="0" text="" dxfId="1">
      <formula>ISNUMBER(SEARCH("Too",C16))</formula>
    </cfRule>
    <cfRule type="expression" priority="4" aboveAverage="0" equalAverage="0" bottom="0" percent="0" rank="0" text="" dxfId="0">
      <formula>ISNUMBER(SEARCH("done",C16))</formula>
    </cfRule>
    <cfRule type="expression" priority="5" aboveAverage="0" equalAverage="0" bottom="0" percent="0" rank="0" text="" dxfId="1">
      <formula>ISNUMBER(SEARCH("Keep going",C16))</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7E"/>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5" min="3" style="0" width="13"/>
    <col collapsed="false" customWidth="true" hidden="false" outlineLevel="0" max="6" min="6" style="0" width="60"/>
  </cols>
  <sheetData>
    <row r="1" customFormat="false" ht="30" hidden="false" customHeight="true" outlineLevel="0" collapsed="false">
      <c r="B1" s="1" t="s">
        <v>181</v>
      </c>
    </row>
    <row r="2" customFormat="false" ht="18" hidden="false" customHeight="true" outlineLevel="0" collapsed="false">
      <c r="B2" s="2" t="s">
        <v>182</v>
      </c>
      <c r="C2" s="2"/>
      <c r="D2" s="2"/>
      <c r="E2" s="2"/>
      <c r="F2" s="2"/>
      <c r="G2" s="2"/>
      <c r="H2" s="2"/>
      <c r="I2" s="2"/>
      <c r="J2" s="2"/>
      <c r="K2" s="2"/>
      <c r="L2" s="2"/>
      <c r="M2" s="2"/>
      <c r="N2" s="2"/>
    </row>
    <row r="4" customFormat="false" ht="19.5" hidden="false" customHeight="true" outlineLevel="0" collapsed="false">
      <c r="B4" s="3" t="s">
        <v>54</v>
      </c>
    </row>
    <row r="5" customFormat="false" ht="48.75" hidden="false" customHeight="true" outlineLevel="0" collapsed="false">
      <c r="B5" s="4" t="s">
        <v>183</v>
      </c>
      <c r="C5" s="4"/>
      <c r="D5" s="4"/>
    </row>
    <row r="6" customFormat="false" ht="48.75" hidden="false" customHeight="true" outlineLevel="0" collapsed="false">
      <c r="B6" s="4" t="s">
        <v>184</v>
      </c>
      <c r="C6" s="4"/>
      <c r="D6" s="4"/>
    </row>
    <row r="8" customFormat="false" ht="19.5" hidden="false" customHeight="true" outlineLevel="0" collapsed="false">
      <c r="B8" s="3" t="s">
        <v>185</v>
      </c>
    </row>
    <row r="9" customFormat="false" ht="21.75" hidden="false" customHeight="true" outlineLevel="0" collapsed="false">
      <c r="B9" s="6" t="s">
        <v>186</v>
      </c>
      <c r="C9" s="6" t="s">
        <v>187</v>
      </c>
      <c r="D9" s="6" t="s">
        <v>188</v>
      </c>
      <c r="E9" s="6" t="s">
        <v>189</v>
      </c>
      <c r="F9" s="6" t="s">
        <v>190</v>
      </c>
    </row>
    <row r="10" customFormat="false" ht="33.75" hidden="false" customHeight="true" outlineLevel="0" collapsed="false">
      <c r="B10" s="29" t="s">
        <v>191</v>
      </c>
      <c r="C10" s="30" t="n">
        <f aca="false">MAX(0,1-SUMXMY2('Under the bonnet'!$D$6:$D$153,'Under the bonnet'!$AP$6:$AP$153)/DEVSQ('Under the bonnet'!$D$6:$D$153))</f>
        <v>0</v>
      </c>
      <c r="D10" s="31" t="n">
        <v>0.94</v>
      </c>
      <c r="E10" s="17" t="str">
        <f aca="false">IF(C10&gt;=0.85,"Good","Keep building")</f>
        <v>Keep building</v>
      </c>
      <c r="F10" s="32" t="s">
        <v>192</v>
      </c>
    </row>
    <row r="11" customFormat="false" ht="78.75" hidden="false" customHeight="true" outlineLevel="0" collapsed="false">
      <c r="B11" s="29" t="s">
        <v>193</v>
      </c>
      <c r="C11" s="30" t="n">
        <f aca="false">IFERROR(AVERAGE('Under the bonnet'!$BT$6:$BT$153),"")</f>
        <v>1</v>
      </c>
      <c r="D11" s="31" t="n">
        <v>0.28</v>
      </c>
      <c r="E11" s="17" t="str">
        <f aca="false">IF(C11="","",IF(C11&lt;=0.35,"Good","Keep building"))</f>
        <v>Keep building</v>
      </c>
      <c r="F11" s="32" t="s">
        <v>194</v>
      </c>
    </row>
    <row r="12" customFormat="false" ht="78.75" hidden="false" customHeight="true" outlineLevel="0" collapsed="false">
      <c r="B12" s="29" t="s">
        <v>195</v>
      </c>
      <c r="C12" s="33" t="n">
        <f aca="false">IFERROR(SUM('Under the bonnet'!$BS$6:$BS$153)/SUM('Under the bonnet'!$BR$6:$BR$153),"")</f>
        <v>0.419454966160777</v>
      </c>
      <c r="D12" s="34" t="n">
        <v>1.51</v>
      </c>
      <c r="E12" s="17" t="str">
        <f aca="false">IF(C12="","",IF(AND(C12&gt;=1,C12&lt;=3),"Good","Runs of misses"))</f>
        <v>Runs of misses</v>
      </c>
      <c r="F12" s="32" t="s">
        <v>196</v>
      </c>
    </row>
    <row r="13" customFormat="false" ht="33.75" hidden="false" customHeight="true" outlineLevel="0" collapsed="false">
      <c r="B13" s="29" t="s">
        <v>197</v>
      </c>
      <c r="C13" s="30" t="n">
        <f aca="false">MAX(0,1-SUMPRODUCT(('Under the bonnet'!$B$6:$B$153&lt;2025)*('Under the bonnet'!$D$6:$D$153-'Under the bonnet'!$AP$6:$AP$153)^2)/SUMPRODUCT(('Under the bonnet'!$B$6:$B$153&lt;2025)*('Under the bonnet'!$D$6:$D$153-SUMPRODUCT(('Under the bonnet'!$B$6:$B$153&lt;2025)*'Under the bonnet'!$D$6:$D$153)/COUNTIF('Under the bonnet'!$B$6:$B$153,"&lt;2025"))^2))</f>
        <v>0</v>
      </c>
      <c r="D13" s="35" t="s">
        <v>198</v>
      </c>
      <c r="E13" s="17" t="str">
        <f aca="false">IF(C13&gt;=0.85,"Good","Keep building")</f>
        <v>Keep building</v>
      </c>
      <c r="F13" s="32" t="s">
        <v>199</v>
      </c>
    </row>
    <row r="14" customFormat="false" ht="63.75" hidden="false" customHeight="true" outlineLevel="0" collapsed="false">
      <c r="B14" s="29" t="s">
        <v>200</v>
      </c>
      <c r="C14" s="30" t="n">
        <f aca="false">MAX(0,1-SUMPRODUCT(('Under the bonnet'!$B$6:$B$153=2025)*('Under the bonnet'!$D$6:$D$153-'Under the bonnet'!$AP$6:$AP$153)^2)/SUMPRODUCT(('Under the bonnet'!$B$6:$B$153=2025)*('Under the bonnet'!$D$6:$D$153-SUMPRODUCT(('Under the bonnet'!$B$6:$B$153=2025)*'Under the bonnet'!$D$6:$D$153)/COUNTIF('Under the bonnet'!$B$6:$B$153,2025))^2))</f>
        <v>0</v>
      </c>
      <c r="D14" s="35" t="s">
        <v>198</v>
      </c>
      <c r="E14" s="17" t="str">
        <f aca="false">IF(C14&gt;=0.8,"Good","Copied the past, not the pattern")</f>
        <v>Copied the past, not the pattern</v>
      </c>
      <c r="F14" s="32" t="s">
        <v>201</v>
      </c>
    </row>
    <row r="15" customFormat="false" ht="48.75" hidden="false" customHeight="true" outlineLevel="0" collapsed="false">
      <c r="B15" s="29" t="s">
        <v>202</v>
      </c>
      <c r="C15" s="36" t="n">
        <f aca="false">IFERROR(((SUMIFS('Under the bonnet'!$D$6:$D$153,'Under the bonnet'!$B$6:$B$153,2025,'Under the bonnet'!$C$6:$C$153,"&lt;=10")-SUMIFS('Under the bonnet'!$D$6:$D$153,'Under the bonnet'!$B$6:$B$153,2024,'Under the bonnet'!$C$6:$C$153,"&lt;=10"))-(SUMIFS('Under the bonnet'!$AP$6:$AP$153,'Under the bonnet'!$B$6:$B$153,2025,'Under the bonnet'!$C$6:$C$153,"&lt;=10")-SUMIFS('Under the bonnet'!$AP$6:$AP$153,'Under the bonnet'!$B$6:$B$153,2024,'Under the bonnet'!$C$6:$C$153,"&lt;=10")))/SUMIFS('Under the bonnet'!$D$6:$D$153,'Under the bonnet'!$B$6:$B$153,2024,'Under the bonnet'!$C$6:$C$153,"&lt;=10"),"")</f>
        <v>-0.071310168199923</v>
      </c>
      <c r="D15" s="37" t="n">
        <v>0.014</v>
      </c>
      <c r="E15" s="17" t="str">
        <f aca="false">IF(C15="","",IF(ABS(C15)&lt;=0.05,"Good","Something is missing"))</f>
        <v>Something is missing</v>
      </c>
      <c r="F15" s="32" t="s">
        <v>203</v>
      </c>
    </row>
    <row r="17" customFormat="false" ht="15" hidden="false" customHeight="false" outlineLevel="0" collapsed="false">
      <c r="B17" s="10" t="s">
        <v>63</v>
      </c>
      <c r="C17" s="38" t="str">
        <f aca="false">IF(AND(E10="Good",E13="Good",E14="Good"),"Level done. Move on.","Keep going")</f>
        <v>Keep going</v>
      </c>
      <c r="D17" s="38"/>
    </row>
    <row r="19" customFormat="false" ht="19.5" hidden="false" customHeight="true" outlineLevel="0" collapsed="false">
      <c r="B19" s="3" t="s">
        <v>204</v>
      </c>
    </row>
    <row r="20" customFormat="false" ht="33.75" hidden="false" customHeight="true" outlineLevel="0" collapsed="false">
      <c r="B20" s="4" t="s">
        <v>205</v>
      </c>
      <c r="C20" s="4"/>
      <c r="D20" s="4"/>
      <c r="E20" s="4"/>
      <c r="F20" s="4"/>
    </row>
    <row r="21" customFormat="false" ht="33.75" hidden="false" customHeight="true" outlineLevel="0" collapsed="false">
      <c r="B21" s="4" t="s">
        <v>206</v>
      </c>
      <c r="C21" s="4"/>
      <c r="D21" s="4"/>
      <c r="E21" s="4"/>
      <c r="F21" s="4"/>
    </row>
    <row r="22" customFormat="false" ht="48.75" hidden="false" customHeight="true" outlineLevel="0" collapsed="false">
      <c r="B22" s="13" t="s">
        <v>207</v>
      </c>
      <c r="C22" s="13"/>
      <c r="D22" s="13"/>
      <c r="E22" s="13"/>
      <c r="F22" s="13"/>
    </row>
    <row r="24" customFormat="false" ht="19.5" hidden="false" customHeight="true" outlineLevel="0" collapsed="false">
      <c r="B24" s="3" t="s">
        <v>47</v>
      </c>
    </row>
    <row r="25" customFormat="false" ht="33.75" hidden="false" customHeight="true" outlineLevel="0" collapsed="false">
      <c r="B25" s="12" t="s">
        <v>208</v>
      </c>
      <c r="C25" s="12"/>
      <c r="D25" s="12"/>
      <c r="E25" s="12"/>
      <c r="F25" s="12"/>
    </row>
    <row r="31" customFormat="false" ht="15" hidden="false" customHeight="false" outlineLevel="0" collapsed="false">
      <c r="B31" s="10" t="s">
        <v>209</v>
      </c>
      <c r="C31" s="18" t="s">
        <v>70</v>
      </c>
    </row>
    <row r="36" customFormat="false" ht="19.5" hidden="false" customHeight="true" outlineLevel="0" collapsed="false">
      <c r="B36" s="3" t="s">
        <v>72</v>
      </c>
    </row>
    <row r="37" customFormat="false" ht="18.75" hidden="false" customHeight="true" outlineLevel="0" collapsed="false">
      <c r="B37" s="4" t="s">
        <v>210</v>
      </c>
      <c r="C37" s="4"/>
      <c r="D37" s="4"/>
      <c r="E37" s="4"/>
      <c r="F37" s="4"/>
    </row>
  </sheetData>
  <mergeCells count="9">
    <mergeCell ref="B2:N2"/>
    <mergeCell ref="B5:D5"/>
    <mergeCell ref="B6:D6"/>
    <mergeCell ref="C17:D17"/>
    <mergeCell ref="B20:F20"/>
    <mergeCell ref="B21:F21"/>
    <mergeCell ref="B22:F22"/>
    <mergeCell ref="B25:F25"/>
    <mergeCell ref="B37:F37"/>
  </mergeCells>
  <conditionalFormatting sqref="E10:E15">
    <cfRule type="expression" priority="2" aboveAverage="0" equalAverage="0" bottom="0" percent="0" rank="0" text="" dxfId="0">
      <formula>E10="Good"</formula>
    </cfRule>
    <cfRule type="expression" priority="3" aboveAverage="0" equalAverage="0" bottom="0" percent="0" rank="0" text="" dxfId="1">
      <formula>AND(E10&lt;&gt;"Good",E10&lt;&gt;"")</formula>
    </cfRule>
  </conditionalFormatting>
  <conditionalFormatting sqref="C17">
    <cfRule type="expression" priority="4" aboveAverage="0" equalAverage="0" bottom="0" percent="0" rank="0" text="" dxfId="0">
      <formula>ISNUMBER(SEARCH("About right",C17))</formula>
    </cfRule>
    <cfRule type="expression" priority="5" aboveAverage="0" equalAverage="0" bottom="0" percent="0" rank="0" text="" dxfId="1">
      <formula>ISNUMBER(SEARCH("Too",C17))</formula>
    </cfRule>
    <cfRule type="expression" priority="6" aboveAverage="0" equalAverage="0" bottom="0" percent="0" rank="0" text="" dxfId="0">
      <formula>ISNUMBER(SEARCH("done",C17))</formula>
    </cfRule>
    <cfRule type="expression" priority="7" aboveAverage="0" equalAverage="0" bottom="0" percent="0" rank="0" text="" dxfId="1">
      <formula>ISNUMBER(SEARCH("Keep going",C17))</formula>
    </cfRule>
  </conditionalFormatting>
  <dataValidations count="1">
    <dataValidation allowBlank="false" errorStyle="stop" operator="between" showDropDown="false" showErrorMessage="false" showInputMessage="false" sqref="C31" type="list">
      <formula1>"No,Yes"</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0078"/>
    <pageSetUpPr fitToPage="true"/>
  </sheetPr>
  <dimension ref="B1:N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2"/>
    <col collapsed="false" customWidth="true" hidden="false" outlineLevel="0" max="4" min="4" style="0" width="11"/>
    <col collapsed="false" customWidth="true" hidden="false" outlineLevel="0" max="5" min="5" style="0" width="13"/>
    <col collapsed="false" customWidth="true" hidden="false" outlineLevel="0" max="7" min="6" style="0" width="12"/>
    <col collapsed="false" customWidth="true" hidden="false" outlineLevel="0" max="8" min="8" style="0" width="13"/>
    <col collapsed="false" customWidth="true" hidden="false" outlineLevel="0" max="12" min="9" style="0" width="12"/>
    <col collapsed="false" customWidth="true" hidden="false" outlineLevel="0" max="13" min="13" style="0" width="13"/>
    <col collapsed="false" customWidth="true" hidden="false" outlineLevel="0" max="14" min="14" style="0" width="2"/>
  </cols>
  <sheetData>
    <row r="1" customFormat="false" ht="30" hidden="false" customHeight="true" outlineLevel="0" collapsed="false">
      <c r="B1" s="1" t="s">
        <v>211</v>
      </c>
    </row>
    <row r="2" customFormat="false" ht="18" hidden="false" customHeight="true" outlineLevel="0" collapsed="false">
      <c r="B2" s="2" t="s">
        <v>212</v>
      </c>
      <c r="C2" s="2"/>
      <c r="D2" s="2"/>
      <c r="E2" s="2"/>
      <c r="F2" s="2"/>
      <c r="G2" s="2"/>
      <c r="H2" s="2"/>
      <c r="I2" s="2"/>
      <c r="J2" s="2"/>
      <c r="K2" s="2"/>
      <c r="L2" s="2"/>
      <c r="M2" s="2"/>
      <c r="N2" s="2"/>
    </row>
    <row r="4" customFormat="false" ht="19.5" hidden="false" customHeight="true" outlineLevel="0" collapsed="false">
      <c r="B4" s="3" t="s">
        <v>54</v>
      </c>
    </row>
    <row r="5" customFormat="false" ht="33.75" hidden="false" customHeight="true" outlineLevel="0" collapsed="false">
      <c r="B5" s="4" t="s">
        <v>213</v>
      </c>
      <c r="C5" s="4"/>
      <c r="D5" s="4"/>
      <c r="E5" s="4"/>
      <c r="F5" s="4"/>
      <c r="G5" s="4"/>
      <c r="H5" s="4"/>
      <c r="I5" s="4"/>
      <c r="J5" s="4"/>
      <c r="K5" s="4"/>
      <c r="L5" s="4"/>
    </row>
    <row r="6" customFormat="false" ht="33.75" hidden="false" customHeight="true" outlineLevel="0" collapsed="false">
      <c r="B6" s="4" t="s">
        <v>214</v>
      </c>
      <c r="C6" s="4"/>
      <c r="D6" s="4"/>
      <c r="E6" s="4"/>
      <c r="F6" s="4"/>
      <c r="G6" s="4"/>
      <c r="H6" s="4"/>
      <c r="I6" s="4"/>
      <c r="J6" s="4"/>
      <c r="K6" s="4"/>
      <c r="L6" s="4"/>
    </row>
    <row r="8" customFormat="false" ht="19.5" hidden="false" customHeight="true" outlineLevel="0" collapsed="false">
      <c r="B8" s="3" t="s">
        <v>215</v>
      </c>
    </row>
    <row r="9" customFormat="false" ht="43.5" hidden="false" customHeight="true" outlineLevel="0" collapsed="false">
      <c r="B9" s="6" t="s">
        <v>216</v>
      </c>
      <c r="C9" s="6" t="s">
        <v>217</v>
      </c>
      <c r="D9" s="6" t="s">
        <v>218</v>
      </c>
      <c r="E9" s="6" t="s">
        <v>219</v>
      </c>
      <c r="F9" s="6" t="s">
        <v>220</v>
      </c>
      <c r="G9" s="6" t="s">
        <v>221</v>
      </c>
      <c r="H9" s="6" t="s">
        <v>222</v>
      </c>
      <c r="I9" s="6" t="s">
        <v>223</v>
      </c>
      <c r="J9" s="6" t="s">
        <v>224</v>
      </c>
      <c r="K9" s="6" t="s">
        <v>225</v>
      </c>
      <c r="L9" s="6" t="s">
        <v>226</v>
      </c>
      <c r="M9" s="6" t="s">
        <v>227</v>
      </c>
    </row>
    <row r="10" customFormat="false" ht="15" hidden="false" customHeight="false" outlineLevel="0" collapsed="false">
      <c r="B10" s="8" t="s">
        <v>228</v>
      </c>
      <c r="C10" s="39" t="n">
        <v>985</v>
      </c>
      <c r="D10" s="40" t="n">
        <v>1.955</v>
      </c>
      <c r="E10" s="15" t="n">
        <v>985</v>
      </c>
      <c r="F10" s="39" t="n">
        <f aca="false">ROUND(C10*0.5,0)</f>
        <v>493</v>
      </c>
      <c r="G10" s="39" t="n">
        <f aca="false">ROUND(C10*1.5,0)</f>
        <v>1478</v>
      </c>
      <c r="H10" s="39" t="n">
        <f aca="false">IF($C$26="AP's plan",M10,MIN(G10,MAX(F10,IF(E10="",0,E10))))</f>
        <v>985</v>
      </c>
      <c r="I10" s="39" t="n">
        <f aca="false">IF(H10&lt;=0,0,(D10*C10*1000/90)/SQRT(C10)*SQRT(H10))</f>
        <v>21396.3888888889</v>
      </c>
      <c r="J10" s="39" t="n">
        <f aca="false">I10*90/1000</f>
        <v>1925.675</v>
      </c>
      <c r="K10" s="40" t="n">
        <f aca="false">IF(H10&lt;=0,0,J10/H10)</f>
        <v>1.955</v>
      </c>
      <c r="L10" s="40" t="n">
        <f aca="false">0.5*K10</f>
        <v>0.9775</v>
      </c>
      <c r="M10" s="39" t="n">
        <v>1375</v>
      </c>
    </row>
    <row r="11" customFormat="false" ht="15" hidden="false" customHeight="false" outlineLevel="0" collapsed="false">
      <c r="B11" s="8" t="s">
        <v>229</v>
      </c>
      <c r="C11" s="39" t="n">
        <v>899</v>
      </c>
      <c r="D11" s="40" t="n">
        <v>1.861</v>
      </c>
      <c r="E11" s="15" t="n">
        <v>899</v>
      </c>
      <c r="F11" s="39" t="n">
        <f aca="false">ROUND(C11*0.5,0)</f>
        <v>450</v>
      </c>
      <c r="G11" s="39" t="n">
        <f aca="false">ROUND(C11*1.5,0)</f>
        <v>1349</v>
      </c>
      <c r="H11" s="39" t="n">
        <f aca="false">IF($C$26="AP's plan",M11,MIN(G11,MAX(F11,IF(E11="",0,E11))))</f>
        <v>899</v>
      </c>
      <c r="I11" s="39" t="n">
        <f aca="false">IF(H11&lt;=0,0,(D11*C11*1000/90)/SQRT(C11)*SQRT(H11))</f>
        <v>18589.3222222222</v>
      </c>
      <c r="J11" s="39" t="n">
        <f aca="false">I11*90/1000</f>
        <v>1673.039</v>
      </c>
      <c r="K11" s="40" t="n">
        <f aca="false">IF(H11&lt;=0,0,J11/H11)</f>
        <v>1.861</v>
      </c>
      <c r="L11" s="40" t="n">
        <f aca="false">0.5*K11</f>
        <v>0.9305</v>
      </c>
      <c r="M11" s="39" t="n">
        <v>769</v>
      </c>
    </row>
    <row r="12" customFormat="false" ht="15" hidden="false" customHeight="false" outlineLevel="0" collapsed="false">
      <c r="B12" s="8" t="s">
        <v>163</v>
      </c>
      <c r="C12" s="39" t="n">
        <v>834</v>
      </c>
      <c r="D12" s="40" t="n">
        <v>1.753</v>
      </c>
      <c r="E12" s="15" t="n">
        <v>834</v>
      </c>
      <c r="F12" s="39" t="n">
        <f aca="false">ROUND(C12*0.5,0)</f>
        <v>417</v>
      </c>
      <c r="G12" s="39" t="n">
        <f aca="false">ROUND(C12*1.5,0)</f>
        <v>1251</v>
      </c>
      <c r="H12" s="39" t="n">
        <f aca="false">IF($C$26="AP's plan",M12,MIN(G12,MAX(F12,IF(E12="",0,E12))))</f>
        <v>834</v>
      </c>
      <c r="I12" s="39" t="n">
        <f aca="false">IF(H12&lt;=0,0,(D12*C12*1000/90)/SQRT(C12)*SQRT(H12))</f>
        <v>16244.4666666667</v>
      </c>
      <c r="J12" s="39" t="n">
        <f aca="false">I12*90/1000</f>
        <v>1462.002</v>
      </c>
      <c r="K12" s="40" t="n">
        <f aca="false">IF(H12&lt;=0,0,J12/H12)</f>
        <v>1.753</v>
      </c>
      <c r="L12" s="40" t="n">
        <f aca="false">0.5*K12</f>
        <v>0.8765</v>
      </c>
      <c r="M12" s="39" t="n">
        <v>667</v>
      </c>
    </row>
    <row r="13" customFormat="false" ht="15" hidden="false" customHeight="false" outlineLevel="0" collapsed="false">
      <c r="B13" s="8" t="s">
        <v>230</v>
      </c>
      <c r="C13" s="39" t="n">
        <v>1063</v>
      </c>
      <c r="D13" s="40" t="n">
        <v>1.591</v>
      </c>
      <c r="E13" s="15" t="n">
        <v>1063</v>
      </c>
      <c r="F13" s="39" t="n">
        <f aca="false">ROUND(C13*0.5,0)</f>
        <v>532</v>
      </c>
      <c r="G13" s="39" t="n">
        <f aca="false">ROUND(C13*1.5,0)</f>
        <v>1595</v>
      </c>
      <c r="H13" s="39" t="n">
        <f aca="false">IF($C$26="AP's plan",M13,MIN(G13,MAX(F13,IF(E13="",0,E13))))</f>
        <v>1063</v>
      </c>
      <c r="I13" s="39" t="n">
        <f aca="false">IF(H13&lt;=0,0,(D13*C13*1000/90)/SQRT(C13)*SQRT(H13))</f>
        <v>18791.4777777778</v>
      </c>
      <c r="J13" s="39" t="n">
        <f aca="false">I13*90/1000</f>
        <v>1691.233</v>
      </c>
      <c r="K13" s="40" t="n">
        <f aca="false">IF(H13&lt;=0,0,J13/H13)</f>
        <v>1.591</v>
      </c>
      <c r="L13" s="40" t="n">
        <f aca="false">0.5*K13</f>
        <v>0.7955</v>
      </c>
      <c r="M13" s="39" t="n">
        <v>1077</v>
      </c>
    </row>
    <row r="14" customFormat="false" ht="15" hidden="false" customHeight="false" outlineLevel="0" collapsed="false">
      <c r="B14" s="8" t="s">
        <v>231</v>
      </c>
      <c r="C14" s="39" t="n">
        <v>748</v>
      </c>
      <c r="D14" s="40" t="n">
        <v>1.71</v>
      </c>
      <c r="E14" s="15" t="n">
        <v>748</v>
      </c>
      <c r="F14" s="39" t="n">
        <f aca="false">ROUND(C14*0.5,0)</f>
        <v>374</v>
      </c>
      <c r="G14" s="39" t="n">
        <f aca="false">ROUND(C14*1.5,0)</f>
        <v>1122</v>
      </c>
      <c r="H14" s="39" t="n">
        <f aca="false">IF($C$26="AP's plan",M14,MIN(G14,MAX(F14,IF(E14="",0,E14))))</f>
        <v>748</v>
      </c>
      <c r="I14" s="39" t="n">
        <f aca="false">IF(H14&lt;=0,0,(D14*C14*1000/90)/SQRT(C14)*SQRT(H14))</f>
        <v>14212</v>
      </c>
      <c r="J14" s="39" t="n">
        <f aca="false">I14*90/1000</f>
        <v>1279.08</v>
      </c>
      <c r="K14" s="40" t="n">
        <f aca="false">IF(H14&lt;=0,0,J14/H14)</f>
        <v>1.71</v>
      </c>
      <c r="L14" s="40" t="n">
        <f aca="false">0.5*K14</f>
        <v>0.855</v>
      </c>
      <c r="M14" s="39" t="n">
        <v>460</v>
      </c>
    </row>
    <row r="15" customFormat="false" ht="15" hidden="false" customHeight="false" outlineLevel="0" collapsed="false">
      <c r="B15" s="8" t="s">
        <v>232</v>
      </c>
      <c r="C15" s="39" t="n">
        <v>521</v>
      </c>
      <c r="D15" s="40" t="n">
        <v>0.538</v>
      </c>
      <c r="E15" s="15" t="n">
        <v>521</v>
      </c>
      <c r="F15" s="39" t="n">
        <f aca="false">ROUND(C15*0.5,0)</f>
        <v>261</v>
      </c>
      <c r="G15" s="39" t="n">
        <f aca="false">ROUND(C15*1.5,0)</f>
        <v>782</v>
      </c>
      <c r="H15" s="39" t="n">
        <f aca="false">IF($C$26="AP's plan",M15,MIN(G15,MAX(F15,IF(E15="",0,E15))))</f>
        <v>521</v>
      </c>
      <c r="I15" s="39" t="n">
        <f aca="false">IF(H15&lt;=0,0,(D15*C15*1000/90)/SQRT(C15)*SQRT(H15))</f>
        <v>3114.42222222222</v>
      </c>
      <c r="J15" s="39" t="n">
        <f aca="false">I15*90/1000</f>
        <v>280.298</v>
      </c>
      <c r="K15" s="40" t="n">
        <f aca="false">IF(H15&lt;=0,0,J15/H15)</f>
        <v>0.538</v>
      </c>
      <c r="L15" s="40" t="n">
        <f aca="false">0.5*K15</f>
        <v>0.269</v>
      </c>
      <c r="M15" s="39" t="n">
        <v>320</v>
      </c>
    </row>
    <row r="16" customFormat="false" ht="15" hidden="false" customHeight="false" outlineLevel="0" collapsed="false">
      <c r="B16" s="8" t="s">
        <v>233</v>
      </c>
      <c r="C16" s="39" t="n">
        <v>458</v>
      </c>
      <c r="D16" s="40" t="n">
        <v>1.708</v>
      </c>
      <c r="E16" s="15" t="n">
        <v>458</v>
      </c>
      <c r="F16" s="39" t="n">
        <f aca="false">ROUND(C16*0.5,0)</f>
        <v>229</v>
      </c>
      <c r="G16" s="39" t="n">
        <f aca="false">ROUND(C16*1.5,0)</f>
        <v>687</v>
      </c>
      <c r="H16" s="39" t="n">
        <f aca="false">IF($C$26="AP's plan",M16,MIN(G16,MAX(F16,IF(E16="",0,E16))))</f>
        <v>458</v>
      </c>
      <c r="I16" s="39" t="n">
        <f aca="false">IF(H16&lt;=0,0,(D16*C16*1000/90)/SQRT(C16)*SQRT(H16))</f>
        <v>8691.82222222222</v>
      </c>
      <c r="J16" s="39" t="n">
        <f aca="false">I16*90/1000</f>
        <v>782.264</v>
      </c>
      <c r="K16" s="40" t="n">
        <f aca="false">IF(H16&lt;=0,0,J16/H16)</f>
        <v>1.708</v>
      </c>
      <c r="L16" s="40" t="n">
        <f aca="false">0.5*K16</f>
        <v>0.854</v>
      </c>
      <c r="M16" s="39" t="n">
        <v>658</v>
      </c>
    </row>
    <row r="17" customFormat="false" ht="15" hidden="false" customHeight="false" outlineLevel="0" collapsed="false">
      <c r="B17" s="8" t="s">
        <v>234</v>
      </c>
      <c r="C17" s="39" t="n">
        <v>442</v>
      </c>
      <c r="D17" s="40" t="n">
        <v>1.74</v>
      </c>
      <c r="E17" s="15" t="n">
        <v>442</v>
      </c>
      <c r="F17" s="39" t="n">
        <f aca="false">ROUND(C17*0.5,0)</f>
        <v>221</v>
      </c>
      <c r="G17" s="39" t="n">
        <f aca="false">ROUND(C17*1.5,0)</f>
        <v>663</v>
      </c>
      <c r="H17" s="39" t="n">
        <f aca="false">IF($C$26="AP's plan",M17,MIN(G17,MAX(F17,IF(E17="",0,E17))))</f>
        <v>442</v>
      </c>
      <c r="I17" s="39" t="n">
        <f aca="false">IF(H17&lt;=0,0,(D17*C17*1000/90)/SQRT(C17)*SQRT(H17))</f>
        <v>8545.33333333333</v>
      </c>
      <c r="J17" s="39" t="n">
        <f aca="false">I17*90/1000</f>
        <v>769.08</v>
      </c>
      <c r="K17" s="40" t="n">
        <f aca="false">IF(H17&lt;=0,0,J17/H17)</f>
        <v>1.74</v>
      </c>
      <c r="L17" s="40" t="n">
        <f aca="false">0.5*K17</f>
        <v>0.87</v>
      </c>
      <c r="M17" s="39" t="n">
        <v>552</v>
      </c>
    </row>
    <row r="18" customFormat="false" ht="15" hidden="false" customHeight="false" outlineLevel="0" collapsed="false">
      <c r="B18" s="8" t="s">
        <v>235</v>
      </c>
      <c r="C18" s="39" t="n">
        <v>318</v>
      </c>
      <c r="D18" s="40" t="n">
        <v>1.7</v>
      </c>
      <c r="E18" s="15" t="n">
        <v>318</v>
      </c>
      <c r="F18" s="39" t="n">
        <f aca="false">ROUND(C18*0.5,0)</f>
        <v>159</v>
      </c>
      <c r="G18" s="39" t="n">
        <f aca="false">ROUND(C18*1.5,0)</f>
        <v>477</v>
      </c>
      <c r="H18" s="39" t="n">
        <f aca="false">IF($C$26="AP's plan",M18,MIN(G18,MAX(F18,IF(E18="",0,E18))))</f>
        <v>318</v>
      </c>
      <c r="I18" s="39" t="n">
        <f aca="false">IF(H18&lt;=0,0,(D18*C18*1000/90)/SQRT(C18)*SQRT(H18))</f>
        <v>6006.66666666667</v>
      </c>
      <c r="J18" s="39" t="n">
        <f aca="false">I18*90/1000</f>
        <v>540.6</v>
      </c>
      <c r="K18" s="40" t="n">
        <f aca="false">IF(H18&lt;=0,0,J18/H18)</f>
        <v>1.7</v>
      </c>
      <c r="L18" s="40" t="n">
        <f aca="false">0.5*K18</f>
        <v>0.85</v>
      </c>
      <c r="M18" s="39" t="n">
        <v>375</v>
      </c>
    </row>
    <row r="19" customFormat="false" ht="15" hidden="false" customHeight="false" outlineLevel="0" collapsed="false">
      <c r="B19" s="8" t="s">
        <v>236</v>
      </c>
      <c r="C19" s="39" t="n">
        <v>121</v>
      </c>
      <c r="D19" s="40" t="n">
        <v>1.85</v>
      </c>
      <c r="E19" s="15" t="n">
        <v>121</v>
      </c>
      <c r="F19" s="39" t="n">
        <f aca="false">ROUND(C19*0.5,0)</f>
        <v>61</v>
      </c>
      <c r="G19" s="39" t="n">
        <f aca="false">ROUND(C19*1.5,0)</f>
        <v>182</v>
      </c>
      <c r="H19" s="39" t="n">
        <f aca="false">IF($C$26="AP's plan",M19,MIN(G19,MAX(F19,IF(E19="",0,E19))))</f>
        <v>121</v>
      </c>
      <c r="I19" s="39" t="n">
        <f aca="false">IF(H19&lt;=0,0,(D19*C19*1000/90)/SQRT(C19)*SQRT(H19))</f>
        <v>2487.22222222222</v>
      </c>
      <c r="J19" s="39" t="n">
        <f aca="false">I19*90/1000</f>
        <v>223.85</v>
      </c>
      <c r="K19" s="40" t="n">
        <f aca="false">IF(H19&lt;=0,0,J19/H19)</f>
        <v>1.85</v>
      </c>
      <c r="L19" s="40" t="n">
        <f aca="false">0.5*K19</f>
        <v>0.925</v>
      </c>
      <c r="M19" s="39" t="n">
        <v>150</v>
      </c>
    </row>
    <row r="20" customFormat="false" ht="15" hidden="false" customHeight="false" outlineLevel="0" collapsed="false">
      <c r="B20" s="8" t="s">
        <v>237</v>
      </c>
      <c r="C20" s="39" t="n">
        <v>102</v>
      </c>
      <c r="D20" s="40" t="n">
        <v>1.2</v>
      </c>
      <c r="E20" s="15" t="n">
        <v>102</v>
      </c>
      <c r="F20" s="39" t="n">
        <f aca="false">ROUND(C20*0.5,0)</f>
        <v>51</v>
      </c>
      <c r="G20" s="39" t="n">
        <f aca="false">ROUND(C20*1.5,0)</f>
        <v>153</v>
      </c>
      <c r="H20" s="39" t="n">
        <f aca="false">IF($C$26="AP's plan",M20,MIN(G20,MAX(F20,IF(E20="",0,E20))))</f>
        <v>102</v>
      </c>
      <c r="I20" s="39" t="n">
        <f aca="false">IF(H20&lt;=0,0,(D20*C20*1000/90)/SQRT(C20)*SQRT(H20))</f>
        <v>1360</v>
      </c>
      <c r="J20" s="39" t="n">
        <f aca="false">I20*90/1000</f>
        <v>122.4</v>
      </c>
      <c r="K20" s="40" t="n">
        <f aca="false">IF(H20&lt;=0,0,J20/H20)</f>
        <v>1.2</v>
      </c>
      <c r="L20" s="40" t="n">
        <f aca="false">0.5*K20</f>
        <v>0.6</v>
      </c>
      <c r="M20" s="39" t="n">
        <v>71</v>
      </c>
    </row>
    <row r="21" customFormat="false" ht="15" hidden="false" customHeight="false" outlineLevel="0" collapsed="false">
      <c r="B21" s="8" t="s">
        <v>238</v>
      </c>
      <c r="C21" s="39" t="n">
        <v>40</v>
      </c>
      <c r="D21" s="40" t="n">
        <v>1.9</v>
      </c>
      <c r="E21" s="15" t="n">
        <v>40</v>
      </c>
      <c r="F21" s="39" t="n">
        <f aca="false">ROUND(C21*0.5,0)</f>
        <v>20</v>
      </c>
      <c r="G21" s="39" t="n">
        <f aca="false">ROUND(C21*1.5,0)</f>
        <v>60</v>
      </c>
      <c r="H21" s="39" t="n">
        <f aca="false">IF($C$26="AP's plan",M21,MIN(G21,MAX(F21,IF(E21="",0,E21))))</f>
        <v>40</v>
      </c>
      <c r="I21" s="39" t="n">
        <f aca="false">IF(H21&lt;=0,0,(D21*C21*1000/90)/SQRT(C21)*SQRT(H21))</f>
        <v>844.444444444445</v>
      </c>
      <c r="J21" s="39" t="n">
        <f aca="false">I21*90/1000</f>
        <v>76</v>
      </c>
      <c r="K21" s="40" t="n">
        <f aca="false">IF(H21&lt;=0,0,J21/H21)</f>
        <v>1.9</v>
      </c>
      <c r="L21" s="40" t="n">
        <f aca="false">0.5*K21</f>
        <v>0.95</v>
      </c>
      <c r="M21" s="39" t="n">
        <v>57</v>
      </c>
    </row>
    <row r="22" customFormat="false" ht="15" hidden="false" customHeight="false" outlineLevel="0" collapsed="false">
      <c r="B22" s="8" t="s">
        <v>239</v>
      </c>
      <c r="C22" s="39" t="n">
        <v>22</v>
      </c>
      <c r="D22" s="40" t="n">
        <v>2</v>
      </c>
      <c r="E22" s="15" t="n">
        <v>22</v>
      </c>
      <c r="F22" s="39" t="n">
        <f aca="false">ROUND(C22*0.5,0)</f>
        <v>11</v>
      </c>
      <c r="G22" s="39" t="n">
        <f aca="false">ROUND(C22*1.5,0)</f>
        <v>33</v>
      </c>
      <c r="H22" s="39" t="n">
        <f aca="false">IF($C$26="AP's plan",M22,MIN(G22,MAX(F22,IF(E22="",0,E22))))</f>
        <v>22</v>
      </c>
      <c r="I22" s="39" t="n">
        <f aca="false">IF(H22&lt;=0,0,(D22*C22*1000/90)/SQRT(C22)*SQRT(H22))</f>
        <v>488.888888888889</v>
      </c>
      <c r="J22" s="39" t="n">
        <f aca="false">I22*90/1000</f>
        <v>44</v>
      </c>
      <c r="K22" s="40" t="n">
        <f aca="false">IF(H22&lt;=0,0,J22/H22)</f>
        <v>2</v>
      </c>
      <c r="L22" s="40" t="n">
        <f aca="false">0.5*K22</f>
        <v>1</v>
      </c>
      <c r="M22" s="39" t="n">
        <v>21</v>
      </c>
    </row>
    <row r="23" customFormat="false" ht="15" hidden="false" customHeight="false" outlineLevel="0" collapsed="false">
      <c r="B23" s="41" t="s">
        <v>240</v>
      </c>
      <c r="C23" s="42" t="n">
        <f aca="false">SUM(C10:C22)</f>
        <v>6553</v>
      </c>
      <c r="E23" s="42" t="n">
        <f aca="false">SUM(E10:E22)</f>
        <v>6553</v>
      </c>
      <c r="H23" s="42" t="n">
        <f aca="false">SUM(H10:H22)</f>
        <v>6553</v>
      </c>
      <c r="I23" s="42" t="n">
        <f aca="false">SUM(I10:I22)</f>
        <v>120772.455555556</v>
      </c>
      <c r="J23" s="42" t="n">
        <f aca="false">SUM(J10:J22)</f>
        <v>10869.521</v>
      </c>
      <c r="K23" s="43" t="n">
        <f aca="false">J23/H23</f>
        <v>1.65870914085152</v>
      </c>
      <c r="L23" s="43" t="n">
        <f aca="false">0.5*K23</f>
        <v>0.829354570425759</v>
      </c>
      <c r="M23" s="42" t="n">
        <f aca="false">SUM(M10:M22)</f>
        <v>6552</v>
      </c>
    </row>
    <row r="24" customFormat="false" ht="48.75" hidden="false" customHeight="true" outlineLevel="0" collapsed="false">
      <c r="B24" s="13" t="s">
        <v>241</v>
      </c>
      <c r="C24" s="13"/>
      <c r="D24" s="13"/>
      <c r="E24" s="13"/>
      <c r="F24" s="13"/>
      <c r="G24" s="13"/>
      <c r="H24" s="13"/>
      <c r="I24" s="13"/>
      <c r="J24" s="13"/>
      <c r="K24" s="13"/>
      <c r="L24" s="13"/>
    </row>
    <row r="26" customFormat="false" ht="19.5" hidden="false" customHeight="true" outlineLevel="0" collapsed="false">
      <c r="B26" s="10" t="s">
        <v>242</v>
      </c>
      <c r="C26" s="18" t="s">
        <v>243</v>
      </c>
      <c r="D26" s="44" t="s">
        <v>244</v>
      </c>
      <c r="E26" s="44"/>
      <c r="F26" s="44"/>
      <c r="G26" s="44"/>
      <c r="H26" s="44"/>
      <c r="I26" s="44"/>
      <c r="J26" s="44"/>
      <c r="K26" s="44"/>
      <c r="L26" s="44"/>
    </row>
    <row r="27" customFormat="false" ht="19.5" hidden="false" customHeight="true" outlineLevel="0" collapsed="false">
      <c r="B27" s="14" t="s">
        <v>245</v>
      </c>
      <c r="C27" s="45" t="str">
        <f aca="false">IF(ABS(H23-C23)&lt;=10,"Same total. Good.",IF(H23&gt;C23,"Over budget by £"&amp;TEXT(H23-C23,"#,##0")&amp;"k","Under budget by £"&amp;TEXT(C23-H23,"#,##0")&amp;"k"))</f>
        <v>Same total. Good.</v>
      </c>
      <c r="D27" s="45"/>
      <c r="E27" s="45"/>
      <c r="F27" s="45"/>
    </row>
    <row r="28" customFormat="false" ht="19.5" hidden="false" customHeight="true" outlineLevel="0" collapsed="false">
      <c r="B28" s="14" t="s">
        <v>246</v>
      </c>
      <c r="C28" s="19" t="n">
        <f aca="false">SUMPRODUCT(D10:D22,C10:C22)*1000/90</f>
        <v>120772.455555556</v>
      </c>
      <c r="D28" s="44" t="s">
        <v>247</v>
      </c>
      <c r="E28" s="44"/>
      <c r="F28" s="44"/>
      <c r="G28" s="44"/>
      <c r="H28" s="44"/>
      <c r="I28" s="44"/>
      <c r="J28" s="44"/>
      <c r="K28" s="44"/>
      <c r="L28" s="44"/>
    </row>
    <row r="29" customFormat="false" ht="19.5" hidden="false" customHeight="true" outlineLevel="0" collapsed="false">
      <c r="B29" s="14" t="s">
        <v>248</v>
      </c>
      <c r="C29" s="19" t="n">
        <f aca="false">I23</f>
        <v>120772.455555556</v>
      </c>
    </row>
    <row r="30" customFormat="false" ht="19.5" hidden="false" customHeight="true" outlineLevel="0" collapsed="false">
      <c r="B30" s="14" t="s">
        <v>249</v>
      </c>
      <c r="C30" s="19" t="n">
        <f aca="false">C29-C28</f>
        <v>0</v>
      </c>
      <c r="D30" s="44" t="s">
        <v>250</v>
      </c>
      <c r="E30" s="44"/>
      <c r="F30" s="44"/>
      <c r="G30" s="44"/>
      <c r="H30" s="44"/>
      <c r="I30" s="44"/>
      <c r="J30" s="44"/>
      <c r="K30" s="44"/>
      <c r="L30" s="44"/>
    </row>
    <row r="31" customFormat="false" ht="19.5" hidden="false" customHeight="true" outlineLevel="0" collapsed="false">
      <c r="B31" s="14" t="s">
        <v>251</v>
      </c>
      <c r="C31" s="19" t="n">
        <f aca="false">C30*90/1000</f>
        <v>0</v>
      </c>
    </row>
    <row r="32" customFormat="false" ht="19.5" hidden="false" customHeight="true" outlineLevel="0" collapsed="false">
      <c r="B32" s="14" t="s">
        <v>63</v>
      </c>
      <c r="C32" s="45" t="str">
        <f aca="false">IF(AND(C30&gt;=1000,ABS(H23-C23)&lt;=10),"Level done. Move on.",IF(C30&gt;0,"Keep going: find 1,000 more","Keep going"))</f>
        <v>Keep going</v>
      </c>
      <c r="D32" s="45"/>
      <c r="E32" s="45"/>
      <c r="F32" s="45"/>
    </row>
    <row r="34" customFormat="false" ht="19.5" hidden="false" customHeight="true" outlineLevel="0" collapsed="false">
      <c r="B34" s="3" t="s">
        <v>64</v>
      </c>
    </row>
    <row r="35" customFormat="false" ht="18.75" hidden="false" customHeight="true" outlineLevel="0" collapsed="false">
      <c r="B35" s="4" t="s">
        <v>252</v>
      </c>
      <c r="C35" s="4"/>
      <c r="D35" s="4"/>
      <c r="E35" s="4"/>
      <c r="F35" s="4"/>
      <c r="G35" s="4"/>
      <c r="H35" s="4"/>
      <c r="I35" s="4"/>
      <c r="J35" s="4"/>
      <c r="K35" s="4"/>
      <c r="L35" s="4"/>
    </row>
    <row r="36" customFormat="false" ht="33.75" hidden="false" customHeight="true" outlineLevel="0" collapsed="false">
      <c r="B36" s="4" t="s">
        <v>253</v>
      </c>
      <c r="C36" s="4"/>
      <c r="D36" s="4"/>
      <c r="E36" s="4"/>
      <c r="F36" s="4"/>
      <c r="G36" s="4"/>
      <c r="H36" s="4"/>
      <c r="I36" s="4"/>
      <c r="J36" s="4"/>
      <c r="K36" s="4"/>
      <c r="L36" s="4"/>
    </row>
    <row r="37" customFormat="false" ht="33.75" hidden="false" customHeight="true" outlineLevel="0" collapsed="false">
      <c r="B37" s="4" t="s">
        <v>254</v>
      </c>
      <c r="C37" s="4"/>
      <c r="D37" s="4"/>
      <c r="E37" s="4"/>
      <c r="F37" s="4"/>
      <c r="G37" s="4"/>
      <c r="H37" s="4"/>
      <c r="I37" s="4"/>
      <c r="J37" s="4"/>
      <c r="K37" s="4"/>
      <c r="L37" s="4"/>
    </row>
    <row r="39" customFormat="false" ht="19.5" hidden="false" customHeight="true" outlineLevel="0" collapsed="false">
      <c r="B39" s="3" t="s">
        <v>47</v>
      </c>
    </row>
    <row r="40" customFormat="false" ht="18.75" hidden="false" customHeight="true" outlineLevel="0" collapsed="false">
      <c r="B40" s="12" t="s">
        <v>255</v>
      </c>
      <c r="C40" s="12"/>
      <c r="D40" s="12"/>
      <c r="E40" s="12"/>
      <c r="F40" s="12"/>
      <c r="G40" s="12"/>
      <c r="H40" s="12"/>
      <c r="I40" s="12"/>
      <c r="J40" s="12"/>
      <c r="K40" s="12"/>
      <c r="L40" s="12"/>
    </row>
    <row r="42" customFormat="false" ht="19.5" hidden="false" customHeight="true" outlineLevel="0" collapsed="false">
      <c r="B42" s="3" t="s">
        <v>72</v>
      </c>
    </row>
    <row r="43" customFormat="false" ht="18.75" hidden="false" customHeight="true" outlineLevel="0" collapsed="false">
      <c r="B43" s="4" t="s">
        <v>256</v>
      </c>
      <c r="C43" s="4"/>
      <c r="D43" s="4"/>
      <c r="E43" s="4"/>
      <c r="F43" s="4"/>
      <c r="G43" s="4"/>
      <c r="H43" s="4"/>
      <c r="I43" s="4"/>
      <c r="J43" s="4"/>
      <c r="K43" s="4"/>
      <c r="L43" s="4"/>
    </row>
  </sheetData>
  <mergeCells count="14">
    <mergeCell ref="B2:N2"/>
    <mergeCell ref="B5:L5"/>
    <mergeCell ref="B6:L6"/>
    <mergeCell ref="B24:L24"/>
    <mergeCell ref="D26:L26"/>
    <mergeCell ref="C27:F27"/>
    <mergeCell ref="D28:L28"/>
    <mergeCell ref="D30:L30"/>
    <mergeCell ref="C32:F32"/>
    <mergeCell ref="B35:L35"/>
    <mergeCell ref="B36:L36"/>
    <mergeCell ref="B37:L37"/>
    <mergeCell ref="B40:L40"/>
    <mergeCell ref="B43:L43"/>
  </mergeCells>
  <conditionalFormatting sqref="C32">
    <cfRule type="expression" priority="2" aboveAverage="0" equalAverage="0" bottom="0" percent="0" rank="0" text="" dxfId="0">
      <formula>ISNUMBER(SEARCH("About right",C32))</formula>
    </cfRule>
    <cfRule type="expression" priority="3" aboveAverage="0" equalAverage="0" bottom="0" percent="0" rank="0" text="" dxfId="1">
      <formula>ISNUMBER(SEARCH("Too",C32))</formula>
    </cfRule>
    <cfRule type="expression" priority="4" aboveAverage="0" equalAverage="0" bottom="0" percent="0" rank="0" text="" dxfId="0">
      <formula>ISNUMBER(SEARCH("done",C32))</formula>
    </cfRule>
    <cfRule type="expression" priority="5" aboveAverage="0" equalAverage="0" bottom="0" percent="0" rank="0" text="" dxfId="1">
      <formula>ISNUMBER(SEARCH("Keep going",C32))</formula>
    </cfRule>
  </conditionalFormatting>
  <conditionalFormatting sqref="C27">
    <cfRule type="expression" priority="6" aboveAverage="0" equalAverage="0" bottom="0" percent="0" rank="0" text="" dxfId="0">
      <formula>ISNUMBER(SEARCH("Good",C27))</formula>
    </cfRule>
    <cfRule type="expression" priority="7" aboveAverage="0" equalAverage="0" bottom="0" percent="0" rank="0" text="" dxfId="1">
      <formula>NOT(ISNUMBER(SEARCH("Good",C27)))</formula>
    </cfRule>
  </conditionalFormatting>
  <dataValidations count="1">
    <dataValidation allowBlank="false" errorStyle="stop" operator="between" showDropDown="false" showErrorMessage="false" showInputMessage="false" sqref="C26" type="list">
      <formula1>"Mine,AP's plan"</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0078"/>
    <pageSetUpPr fitToPage="true"/>
  </sheetPr>
  <dimension ref="B1:N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7"/>
    <col collapsed="false" customWidth="true" hidden="false" outlineLevel="0" max="4" min="4" style="0" width="30"/>
    <col collapsed="false" customWidth="true" hidden="false" outlineLevel="0" max="5" min="5" style="0" width="16"/>
  </cols>
  <sheetData>
    <row r="1" customFormat="false" ht="30" hidden="false" customHeight="true" outlineLevel="0" collapsed="false">
      <c r="B1" s="1" t="s">
        <v>257</v>
      </c>
    </row>
    <row r="2" customFormat="false" ht="18" hidden="false" customHeight="true" outlineLevel="0" collapsed="false">
      <c r="B2" s="2" t="s">
        <v>258</v>
      </c>
      <c r="C2" s="2"/>
      <c r="D2" s="2"/>
      <c r="E2" s="2"/>
      <c r="F2" s="2"/>
      <c r="G2" s="2"/>
      <c r="H2" s="2"/>
      <c r="I2" s="2"/>
      <c r="J2" s="2"/>
      <c r="K2" s="2"/>
      <c r="L2" s="2"/>
      <c r="M2" s="2"/>
      <c r="N2" s="2"/>
    </row>
    <row r="4" customFormat="false" ht="19.5" hidden="false" customHeight="true" outlineLevel="0" collapsed="false">
      <c r="B4" s="3" t="s">
        <v>54</v>
      </c>
    </row>
    <row r="5" customFormat="false" ht="48.75" hidden="false" customHeight="true" outlineLevel="0" collapsed="false">
      <c r="B5" s="4" t="s">
        <v>259</v>
      </c>
      <c r="C5" s="4"/>
      <c r="D5" s="4"/>
    </row>
    <row r="6" customFormat="false" ht="33.75" hidden="false" customHeight="true" outlineLevel="0" collapsed="false">
      <c r="B6" s="4" t="s">
        <v>260</v>
      </c>
      <c r="C6" s="4"/>
      <c r="D6" s="4"/>
    </row>
    <row r="7" customFormat="false" ht="33.75" hidden="false" customHeight="true" outlineLevel="0" collapsed="false">
      <c r="B7" s="4" t="s">
        <v>261</v>
      </c>
      <c r="C7" s="4"/>
      <c r="D7" s="4"/>
    </row>
    <row r="9" customFormat="false" ht="19.5" hidden="false" customHeight="true" outlineLevel="0" collapsed="false">
      <c r="B9" s="3" t="s">
        <v>262</v>
      </c>
    </row>
    <row r="11" customFormat="false" ht="30" hidden="false" customHeight="true" outlineLevel="0" collapsed="false">
      <c r="B11" s="14" t="s">
        <v>263</v>
      </c>
      <c r="C11" s="46" t="n">
        <v>1</v>
      </c>
      <c r="D11" s="16" t="s">
        <v>264</v>
      </c>
    </row>
    <row r="12" customFormat="false" ht="30" hidden="false" customHeight="true" outlineLevel="0" collapsed="false">
      <c r="B12" s="14" t="s">
        <v>265</v>
      </c>
      <c r="C12" s="47" t="n">
        <f aca="false">IF(C11="","",C11*0.4)</f>
        <v>0.4</v>
      </c>
    </row>
    <row r="13" customFormat="false" ht="30" hidden="false" customHeight="true" outlineLevel="0" collapsed="false">
      <c r="B13" s="14" t="s">
        <v>266</v>
      </c>
      <c r="C13" s="28" t="n">
        <v>-0.25</v>
      </c>
      <c r="D13" s="16" t="s">
        <v>267</v>
      </c>
    </row>
    <row r="14" customFormat="false" ht="30" hidden="false" customHeight="true" outlineLevel="0" collapsed="false">
      <c r="B14" s="14" t="s">
        <v>268</v>
      </c>
      <c r="C14" s="22" t="n">
        <v>1.66</v>
      </c>
    </row>
    <row r="15" customFormat="false" ht="30" hidden="false" customHeight="true" outlineLevel="0" collapsed="false">
      <c r="B15" s="14" t="s">
        <v>269</v>
      </c>
      <c r="C15" s="22" t="n">
        <f aca="false">C14*1.21</f>
        <v>2.0086</v>
      </c>
      <c r="D15" s="16" t="s">
        <v>270</v>
      </c>
    </row>
    <row r="17" customFormat="false" ht="19.5" hidden="false" customHeight="true" outlineLevel="0" collapsed="false">
      <c r="B17" s="3" t="s">
        <v>271</v>
      </c>
    </row>
    <row r="18" customFormat="false" ht="33.75" hidden="false" customHeight="true" outlineLevel="0" collapsed="false">
      <c r="B18" s="4" t="s">
        <v>272</v>
      </c>
      <c r="C18" s="4"/>
      <c r="D18" s="4"/>
    </row>
    <row r="19" customFormat="false" ht="48.75" hidden="false" customHeight="true" outlineLevel="0" collapsed="false">
      <c r="B19" s="4" t="s">
        <v>273</v>
      </c>
      <c r="C19" s="4"/>
      <c r="D19" s="4"/>
    </row>
    <row r="21" customFormat="false" ht="15" hidden="false" customHeight="false" outlineLevel="0" collapsed="false">
      <c r="B21" s="48"/>
      <c r="C21" s="48" t="s">
        <v>274</v>
      </c>
      <c r="D21" s="48" t="s">
        <v>275</v>
      </c>
      <c r="E21" s="48" t="s">
        <v>276</v>
      </c>
    </row>
    <row r="22" customFormat="false" ht="15" hidden="false" customHeight="false" outlineLevel="0" collapsed="false">
      <c r="B22" s="49" t="s">
        <v>277</v>
      </c>
      <c r="C22" s="50" t="n">
        <v>12006</v>
      </c>
      <c r="D22" s="50" t="n">
        <v>7622</v>
      </c>
      <c r="E22" s="50" t="n">
        <v>2993</v>
      </c>
    </row>
    <row r="23" customFormat="false" ht="15" hidden="false" customHeight="false" outlineLevel="0" collapsed="false">
      <c r="B23" s="49" t="s">
        <v>278</v>
      </c>
      <c r="C23" s="50" t="n">
        <v>8568</v>
      </c>
      <c r="D23" s="50" t="n">
        <v>5158</v>
      </c>
      <c r="E23" s="50" t="n">
        <v>2822</v>
      </c>
    </row>
    <row r="24" customFormat="false" ht="15" hidden="false" customHeight="false" outlineLevel="0" collapsed="false">
      <c r="B24" s="49" t="s">
        <v>279</v>
      </c>
      <c r="C24" s="51" t="n">
        <v>8.4</v>
      </c>
      <c r="D24" s="51" t="n">
        <v>4.1</v>
      </c>
      <c r="E24" s="51" t="n">
        <v>1.2</v>
      </c>
    </row>
    <row r="25" customFormat="false" ht="15" hidden="false" customHeight="false" outlineLevel="0" collapsed="false">
      <c r="B25" s="49" t="s">
        <v>280</v>
      </c>
      <c r="C25" s="52" t="n">
        <v>0.18</v>
      </c>
      <c r="D25" s="52" t="n">
        <v>0.14</v>
      </c>
      <c r="E25" s="52" t="n">
        <v>0.2</v>
      </c>
    </row>
    <row r="27" customFormat="false" ht="30" hidden="false" customHeight="true" outlineLevel="0" collapsed="false">
      <c r="B27" s="14" t="s">
        <v>281</v>
      </c>
      <c r="C27" s="53" t="n">
        <v>3</v>
      </c>
      <c r="D27" s="16" t="s">
        <v>282</v>
      </c>
    </row>
    <row r="28" customFormat="false" ht="30" hidden="false" customHeight="true" outlineLevel="0" collapsed="false">
      <c r="B28" s="14" t="s">
        <v>283</v>
      </c>
      <c r="C28" s="22" t="n">
        <f aca="false">IF(C27="","",E25*C27)</f>
        <v>0.6</v>
      </c>
      <c r="D28" s="16" t="s">
        <v>284</v>
      </c>
    </row>
    <row r="30" customFormat="false" ht="19.5" hidden="false" customHeight="true" outlineLevel="0" collapsed="false">
      <c r="B30" s="3" t="s">
        <v>64</v>
      </c>
    </row>
    <row r="31" customFormat="false" ht="48.75" hidden="false" customHeight="true" outlineLevel="0" collapsed="false">
      <c r="B31" s="4" t="s">
        <v>285</v>
      </c>
      <c r="C31" s="4"/>
      <c r="D31" s="4"/>
    </row>
    <row r="32" customFormat="false" ht="33.75" hidden="false" customHeight="true" outlineLevel="0" collapsed="false">
      <c r="B32" s="4" t="s">
        <v>286</v>
      </c>
      <c r="C32" s="4"/>
      <c r="D32" s="4"/>
    </row>
    <row r="33" customFormat="false" ht="33.75" hidden="false" customHeight="true" outlineLevel="0" collapsed="false">
      <c r="B33" s="4" t="s">
        <v>287</v>
      </c>
      <c r="C33" s="4"/>
      <c r="D33" s="4"/>
    </row>
    <row r="35" customFormat="false" ht="19.5" hidden="false" customHeight="true" outlineLevel="0" collapsed="false">
      <c r="B35" s="3" t="s">
        <v>47</v>
      </c>
    </row>
    <row r="36" customFormat="false" ht="33.75" hidden="false" customHeight="true" outlineLevel="0" collapsed="false">
      <c r="B36" s="12" t="s">
        <v>288</v>
      </c>
      <c r="C36" s="12"/>
      <c r="D36" s="12"/>
    </row>
    <row r="38" customFormat="false" ht="19.5" hidden="false" customHeight="true" outlineLevel="0" collapsed="false">
      <c r="B38" s="3" t="s">
        <v>72</v>
      </c>
    </row>
    <row r="39" customFormat="false" ht="33.75" hidden="false" customHeight="true" outlineLevel="0" collapsed="false">
      <c r="B39" s="4" t="s">
        <v>289</v>
      </c>
      <c r="C39" s="4"/>
      <c r="D39" s="4"/>
    </row>
  </sheetData>
  <mergeCells count="11">
    <mergeCell ref="B2:N2"/>
    <mergeCell ref="B5:D5"/>
    <mergeCell ref="B6:D6"/>
    <mergeCell ref="B7:D7"/>
    <mergeCell ref="B18:D18"/>
    <mergeCell ref="B19:D19"/>
    <mergeCell ref="B31:D31"/>
    <mergeCell ref="B32:D32"/>
    <mergeCell ref="B33:D33"/>
    <mergeCell ref="B36:D36"/>
    <mergeCell ref="B39:D39"/>
  </mergeCell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7E"/>
    <pageSetUpPr fitToPage="true"/>
  </sheetPr>
  <dimension ref="B1:S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5" min="3" style="0" width="44"/>
    <col collapsed="false" customWidth="true" hidden="false" outlineLevel="0" max="8" min="6" style="0" width="12"/>
  </cols>
  <sheetData>
    <row r="1" customFormat="false" ht="30" hidden="false" customHeight="true" outlineLevel="0" collapsed="false">
      <c r="B1" s="1" t="s">
        <v>290</v>
      </c>
    </row>
    <row r="2" customFormat="false" ht="18" hidden="false" customHeight="true" outlineLevel="0" collapsed="false">
      <c r="B2" s="2" t="s">
        <v>291</v>
      </c>
      <c r="C2" s="2"/>
      <c r="D2" s="2"/>
      <c r="E2" s="2"/>
      <c r="F2" s="2"/>
      <c r="G2" s="2"/>
      <c r="H2" s="2"/>
      <c r="I2" s="2"/>
      <c r="J2" s="2"/>
      <c r="K2" s="2"/>
      <c r="L2" s="2"/>
      <c r="M2" s="2"/>
      <c r="N2" s="2"/>
    </row>
    <row r="4" customFormat="false" ht="21.75" hidden="false" customHeight="true" outlineLevel="0" collapsed="false">
      <c r="B4" s="6" t="s">
        <v>292</v>
      </c>
      <c r="C4" s="6" t="s">
        <v>293</v>
      </c>
      <c r="D4" s="6" t="s">
        <v>294</v>
      </c>
      <c r="E4" s="6" t="s">
        <v>47</v>
      </c>
    </row>
    <row r="5" customFormat="false" ht="66" hidden="false" customHeight="true" outlineLevel="0" collapsed="false">
      <c r="B5" s="54" t="s">
        <v>295</v>
      </c>
      <c r="C5" s="32" t="s">
        <v>296</v>
      </c>
      <c r="D5" s="32" t="s">
        <v>297</v>
      </c>
      <c r="E5" s="32" t="s">
        <v>298</v>
      </c>
    </row>
    <row r="6" customFormat="false" ht="66" hidden="false" customHeight="true" outlineLevel="0" collapsed="false">
      <c r="B6" s="54" t="s">
        <v>299</v>
      </c>
      <c r="C6" s="32" t="s">
        <v>300</v>
      </c>
      <c r="D6" s="32" t="s">
        <v>301</v>
      </c>
      <c r="E6" s="32" t="s">
        <v>302</v>
      </c>
    </row>
    <row r="7" customFormat="false" ht="66" hidden="false" customHeight="true" outlineLevel="0" collapsed="false">
      <c r="B7" s="54" t="s">
        <v>303</v>
      </c>
      <c r="C7" s="32" t="s">
        <v>304</v>
      </c>
      <c r="D7" s="32" t="s">
        <v>305</v>
      </c>
      <c r="E7" s="32" t="s">
        <v>306</v>
      </c>
    </row>
    <row r="8" customFormat="false" ht="51" hidden="false" customHeight="true" outlineLevel="0" collapsed="false">
      <c r="B8" s="54" t="s">
        <v>307</v>
      </c>
      <c r="C8" s="32" t="s">
        <v>308</v>
      </c>
      <c r="D8" s="32" t="s">
        <v>309</v>
      </c>
      <c r="E8" s="32" t="s">
        <v>310</v>
      </c>
    </row>
    <row r="9" customFormat="false" ht="51" hidden="false" customHeight="true" outlineLevel="0" collapsed="false">
      <c r="B9" s="54" t="s">
        <v>311</v>
      </c>
      <c r="C9" s="32" t="s">
        <v>312</v>
      </c>
      <c r="D9" s="32" t="s">
        <v>313</v>
      </c>
      <c r="E9" s="32" t="s">
        <v>314</v>
      </c>
    </row>
    <row r="10" customFormat="false" ht="66" hidden="false" customHeight="true" outlineLevel="0" collapsed="false">
      <c r="B10" s="54" t="s">
        <v>315</v>
      </c>
      <c r="C10" s="32" t="s">
        <v>316</v>
      </c>
      <c r="D10" s="32" t="s">
        <v>317</v>
      </c>
      <c r="E10" s="32" t="s">
        <v>318</v>
      </c>
    </row>
    <row r="11" customFormat="false" ht="51" hidden="false" customHeight="true" outlineLevel="0" collapsed="false">
      <c r="B11" s="54" t="s">
        <v>319</v>
      </c>
      <c r="C11" s="32" t="s">
        <v>320</v>
      </c>
      <c r="D11" s="32" t="s">
        <v>321</v>
      </c>
      <c r="E11" s="32" t="s">
        <v>322</v>
      </c>
    </row>
    <row r="12" customFormat="false" ht="51" hidden="false" customHeight="true" outlineLevel="0" collapsed="false">
      <c r="B12" s="54" t="s">
        <v>323</v>
      </c>
      <c r="C12" s="32" t="s">
        <v>324</v>
      </c>
      <c r="D12" s="32" t="s">
        <v>325</v>
      </c>
      <c r="E12" s="32" t="s">
        <v>326</v>
      </c>
    </row>
    <row r="13" customFormat="false" ht="51" hidden="false" customHeight="true" outlineLevel="0" collapsed="false">
      <c r="B13" s="54" t="s">
        <v>327</v>
      </c>
      <c r="C13" s="32" t="s">
        <v>328</v>
      </c>
      <c r="D13" s="32" t="s">
        <v>329</v>
      </c>
      <c r="E13" s="32" t="s">
        <v>330</v>
      </c>
    </row>
    <row r="14" customFormat="false" ht="51" hidden="false" customHeight="true" outlineLevel="0" collapsed="false">
      <c r="B14" s="54" t="s">
        <v>331</v>
      </c>
      <c r="C14" s="32" t="s">
        <v>332</v>
      </c>
      <c r="D14" s="32" t="s">
        <v>333</v>
      </c>
      <c r="E14" s="32" t="s">
        <v>334</v>
      </c>
    </row>
    <row r="15" customFormat="false" ht="51" hidden="false" customHeight="true" outlineLevel="0" collapsed="false">
      <c r="B15" s="54" t="s">
        <v>335</v>
      </c>
      <c r="C15" s="32" t="s">
        <v>336</v>
      </c>
      <c r="D15" s="32" t="s">
        <v>337</v>
      </c>
      <c r="E15" s="32" t="s">
        <v>338</v>
      </c>
    </row>
    <row r="16" customFormat="false" ht="51" hidden="false" customHeight="true" outlineLevel="0" collapsed="false">
      <c r="B16" s="54" t="s">
        <v>339</v>
      </c>
      <c r="C16" s="32" t="s">
        <v>340</v>
      </c>
      <c r="D16" s="32" t="s">
        <v>341</v>
      </c>
      <c r="E16" s="32" t="s">
        <v>342</v>
      </c>
    </row>
    <row r="17" customFormat="false" ht="51" hidden="false" customHeight="true" outlineLevel="0" collapsed="false">
      <c r="B17" s="54" t="s">
        <v>343</v>
      </c>
      <c r="C17" s="32" t="s">
        <v>344</v>
      </c>
      <c r="D17" s="32" t="s">
        <v>345</v>
      </c>
      <c r="E17" s="32" t="s">
        <v>346</v>
      </c>
    </row>
    <row r="18" customFormat="false" ht="36" hidden="false" customHeight="true" outlineLevel="0" collapsed="false">
      <c r="B18" s="54" t="s">
        <v>347</v>
      </c>
      <c r="C18" s="32" t="s">
        <v>348</v>
      </c>
      <c r="D18" s="32" t="s">
        <v>349</v>
      </c>
      <c r="E18" s="32" t="s">
        <v>350</v>
      </c>
    </row>
    <row r="19" customFormat="false" ht="51" hidden="false" customHeight="true" outlineLevel="0" collapsed="false">
      <c r="B19" s="54" t="s">
        <v>351</v>
      </c>
      <c r="C19" s="32" t="s">
        <v>352</v>
      </c>
      <c r="D19" s="32" t="s">
        <v>353</v>
      </c>
      <c r="E19" s="32" t="s">
        <v>354</v>
      </c>
    </row>
    <row r="20" customFormat="false" ht="51" hidden="false" customHeight="true" outlineLevel="0" collapsed="false">
      <c r="B20" s="54" t="s">
        <v>355</v>
      </c>
      <c r="C20" s="32" t="s">
        <v>356</v>
      </c>
      <c r="D20" s="32" t="s">
        <v>357</v>
      </c>
      <c r="E20" s="32" t="s">
        <v>358</v>
      </c>
    </row>
    <row r="21" customFormat="false" ht="51" hidden="false" customHeight="true" outlineLevel="0" collapsed="false">
      <c r="B21" s="54" t="s">
        <v>359</v>
      </c>
      <c r="C21" s="32" t="s">
        <v>360</v>
      </c>
      <c r="D21" s="32" t="s">
        <v>361</v>
      </c>
      <c r="E21" s="32" t="s">
        <v>362</v>
      </c>
    </row>
    <row r="22" customFormat="false" ht="36" hidden="false" customHeight="true" outlineLevel="0" collapsed="false">
      <c r="B22" s="54" t="s">
        <v>363</v>
      </c>
      <c r="C22" s="32" t="s">
        <v>364</v>
      </c>
      <c r="D22" s="32" t="s">
        <v>365</v>
      </c>
      <c r="E22" s="32" t="s">
        <v>366</v>
      </c>
    </row>
    <row r="23" customFormat="false" ht="51" hidden="false" customHeight="true" outlineLevel="0" collapsed="false">
      <c r="B23" s="54" t="s">
        <v>367</v>
      </c>
      <c r="C23" s="32" t="s">
        <v>368</v>
      </c>
      <c r="D23" s="32" t="s">
        <v>369</v>
      </c>
      <c r="E23" s="32" t="s">
        <v>370</v>
      </c>
    </row>
    <row r="24" customFormat="false" ht="51" hidden="false" customHeight="true" outlineLevel="0" collapsed="false">
      <c r="B24" s="54" t="s">
        <v>371</v>
      </c>
      <c r="C24" s="32" t="s">
        <v>372</v>
      </c>
      <c r="D24" s="32" t="s">
        <v>373</v>
      </c>
      <c r="E24" s="32" t="s">
        <v>374</v>
      </c>
    </row>
    <row r="25" customFormat="false" ht="51" hidden="false" customHeight="true" outlineLevel="0" collapsed="false">
      <c r="B25" s="54" t="s">
        <v>375</v>
      </c>
      <c r="C25" s="32" t="s">
        <v>376</v>
      </c>
      <c r="D25" s="32" t="s">
        <v>377</v>
      </c>
      <c r="E25" s="32" t="s">
        <v>378</v>
      </c>
    </row>
    <row r="26" customFormat="false" ht="51" hidden="false" customHeight="true" outlineLevel="0" collapsed="false">
      <c r="B26" s="54" t="s">
        <v>379</v>
      </c>
      <c r="C26" s="32" t="s">
        <v>380</v>
      </c>
      <c r="D26" s="32" t="s">
        <v>381</v>
      </c>
      <c r="E26" s="32" t="s">
        <v>382</v>
      </c>
    </row>
    <row r="28" customFormat="false" ht="19.5" hidden="false" customHeight="true" outlineLevel="0" collapsed="false">
      <c r="B28" s="3" t="s">
        <v>383</v>
      </c>
    </row>
    <row r="29" customFormat="false" ht="18.75" hidden="false" customHeight="true" outlineLevel="0" collapsed="false">
      <c r="B29" s="13" t="s">
        <v>384</v>
      </c>
      <c r="C29" s="13"/>
      <c r="D29" s="13"/>
      <c r="E29" s="13"/>
    </row>
    <row r="71" customFormat="false" ht="15" hidden="false" customHeight="false" outlineLevel="0" collapsed="false">
      <c r="B71" s="55" t="s">
        <v>385</v>
      </c>
    </row>
    <row r="72" customFormat="false" ht="15" hidden="false" customHeight="false" outlineLevel="0" collapsed="false">
      <c r="B72" s="0" t="s">
        <v>386</v>
      </c>
      <c r="C72" s="0" t="s">
        <v>387</v>
      </c>
      <c r="D72" s="0" t="s">
        <v>388</v>
      </c>
      <c r="F72" s="0" t="s">
        <v>389</v>
      </c>
      <c r="G72" s="0" t="s">
        <v>224</v>
      </c>
      <c r="H72" s="0" t="s">
        <v>390</v>
      </c>
      <c r="J72" s="0" t="s">
        <v>386</v>
      </c>
      <c r="K72" s="0" t="s">
        <v>391</v>
      </c>
      <c r="L72" s="0" t="s">
        <v>392</v>
      </c>
      <c r="M72" s="0" t="s">
        <v>161</v>
      </c>
      <c r="N72" s="0" t="s">
        <v>163</v>
      </c>
      <c r="O72" s="0" t="s">
        <v>393</v>
      </c>
      <c r="Q72" s="0" t="s">
        <v>394</v>
      </c>
      <c r="R72" s="0" t="s">
        <v>395</v>
      </c>
      <c r="S72" s="0" t="s">
        <v>396</v>
      </c>
    </row>
    <row r="73" customFormat="false" ht="15" hidden="false" customHeight="false" outlineLevel="0" collapsed="false">
      <c r="B73" s="0" t="n">
        <v>1</v>
      </c>
      <c r="C73" s="0" t="n">
        <v>100</v>
      </c>
      <c r="D73" s="0" t="n">
        <v>100</v>
      </c>
      <c r="F73" s="0" t="n">
        <v>0</v>
      </c>
      <c r="G73" s="0" t="n">
        <v>0</v>
      </c>
      <c r="H73" s="0" t="n">
        <v>0</v>
      </c>
      <c r="J73" s="0" t="n">
        <v>1</v>
      </c>
      <c r="K73" s="0" t="n">
        <v>1</v>
      </c>
      <c r="L73" s="0" t="n">
        <v>0</v>
      </c>
      <c r="M73" s="0" t="n">
        <v>0</v>
      </c>
      <c r="N73" s="0" t="n">
        <v>0</v>
      </c>
      <c r="O73" s="0" t="n">
        <v>0</v>
      </c>
      <c r="Q73" s="0" t="s">
        <v>397</v>
      </c>
      <c r="R73" s="0" t="n">
        <v>8.3</v>
      </c>
      <c r="S73" s="0" t="n">
        <v>30778</v>
      </c>
    </row>
    <row r="74" customFormat="false" ht="15" hidden="false" customHeight="false" outlineLevel="0" collapsed="false">
      <c r="B74" s="0" t="n">
        <v>2</v>
      </c>
      <c r="C74" s="0" t="n">
        <v>100</v>
      </c>
      <c r="D74" s="0" t="n">
        <v>160</v>
      </c>
      <c r="F74" s="0" t="n">
        <v>100</v>
      </c>
      <c r="G74" s="0" t="n">
        <v>525</v>
      </c>
      <c r="H74" s="0" t="n">
        <v>330</v>
      </c>
      <c r="J74" s="0" t="n">
        <v>2</v>
      </c>
      <c r="K74" s="0" t="n">
        <v>1</v>
      </c>
      <c r="L74" s="0" t="n">
        <v>0</v>
      </c>
      <c r="M74" s="0" t="n">
        <v>0</v>
      </c>
      <c r="N74" s="0" t="n">
        <v>0</v>
      </c>
      <c r="O74" s="0" t="n">
        <v>0</v>
      </c>
      <c r="Q74" s="0" t="s">
        <v>398</v>
      </c>
      <c r="R74" s="0" t="n">
        <v>6.6</v>
      </c>
      <c r="S74" s="0" t="n">
        <v>23325</v>
      </c>
    </row>
    <row r="75" customFormat="false" ht="15" hidden="false" customHeight="false" outlineLevel="0" collapsed="false">
      <c r="B75" s="0" t="n">
        <v>3</v>
      </c>
      <c r="C75" s="0" t="n">
        <v>100</v>
      </c>
      <c r="D75" s="0" t="n">
        <v>196</v>
      </c>
      <c r="F75" s="0" t="n">
        <v>200</v>
      </c>
      <c r="G75" s="0" t="n">
        <v>742</v>
      </c>
      <c r="H75" s="0" t="n">
        <v>660</v>
      </c>
      <c r="J75" s="0" t="n">
        <v>3</v>
      </c>
      <c r="K75" s="0" t="n">
        <v>1</v>
      </c>
      <c r="L75" s="0" t="n">
        <v>0</v>
      </c>
      <c r="M75" s="0" t="n">
        <v>0</v>
      </c>
      <c r="N75" s="0" t="n">
        <v>0</v>
      </c>
      <c r="O75" s="0" t="n">
        <v>0</v>
      </c>
      <c r="Q75" s="0" t="s">
        <v>399</v>
      </c>
      <c r="R75" s="0" t="n">
        <v>3.2</v>
      </c>
      <c r="S75" s="0" t="n">
        <v>12178</v>
      </c>
    </row>
    <row r="76" customFormat="false" ht="15" hidden="false" customHeight="false" outlineLevel="0" collapsed="false">
      <c r="B76" s="0" t="n">
        <v>4</v>
      </c>
      <c r="C76" s="0" t="n">
        <v>0</v>
      </c>
      <c r="D76" s="0" t="n">
        <v>118</v>
      </c>
      <c r="F76" s="0" t="n">
        <v>300</v>
      </c>
      <c r="G76" s="0" t="n">
        <v>909</v>
      </c>
      <c r="H76" s="0" t="n">
        <v>990</v>
      </c>
      <c r="J76" s="0" t="n">
        <v>4</v>
      </c>
      <c r="K76" s="0" t="n">
        <v>1</v>
      </c>
      <c r="L76" s="0" t="n">
        <v>1</v>
      </c>
      <c r="M76" s="0" t="n">
        <v>0</v>
      </c>
      <c r="N76" s="0" t="n">
        <v>0</v>
      </c>
      <c r="O76" s="0" t="n">
        <v>0</v>
      </c>
    </row>
    <row r="77" customFormat="false" ht="15" hidden="false" customHeight="false" outlineLevel="0" collapsed="false">
      <c r="B77" s="0" t="n">
        <v>5</v>
      </c>
      <c r="C77" s="0" t="n">
        <v>0</v>
      </c>
      <c r="D77" s="0" t="n">
        <v>71</v>
      </c>
      <c r="F77" s="0" t="n">
        <v>400</v>
      </c>
      <c r="G77" s="0" t="n">
        <v>1050</v>
      </c>
      <c r="H77" s="0" t="n">
        <v>1320</v>
      </c>
      <c r="J77" s="0" t="n">
        <v>5</v>
      </c>
      <c r="K77" s="0" t="n">
        <v>1</v>
      </c>
      <c r="L77" s="0" t="n">
        <v>1</v>
      </c>
      <c r="M77" s="0" t="n">
        <v>0</v>
      </c>
      <c r="N77" s="0" t="n">
        <v>0</v>
      </c>
      <c r="O77" s="0" t="n">
        <v>0</v>
      </c>
    </row>
    <row r="78" customFormat="false" ht="15" hidden="false" customHeight="false" outlineLevel="0" collapsed="false">
      <c r="B78" s="0" t="n">
        <v>6</v>
      </c>
      <c r="C78" s="0" t="n">
        <v>0</v>
      </c>
      <c r="D78" s="0" t="n">
        <v>42</v>
      </c>
      <c r="F78" s="0" t="n">
        <v>500</v>
      </c>
      <c r="G78" s="0" t="n">
        <v>1174</v>
      </c>
      <c r="H78" s="0" t="n">
        <v>1650</v>
      </c>
      <c r="J78" s="0" t="n">
        <v>6</v>
      </c>
      <c r="K78" s="0" t="n">
        <v>1</v>
      </c>
      <c r="L78" s="0" t="n">
        <v>1</v>
      </c>
      <c r="M78" s="0" t="n">
        <v>0</v>
      </c>
      <c r="N78" s="0" t="n">
        <v>0</v>
      </c>
      <c r="O78" s="0" t="n">
        <v>0</v>
      </c>
    </row>
    <row r="79" customFormat="false" ht="15" hidden="false" customHeight="false" outlineLevel="0" collapsed="false">
      <c r="B79" s="0" t="n">
        <v>7</v>
      </c>
      <c r="C79" s="0" t="n">
        <v>0</v>
      </c>
      <c r="D79" s="0" t="n">
        <v>25</v>
      </c>
      <c r="F79" s="0" t="n">
        <v>600</v>
      </c>
      <c r="G79" s="0" t="n">
        <v>1286</v>
      </c>
      <c r="H79" s="0" t="n">
        <v>1980</v>
      </c>
      <c r="J79" s="0" t="n">
        <v>7</v>
      </c>
      <c r="K79" s="0" t="n">
        <v>1</v>
      </c>
      <c r="L79" s="0" t="n">
        <v>1</v>
      </c>
      <c r="M79" s="0" t="n">
        <v>1</v>
      </c>
      <c r="N79" s="0" t="n">
        <v>0</v>
      </c>
      <c r="O79" s="0" t="n">
        <v>0</v>
      </c>
    </row>
    <row r="80" customFormat="false" ht="15" hidden="false" customHeight="false" outlineLevel="0" collapsed="false">
      <c r="B80" s="0" t="n">
        <v>8</v>
      </c>
      <c r="C80" s="0" t="n">
        <v>0</v>
      </c>
      <c r="D80" s="0" t="n">
        <v>15</v>
      </c>
      <c r="F80" s="0" t="n">
        <v>700</v>
      </c>
      <c r="G80" s="0" t="n">
        <v>1389</v>
      </c>
      <c r="H80" s="0" t="n">
        <v>2310</v>
      </c>
      <c r="J80" s="0" t="n">
        <v>8</v>
      </c>
      <c r="K80" s="0" t="n">
        <v>1</v>
      </c>
      <c r="L80" s="0" t="n">
        <v>1</v>
      </c>
      <c r="M80" s="0" t="n">
        <v>1</v>
      </c>
      <c r="N80" s="0" t="n">
        <v>0</v>
      </c>
      <c r="O80" s="0" t="n">
        <v>0</v>
      </c>
    </row>
    <row r="81" customFormat="false" ht="15" hidden="false" customHeight="false" outlineLevel="0" collapsed="false">
      <c r="B81" s="0" t="n">
        <v>9</v>
      </c>
      <c r="C81" s="0" t="n">
        <v>0</v>
      </c>
      <c r="D81" s="0" t="n">
        <v>9</v>
      </c>
      <c r="F81" s="0" t="n">
        <v>800</v>
      </c>
      <c r="G81" s="0" t="n">
        <v>1485</v>
      </c>
      <c r="H81" s="0" t="n">
        <v>2640</v>
      </c>
      <c r="J81" s="0" t="n">
        <v>9</v>
      </c>
      <c r="K81" s="0" t="n">
        <v>1</v>
      </c>
      <c r="L81" s="0" t="n">
        <v>1</v>
      </c>
      <c r="M81" s="0" t="n">
        <v>1</v>
      </c>
      <c r="N81" s="0" t="n">
        <v>0</v>
      </c>
      <c r="O81" s="0" t="n">
        <v>0</v>
      </c>
    </row>
    <row r="82" customFormat="false" ht="15" hidden="false" customHeight="false" outlineLevel="0" collapsed="false">
      <c r="B82" s="0" t="n">
        <v>10</v>
      </c>
      <c r="C82" s="0" t="n">
        <v>0</v>
      </c>
      <c r="D82" s="0" t="n">
        <v>5</v>
      </c>
      <c r="F82" s="0" t="n">
        <v>900</v>
      </c>
      <c r="G82" s="0" t="n">
        <v>1575</v>
      </c>
      <c r="H82" s="0" t="n">
        <v>2970</v>
      </c>
      <c r="J82" s="0" t="n">
        <v>10</v>
      </c>
      <c r="K82" s="0" t="n">
        <v>1</v>
      </c>
      <c r="L82" s="0" t="n">
        <v>1</v>
      </c>
      <c r="M82" s="0" t="n">
        <v>0</v>
      </c>
      <c r="N82" s="0" t="n">
        <v>0</v>
      </c>
      <c r="O82" s="0" t="n">
        <v>0</v>
      </c>
    </row>
    <row r="83" customFormat="false" ht="15" hidden="false" customHeight="false" outlineLevel="0" collapsed="false">
      <c r="B83" s="0" t="n">
        <v>11</v>
      </c>
      <c r="C83" s="0" t="n">
        <v>0</v>
      </c>
      <c r="D83" s="0" t="n">
        <v>3</v>
      </c>
      <c r="F83" s="0" t="n">
        <v>1000</v>
      </c>
      <c r="G83" s="0" t="n">
        <v>1660</v>
      </c>
      <c r="H83" s="0" t="n">
        <v>3300</v>
      </c>
      <c r="J83" s="0" t="n">
        <v>11</v>
      </c>
      <c r="K83" s="0" t="n">
        <v>1</v>
      </c>
      <c r="L83" s="0" t="n">
        <v>1</v>
      </c>
      <c r="M83" s="0" t="n">
        <v>0</v>
      </c>
      <c r="N83" s="0" t="n">
        <v>0</v>
      </c>
      <c r="O83" s="0" t="n">
        <v>0</v>
      </c>
    </row>
    <row r="84" customFormat="false" ht="15" hidden="false" customHeight="false" outlineLevel="0" collapsed="false">
      <c r="B84" s="0" t="n">
        <v>12</v>
      </c>
      <c r="C84" s="0" t="n">
        <v>0</v>
      </c>
      <c r="D84" s="0" t="n">
        <v>2</v>
      </c>
      <c r="J84" s="0" t="n">
        <v>12</v>
      </c>
      <c r="K84" s="0" t="n">
        <v>1</v>
      </c>
      <c r="L84" s="0" t="n">
        <v>1</v>
      </c>
      <c r="M84" s="0" t="n">
        <v>1</v>
      </c>
      <c r="N84" s="0" t="n">
        <v>1</v>
      </c>
      <c r="O84" s="0" t="n">
        <v>0</v>
      </c>
    </row>
    <row r="85" customFormat="false" ht="15" hidden="false" customHeight="false" outlineLevel="0" collapsed="false">
      <c r="B85" s="0" t="n">
        <v>13</v>
      </c>
      <c r="C85" s="0" t="n">
        <v>0</v>
      </c>
      <c r="D85" s="0" t="n">
        <v>1</v>
      </c>
      <c r="J85" s="0" t="n">
        <v>13</v>
      </c>
      <c r="K85" s="0" t="n">
        <v>1</v>
      </c>
      <c r="L85" s="0" t="n">
        <v>1</v>
      </c>
      <c r="M85" s="0" t="n">
        <v>1</v>
      </c>
      <c r="N85" s="0" t="n">
        <v>1</v>
      </c>
      <c r="O85" s="0" t="n">
        <v>0</v>
      </c>
    </row>
    <row r="86" customFormat="false" ht="15" hidden="false" customHeight="false" outlineLevel="0" collapsed="false">
      <c r="B86" s="0" t="n">
        <v>14</v>
      </c>
      <c r="C86" s="0" t="n">
        <v>0</v>
      </c>
      <c r="D86" s="0" t="n">
        <v>1</v>
      </c>
      <c r="J86" s="0" t="n">
        <v>14</v>
      </c>
      <c r="K86" s="0" t="n">
        <v>1</v>
      </c>
      <c r="L86" s="0" t="n">
        <v>1</v>
      </c>
      <c r="M86" s="0" t="n">
        <v>1</v>
      </c>
      <c r="N86" s="0" t="n">
        <v>1</v>
      </c>
      <c r="O86" s="0" t="n">
        <v>0</v>
      </c>
    </row>
    <row r="87" customFormat="false" ht="15" hidden="false" customHeight="false" outlineLevel="0" collapsed="false">
      <c r="B87" s="0" t="n">
        <v>15</v>
      </c>
      <c r="C87" s="0" t="n">
        <v>0</v>
      </c>
      <c r="D87" s="0" t="n">
        <v>0</v>
      </c>
      <c r="J87" s="0" t="n">
        <v>15</v>
      </c>
      <c r="K87" s="0" t="n">
        <v>1</v>
      </c>
      <c r="L87" s="0" t="n">
        <v>1</v>
      </c>
      <c r="M87" s="0" t="n">
        <v>0</v>
      </c>
      <c r="N87" s="0" t="n">
        <v>0</v>
      </c>
      <c r="O87" s="0" t="n">
        <v>0</v>
      </c>
    </row>
    <row r="88" customFormat="false" ht="15" hidden="false" customHeight="false" outlineLevel="0" collapsed="false">
      <c r="B88" s="0" t="n">
        <v>16</v>
      </c>
      <c r="C88" s="0" t="n">
        <v>0</v>
      </c>
      <c r="D88" s="0" t="n">
        <v>0</v>
      </c>
      <c r="J88" s="0" t="n">
        <v>16</v>
      </c>
      <c r="K88" s="0" t="n">
        <v>1</v>
      </c>
      <c r="L88" s="0" t="n">
        <v>1</v>
      </c>
      <c r="M88" s="0" t="n">
        <v>0</v>
      </c>
      <c r="N88" s="0" t="n">
        <v>0</v>
      </c>
      <c r="O88" s="0" t="n">
        <v>0</v>
      </c>
    </row>
    <row r="89" customFormat="false" ht="15" hidden="false" customHeight="false" outlineLevel="0" collapsed="false">
      <c r="J89" s="0" t="n">
        <v>17</v>
      </c>
      <c r="K89" s="0" t="n">
        <v>1</v>
      </c>
      <c r="L89" s="0" t="n">
        <v>1</v>
      </c>
      <c r="M89" s="0" t="n">
        <v>1</v>
      </c>
      <c r="N89" s="0" t="n">
        <v>1</v>
      </c>
      <c r="O89" s="0" t="n">
        <v>1</v>
      </c>
    </row>
    <row r="90" customFormat="false" ht="15" hidden="false" customHeight="false" outlineLevel="0" collapsed="false">
      <c r="J90" s="0" t="n">
        <v>18</v>
      </c>
      <c r="K90" s="0" t="n">
        <v>1</v>
      </c>
      <c r="L90" s="0" t="n">
        <v>1</v>
      </c>
      <c r="M90" s="0" t="n">
        <v>1</v>
      </c>
      <c r="N90" s="0" t="n">
        <v>1</v>
      </c>
      <c r="O90" s="0" t="n">
        <v>1</v>
      </c>
    </row>
    <row r="91" customFormat="false" ht="15" hidden="false" customHeight="false" outlineLevel="0" collapsed="false">
      <c r="J91" s="0" t="n">
        <v>19</v>
      </c>
      <c r="K91" s="0" t="n">
        <v>1</v>
      </c>
      <c r="L91" s="0" t="n">
        <v>1</v>
      </c>
      <c r="M91" s="0" t="n">
        <v>1</v>
      </c>
      <c r="N91" s="0" t="n">
        <v>1</v>
      </c>
      <c r="O91" s="0" t="n">
        <v>1</v>
      </c>
    </row>
    <row r="92" customFormat="false" ht="15" hidden="false" customHeight="false" outlineLevel="0" collapsed="false">
      <c r="J92" s="0" t="n">
        <v>20</v>
      </c>
      <c r="K92" s="0" t="n">
        <v>1</v>
      </c>
      <c r="L92" s="0" t="n">
        <v>1</v>
      </c>
      <c r="M92" s="0" t="n">
        <v>0</v>
      </c>
      <c r="N92" s="0" t="n">
        <v>0</v>
      </c>
      <c r="O92" s="0" t="n">
        <v>0</v>
      </c>
    </row>
    <row r="93" customFormat="false" ht="15" hidden="false" customHeight="false" outlineLevel="0" collapsed="false">
      <c r="J93" s="0" t="n">
        <v>21</v>
      </c>
      <c r="K93" s="0" t="n">
        <v>1</v>
      </c>
      <c r="L93" s="0" t="n">
        <v>1</v>
      </c>
      <c r="M93" s="0" t="n">
        <v>0</v>
      </c>
      <c r="N93" s="0" t="n">
        <v>0</v>
      </c>
      <c r="O93" s="0" t="n">
        <v>0</v>
      </c>
    </row>
    <row r="94" customFormat="false" ht="15" hidden="false" customHeight="false" outlineLevel="0" collapsed="false">
      <c r="J94" s="0" t="n">
        <v>22</v>
      </c>
      <c r="K94" s="0" t="n">
        <v>1</v>
      </c>
      <c r="L94" s="0" t="n">
        <v>1</v>
      </c>
      <c r="M94" s="0" t="n">
        <v>0</v>
      </c>
      <c r="N94" s="0" t="n">
        <v>0</v>
      </c>
      <c r="O94" s="0" t="n">
        <v>0</v>
      </c>
    </row>
  </sheetData>
  <mergeCells count="2">
    <mergeCell ref="B2:N2"/>
    <mergeCell ref="B29:E29"/>
  </mergeCell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8787"/>
    <pageSetUpPr fitToPage="false"/>
  </sheetPr>
  <dimension ref="A1:CB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80" min="2" style="0" width="13"/>
  </cols>
  <sheetData>
    <row r="1" customFormat="false" ht="19.7" hidden="false" customHeight="false" outlineLevel="0" collapsed="false">
      <c r="A1" s="1" t="s">
        <v>400</v>
      </c>
    </row>
    <row r="2" customFormat="false" ht="33.75" hidden="false" customHeight="true" outlineLevel="0" collapsed="false">
      <c r="A2" s="56" t="s">
        <v>401</v>
      </c>
      <c r="B2" s="56"/>
      <c r="C2" s="56"/>
      <c r="D2" s="56"/>
      <c r="E2" s="56"/>
      <c r="F2" s="56"/>
      <c r="G2" s="56"/>
      <c r="H2" s="56"/>
      <c r="I2" s="56"/>
      <c r="J2" s="56"/>
      <c r="K2" s="56"/>
      <c r="L2" s="56"/>
      <c r="M2" s="56"/>
      <c r="N2" s="56"/>
      <c r="O2" s="56"/>
      <c r="P2" s="56"/>
      <c r="Q2" s="56"/>
      <c r="R2" s="56"/>
      <c r="S2" s="56"/>
      <c r="T2" s="56"/>
    </row>
    <row r="3" customFormat="false" ht="15" hidden="false" customHeight="false" outlineLevel="0" collapsed="false">
      <c r="A3" s="57" t="s">
        <v>402</v>
      </c>
      <c r="B3" s="57"/>
      <c r="C3" s="57"/>
      <c r="D3" s="57"/>
      <c r="E3" s="57"/>
      <c r="F3" s="57"/>
      <c r="G3" s="57"/>
      <c r="H3" s="57"/>
      <c r="I3" s="57"/>
      <c r="J3" s="57"/>
      <c r="K3" s="57"/>
      <c r="L3" s="57"/>
      <c r="M3" s="57"/>
      <c r="N3" s="57"/>
      <c r="O3" s="57"/>
      <c r="P3" s="57"/>
      <c r="Q3" s="57"/>
      <c r="R3" s="57"/>
      <c r="S3" s="57"/>
      <c r="T3" s="57"/>
    </row>
    <row r="5" customFormat="false" ht="43.5" hidden="false" customHeight="true" outlineLevel="0" collapsed="false">
      <c r="A5" s="6" t="s">
        <v>403</v>
      </c>
      <c r="B5" s="6" t="s">
        <v>394</v>
      </c>
      <c r="C5" s="6" t="s">
        <v>404</v>
      </c>
      <c r="D5" s="6" t="s">
        <v>405</v>
      </c>
      <c r="E5" s="6" t="s">
        <v>406</v>
      </c>
      <c r="F5" s="6" t="s">
        <v>407</v>
      </c>
      <c r="G5" s="6" t="s">
        <v>408</v>
      </c>
      <c r="H5" s="6" t="s">
        <v>409</v>
      </c>
      <c r="I5" s="6" t="s">
        <v>410</v>
      </c>
      <c r="J5" s="6" t="s">
        <v>411</v>
      </c>
      <c r="K5" s="6" t="s">
        <v>412</v>
      </c>
      <c r="L5" s="6" t="s">
        <v>413</v>
      </c>
      <c r="M5" s="6" t="s">
        <v>414</v>
      </c>
      <c r="N5" s="6" t="s">
        <v>415</v>
      </c>
      <c r="O5" s="6" t="s">
        <v>416</v>
      </c>
      <c r="P5" s="6" t="s">
        <v>417</v>
      </c>
      <c r="Q5" s="6" t="s">
        <v>418</v>
      </c>
      <c r="R5" s="6" t="s">
        <v>419</v>
      </c>
      <c r="S5" s="6" t="s">
        <v>420</v>
      </c>
      <c r="T5" s="6" t="s">
        <v>421</v>
      </c>
      <c r="U5" s="6" t="s">
        <v>422</v>
      </c>
      <c r="V5" s="6" t="s">
        <v>423</v>
      </c>
      <c r="W5" s="6" t="s">
        <v>424</v>
      </c>
      <c r="X5" s="6" t="s">
        <v>425</v>
      </c>
      <c r="Y5" s="6" t="s">
        <v>426</v>
      </c>
      <c r="Z5" s="6" t="s">
        <v>427</v>
      </c>
      <c r="AA5" s="6" t="s">
        <v>428</v>
      </c>
      <c r="AB5" s="6" t="s">
        <v>429</v>
      </c>
      <c r="AC5" s="6" t="s">
        <v>430</v>
      </c>
      <c r="AD5" s="6" t="s">
        <v>431</v>
      </c>
      <c r="AE5" s="6" t="s">
        <v>432</v>
      </c>
      <c r="AF5" s="6" t="s">
        <v>433</v>
      </c>
      <c r="AG5" s="6" t="s">
        <v>434</v>
      </c>
      <c r="AH5" s="6" t="s">
        <v>435</v>
      </c>
      <c r="AI5" s="6" t="s">
        <v>436</v>
      </c>
      <c r="AJ5" s="6" t="s">
        <v>437</v>
      </c>
      <c r="AK5" s="6" t="s">
        <v>438</v>
      </c>
      <c r="AL5" s="6" t="s">
        <v>439</v>
      </c>
      <c r="AM5" s="6" t="s">
        <v>440</v>
      </c>
      <c r="AN5" s="6" t="s">
        <v>441</v>
      </c>
      <c r="AO5" s="6" t="s">
        <v>442</v>
      </c>
      <c r="AP5" s="6" t="s">
        <v>443</v>
      </c>
      <c r="AQ5" s="6" t="s">
        <v>444</v>
      </c>
      <c r="AR5" s="6" t="s">
        <v>445</v>
      </c>
      <c r="AS5" s="6" t="s">
        <v>446</v>
      </c>
      <c r="AT5" s="6" t="s">
        <v>447</v>
      </c>
      <c r="AU5" s="6" t="s">
        <v>448</v>
      </c>
      <c r="AV5" s="6" t="s">
        <v>449</v>
      </c>
      <c r="AW5" s="6" t="s">
        <v>450</v>
      </c>
      <c r="AX5" s="6" t="s">
        <v>451</v>
      </c>
      <c r="AY5" s="6" t="s">
        <v>452</v>
      </c>
      <c r="AZ5" s="6" t="s">
        <v>453</v>
      </c>
      <c r="BA5" s="6" t="s">
        <v>454</v>
      </c>
      <c r="BB5" s="6" t="s">
        <v>455</v>
      </c>
      <c r="BC5" s="6" t="s">
        <v>456</v>
      </c>
      <c r="BD5" s="6" t="s">
        <v>457</v>
      </c>
      <c r="BE5" s="6" t="s">
        <v>458</v>
      </c>
      <c r="BF5" s="6" t="s">
        <v>459</v>
      </c>
      <c r="BG5" s="6" t="s">
        <v>460</v>
      </c>
      <c r="BH5" s="6" t="s">
        <v>461</v>
      </c>
      <c r="BI5" s="6" t="s">
        <v>462</v>
      </c>
      <c r="BJ5" s="6" t="s">
        <v>463</v>
      </c>
      <c r="BK5" s="6" t="s">
        <v>464</v>
      </c>
      <c r="BL5" s="6" t="s">
        <v>465</v>
      </c>
      <c r="BM5" s="6" t="s">
        <v>466</v>
      </c>
      <c r="BN5" s="6" t="s">
        <v>467</v>
      </c>
      <c r="BO5" s="6" t="s">
        <v>468</v>
      </c>
      <c r="BP5" s="6" t="s">
        <v>469</v>
      </c>
      <c r="BQ5" s="6" t="s">
        <v>470</v>
      </c>
      <c r="BR5" s="6" t="s">
        <v>471</v>
      </c>
      <c r="BS5" s="6" t="s">
        <v>472</v>
      </c>
      <c r="BT5" s="6" t="s">
        <v>473</v>
      </c>
      <c r="BU5" s="6" t="s">
        <v>474</v>
      </c>
      <c r="BV5" s="6" t="s">
        <v>475</v>
      </c>
      <c r="BW5" s="6" t="s">
        <v>476</v>
      </c>
      <c r="BX5" s="6" t="s">
        <v>477</v>
      </c>
      <c r="BY5" s="6" t="s">
        <v>478</v>
      </c>
      <c r="BZ5" s="6" t="s">
        <v>479</v>
      </c>
      <c r="CA5" s="6" t="s">
        <v>480</v>
      </c>
      <c r="CB5" s="6" t="s">
        <v>481</v>
      </c>
    </row>
    <row r="6" customFormat="false" ht="15" hidden="false" customHeight="false" outlineLevel="0" collapsed="false">
      <c r="A6" s="58" t="n">
        <v>44934</v>
      </c>
      <c r="B6" s="59" t="n">
        <f aca="false">YEAR(A6)</f>
        <v>2023</v>
      </c>
      <c r="C6" s="59" t="n">
        <f aca="false">MONTH(A6)</f>
        <v>1</v>
      </c>
      <c r="D6" s="60" t="n">
        <v>15469</v>
      </c>
      <c r="E6" s="61" t="n">
        <v>0.6228</v>
      </c>
      <c r="F6" s="61" t="n">
        <v>0.059</v>
      </c>
      <c r="G6" s="61" t="n">
        <v>0.7291</v>
      </c>
      <c r="H6" s="60" t="n">
        <v>112.9</v>
      </c>
      <c r="I6" s="60" t="n">
        <f aca="false">H6</f>
        <v>112.9</v>
      </c>
      <c r="J6" s="60" t="n">
        <v>480.94</v>
      </c>
      <c r="K6" s="60" t="n">
        <v>88.32</v>
      </c>
      <c r="L6" s="60" t="n">
        <v>93.95</v>
      </c>
      <c r="M6" s="60" t="n">
        <f aca="false">L6</f>
        <v>93.95</v>
      </c>
      <c r="N6" s="60" t="n">
        <v>0</v>
      </c>
      <c r="O6" s="60" t="n">
        <v>0</v>
      </c>
      <c r="P6" s="60" t="n">
        <v>53.8</v>
      </c>
      <c r="Q6" s="60" t="n">
        <v>0</v>
      </c>
      <c r="R6" s="60" t="n">
        <v>43.63</v>
      </c>
      <c r="S6" s="60" t="n">
        <f aca="false">N6</f>
        <v>0</v>
      </c>
      <c r="T6" s="60" t="n">
        <f aca="false">O6</f>
        <v>0</v>
      </c>
      <c r="U6" s="60" t="n">
        <f aca="false">P6</f>
        <v>53.8</v>
      </c>
      <c r="V6" s="60" t="n">
        <f aca="false">Q6</f>
        <v>0</v>
      </c>
      <c r="W6" s="60" t="n">
        <f aca="false">R6</f>
        <v>43.63</v>
      </c>
      <c r="X6" s="60" t="n">
        <f aca="false">IF('Level 1'!$C$11="",0,'Level 1'!$C$11)*E6</f>
        <v>0</v>
      </c>
      <c r="Y6" s="60" t="n">
        <f aca="false">-IF('Level 2'!$C$11="",0,'Level 2'!$C$11)*F6</f>
        <v>-0</v>
      </c>
      <c r="Z6" s="60" t="n">
        <f aca="false">IF('Level 3'!$C$11="",0,'Level 3'!$C$11)*G6</f>
        <v>0</v>
      </c>
      <c r="AA6" s="60" t="n">
        <f aca="false">IF('Level 4'!$C$11="",0,'Level 4'!$C$11)*(1-'Level 4'!$C$12/100)*I6</f>
        <v>0</v>
      </c>
      <c r="AB6" s="60" t="n">
        <f aca="false">IF('Level 5'!$C$11="",0,'Level 5'!$C$11)*J6</f>
        <v>0</v>
      </c>
      <c r="AC6" s="60" t="n">
        <f aca="false">IF('Level 5'!$C$12="",0,'Level 5'!$C$12)*K6</f>
        <v>0</v>
      </c>
      <c r="AD6" s="60" t="n">
        <f aca="false">IF('Level 5'!$C$13="",0,'Level 5'!$C$13)*(1-Answers!$C$14/100)*M6</f>
        <v>0</v>
      </c>
      <c r="AE6" s="60" t="n">
        <f aca="false">IF('Level 6'!$C$11="",0,'Level 6'!$C$11)*(1-Answers!$C$16/100)*S6</f>
        <v>0</v>
      </c>
      <c r="AF6" s="60" t="n">
        <f aca="false">IF('Level 6'!$C$12="",0,'Level 6'!$C$12)*(1-Answers!$C$17/100)*T6</f>
        <v>0</v>
      </c>
      <c r="AG6" s="60" t="n">
        <f aca="false">IF('Level 6'!$C$13="",0,'Level 6'!$C$13)*(1-Answers!$C$18/100)*U6</f>
        <v>0</v>
      </c>
      <c r="AH6" s="60" t="n">
        <f aca="false">IF('Level 6'!$C$14="",0,'Level 6'!$C$14)*(1-Answers!$C$19/100)*V6</f>
        <v>0</v>
      </c>
      <c r="AI6" s="60" t="n">
        <f aca="false">IF('Level 6'!$C$15="",0,'Level 6'!$C$15)*(1-Answers!$C$20/100)*W6</f>
        <v>0</v>
      </c>
      <c r="AJ6" s="60" t="n">
        <f aca="false">X6</f>
        <v>0</v>
      </c>
      <c r="AK6" s="60" t="n">
        <f aca="false">X6+Y6</f>
        <v>0</v>
      </c>
      <c r="AL6" s="60" t="n">
        <f aca="false">AK6+Z6</f>
        <v>0</v>
      </c>
      <c r="AM6" s="60" t="n">
        <f aca="false">AL6+AA6</f>
        <v>0</v>
      </c>
      <c r="AN6" s="60" t="n">
        <f aca="false">AM6+AB6+AC6+AD6</f>
        <v>0</v>
      </c>
      <c r="AO6" s="60" t="n">
        <f aca="false">AL6+AE6+AF6+AG6+AH6+AI6+AB6+AC6+AD6</f>
        <v>0</v>
      </c>
      <c r="AP6" s="60" t="n">
        <f aca="false">IF(Answers!$C$22="Yes",AO6,AN6)</f>
        <v>0</v>
      </c>
      <c r="AQ6" s="60" t="n">
        <v>545.3</v>
      </c>
      <c r="AR6" s="60" t="n">
        <v>-56.2</v>
      </c>
      <c r="AS6" s="60" t="n">
        <v>5539.2</v>
      </c>
      <c r="AT6" s="60" t="n">
        <v>279.3</v>
      </c>
      <c r="AU6" s="60" t="n">
        <v>1858.5</v>
      </c>
      <c r="AV6" s="60" t="n">
        <v>325.9</v>
      </c>
      <c r="AW6" s="60" t="n">
        <v>169.5</v>
      </c>
      <c r="AX6" s="60" t="n">
        <v>0</v>
      </c>
      <c r="AY6" s="60" t="n">
        <v>0</v>
      </c>
      <c r="AZ6" s="60" t="n">
        <v>141.1</v>
      </c>
      <c r="BA6" s="60" t="n">
        <v>0</v>
      </c>
      <c r="BB6" s="60" t="n">
        <v>138.2</v>
      </c>
      <c r="BC6" s="60" t="n">
        <f aca="false">AQ6+AR6+AS6+AT6+AU6+AV6+AW6</f>
        <v>8661.5</v>
      </c>
      <c r="BD6" s="60" t="n">
        <f aca="false">AQ6</f>
        <v>545.3</v>
      </c>
      <c r="BE6" s="60" t="n">
        <f aca="false">AQ6+AR6</f>
        <v>489.1</v>
      </c>
      <c r="BF6" s="60" t="n">
        <f aca="false">BE6+AS6</f>
        <v>6028.3</v>
      </c>
      <c r="BG6" s="60" t="n">
        <f aca="false">BF6+AT6</f>
        <v>6307.6</v>
      </c>
      <c r="BH6" s="60" t="n">
        <f aca="false">BG6+AU6+AV6+AW6</f>
        <v>8661.5</v>
      </c>
      <c r="BI6" s="60" t="n">
        <f aca="false">BC6</f>
        <v>8661.5</v>
      </c>
      <c r="BJ6" s="60" t="n">
        <f aca="false">IF('Level 1'!$C$31="Yes",BD6,AJ6)</f>
        <v>0</v>
      </c>
      <c r="BK6" s="60" t="n">
        <f aca="false">IF('Level 2'!$C$31="Yes",BE6,AK6)</f>
        <v>0</v>
      </c>
      <c r="BL6" s="60" t="n">
        <f aca="false">IF('Level 3'!$C$31="Yes",BF6,AL6)</f>
        <v>0</v>
      </c>
      <c r="BM6" s="60" t="n">
        <f aca="false">IF('Level 4'!$C$31="Yes",BG6,AM6)</f>
        <v>0</v>
      </c>
      <c r="BN6" s="60" t="n">
        <f aca="false">IF('Level 5'!$C$31="Yes",BH6,AN6)</f>
        <v>0</v>
      </c>
      <c r="BO6" s="60" t="n">
        <f aca="false">IF('Level 6'!$C$31="Yes",BI6,AO6)</f>
        <v>0</v>
      </c>
      <c r="BP6" s="60" t="n">
        <f aca="false">IF('Level 7'!$C$31="Yes",BC6,AP6)</f>
        <v>0</v>
      </c>
      <c r="BQ6" s="60" t="n">
        <f aca="false">D6-AP6</f>
        <v>15469</v>
      </c>
      <c r="BR6" s="60" t="n">
        <f aca="false">BQ6^2</f>
        <v>239289961</v>
      </c>
      <c r="BS6" s="60" t="n">
        <v>0</v>
      </c>
      <c r="BT6" s="60" t="n">
        <f aca="false">IF(D6&gt;2000,ABS(BQ6)/D6,"")</f>
        <v>1</v>
      </c>
      <c r="BU6" s="60" t="n">
        <v>353</v>
      </c>
      <c r="BV6" s="62" t="n">
        <v>0.5182</v>
      </c>
      <c r="BW6" s="60" t="n">
        <v>848.3</v>
      </c>
      <c r="BX6" s="60" t="n">
        <f aca="false">AA6</f>
        <v>0</v>
      </c>
      <c r="BY6" s="60" t="n">
        <f aca="false">H6</f>
        <v>112.9</v>
      </c>
      <c r="BZ6" s="60" t="n">
        <f aca="false">Z6</f>
        <v>0</v>
      </c>
      <c r="CA6" s="60" t="n">
        <f aca="false">AB6+AC6+AD6</f>
        <v>0</v>
      </c>
      <c r="CB6" s="60" t="n">
        <f aca="false">AE6+AF6+AG6+AH6+AI6</f>
        <v>0</v>
      </c>
    </row>
    <row r="7" customFormat="false" ht="15" hidden="false" customHeight="false" outlineLevel="0" collapsed="false">
      <c r="A7" s="58" t="n">
        <v>44941</v>
      </c>
      <c r="B7" s="59" t="n">
        <f aca="false">YEAR(A7)</f>
        <v>2023</v>
      </c>
      <c r="C7" s="59" t="n">
        <f aca="false">MONTH(A7)</f>
        <v>1</v>
      </c>
      <c r="D7" s="60" t="n">
        <v>13743</v>
      </c>
      <c r="E7" s="61" t="n">
        <v>0.6228</v>
      </c>
      <c r="F7" s="61" t="n">
        <v>0.0043</v>
      </c>
      <c r="G7" s="61" t="n">
        <v>0.7291</v>
      </c>
      <c r="H7" s="60" t="n">
        <v>127.61</v>
      </c>
      <c r="I7" s="60" t="n">
        <f aca="false">H7+'Level 4'!$C$12/100*I6</f>
        <v>127.61</v>
      </c>
      <c r="J7" s="60" t="n">
        <v>459.63</v>
      </c>
      <c r="K7" s="60" t="n">
        <v>73.57</v>
      </c>
      <c r="L7" s="60" t="n">
        <v>85.96</v>
      </c>
      <c r="M7" s="60" t="n">
        <f aca="false">L7+Answers!$C$14/100*M6</f>
        <v>142.33</v>
      </c>
      <c r="N7" s="60" t="n">
        <v>0</v>
      </c>
      <c r="O7" s="60" t="n">
        <v>0</v>
      </c>
      <c r="P7" s="60" t="n">
        <v>34.89</v>
      </c>
      <c r="Q7" s="60" t="n">
        <v>0</v>
      </c>
      <c r="R7" s="60" t="n">
        <v>78.97</v>
      </c>
      <c r="S7" s="60" t="n">
        <f aca="false">N7+Answers!$C$16/100*S6</f>
        <v>0</v>
      </c>
      <c r="T7" s="60" t="n">
        <f aca="false">O7+Answers!$C$17/100*T6</f>
        <v>0</v>
      </c>
      <c r="U7" s="60" t="n">
        <f aca="false">P7+Answers!$C$18/100*U6</f>
        <v>77.93</v>
      </c>
      <c r="V7" s="60" t="n">
        <f aca="false">Q7+Answers!$C$19/100*V6</f>
        <v>0</v>
      </c>
      <c r="W7" s="60" t="n">
        <f aca="false">R7+Answers!$C$20/100*W6</f>
        <v>113.874</v>
      </c>
      <c r="X7" s="60" t="n">
        <f aca="false">IF('Level 1'!$C$11="",0,'Level 1'!$C$11)*E7</f>
        <v>0</v>
      </c>
      <c r="Y7" s="60" t="n">
        <f aca="false">-IF('Level 2'!$C$11="",0,'Level 2'!$C$11)*F7</f>
        <v>-0</v>
      </c>
      <c r="Z7" s="60" t="n">
        <f aca="false">IF('Level 3'!$C$11="",0,'Level 3'!$C$11)*G7</f>
        <v>0</v>
      </c>
      <c r="AA7" s="60" t="n">
        <f aca="false">IF('Level 4'!$C$11="",0,'Level 4'!$C$11)*(1-'Level 4'!$C$12/100)*I7</f>
        <v>0</v>
      </c>
      <c r="AB7" s="60" t="n">
        <f aca="false">IF('Level 5'!$C$11="",0,'Level 5'!$C$11)*J7</f>
        <v>0</v>
      </c>
      <c r="AC7" s="60" t="n">
        <f aca="false">IF('Level 5'!$C$12="",0,'Level 5'!$C$12)*K7</f>
        <v>0</v>
      </c>
      <c r="AD7" s="60" t="n">
        <f aca="false">IF('Level 5'!$C$13="",0,'Level 5'!$C$13)*(1-Answers!$C$14/100)*M7</f>
        <v>0</v>
      </c>
      <c r="AE7" s="60" t="n">
        <f aca="false">IF('Level 6'!$C$11="",0,'Level 6'!$C$11)*(1-Answers!$C$16/100)*S7</f>
        <v>0</v>
      </c>
      <c r="AF7" s="60" t="n">
        <f aca="false">IF('Level 6'!$C$12="",0,'Level 6'!$C$12)*(1-Answers!$C$17/100)*T7</f>
        <v>0</v>
      </c>
      <c r="AG7" s="60" t="n">
        <f aca="false">IF('Level 6'!$C$13="",0,'Level 6'!$C$13)*(1-Answers!$C$18/100)*U7</f>
        <v>0</v>
      </c>
      <c r="AH7" s="60" t="n">
        <f aca="false">IF('Level 6'!$C$14="",0,'Level 6'!$C$14)*(1-Answers!$C$19/100)*V7</f>
        <v>0</v>
      </c>
      <c r="AI7" s="60" t="n">
        <f aca="false">IF('Level 6'!$C$15="",0,'Level 6'!$C$15)*(1-Answers!$C$20/100)*W7</f>
        <v>0</v>
      </c>
      <c r="AJ7" s="60" t="n">
        <f aca="false">X7</f>
        <v>0</v>
      </c>
      <c r="AK7" s="60" t="n">
        <f aca="false">X7+Y7</f>
        <v>0</v>
      </c>
      <c r="AL7" s="60" t="n">
        <f aca="false">AK7+Z7</f>
        <v>0</v>
      </c>
      <c r="AM7" s="60" t="n">
        <f aca="false">AL7+AA7</f>
        <v>0</v>
      </c>
      <c r="AN7" s="60" t="n">
        <f aca="false">AM7+AB7+AC7+AD7</f>
        <v>0</v>
      </c>
      <c r="AO7" s="60" t="n">
        <f aca="false">AL7+AE7+AF7+AG7+AH7+AI7+AB7+AC7+AD7</f>
        <v>0</v>
      </c>
      <c r="AP7" s="60" t="n">
        <f aca="false">IF(Answers!$C$22="Yes",AO7,AN7)</f>
        <v>0</v>
      </c>
      <c r="AQ7" s="60" t="n">
        <v>545.3</v>
      </c>
      <c r="AR7" s="60" t="n">
        <v>-4.1</v>
      </c>
      <c r="AS7" s="60" t="n">
        <v>5539.2</v>
      </c>
      <c r="AT7" s="60" t="n">
        <v>561.4</v>
      </c>
      <c r="AU7" s="60" t="n">
        <v>1776.4</v>
      </c>
      <c r="AV7" s="60" t="n">
        <v>271.5</v>
      </c>
      <c r="AW7" s="60" t="n">
        <v>110.2</v>
      </c>
      <c r="AX7" s="60" t="n">
        <v>0</v>
      </c>
      <c r="AY7" s="60" t="n">
        <v>0</v>
      </c>
      <c r="AZ7" s="60" t="n">
        <v>211.4</v>
      </c>
      <c r="BA7" s="60" t="n">
        <v>0</v>
      </c>
      <c r="BB7" s="60" t="n">
        <v>349.9</v>
      </c>
      <c r="BC7" s="60" t="n">
        <f aca="false">AQ7+AR7+AS7+AT7+AU7+AV7+AW7</f>
        <v>8799.9</v>
      </c>
      <c r="BD7" s="60" t="n">
        <f aca="false">AQ7</f>
        <v>545.3</v>
      </c>
      <c r="BE7" s="60" t="n">
        <f aca="false">AQ7+AR7</f>
        <v>541.2</v>
      </c>
      <c r="BF7" s="60" t="n">
        <f aca="false">BE7+AS7</f>
        <v>6080.4</v>
      </c>
      <c r="BG7" s="60" t="n">
        <f aca="false">BF7+AT7</f>
        <v>6641.8</v>
      </c>
      <c r="BH7" s="60" t="n">
        <f aca="false">BG7+AU7+AV7+AW7</f>
        <v>8799.9</v>
      </c>
      <c r="BI7" s="60" t="n">
        <f aca="false">BC7</f>
        <v>8799.9</v>
      </c>
      <c r="BJ7" s="60" t="n">
        <f aca="false">IF('Level 1'!$C$31="Yes",BD7,AJ7)</f>
        <v>0</v>
      </c>
      <c r="BK7" s="60" t="n">
        <f aca="false">IF('Level 2'!$C$31="Yes",BE7,AK7)</f>
        <v>0</v>
      </c>
      <c r="BL7" s="60" t="n">
        <f aca="false">IF('Level 3'!$C$31="Yes",BF7,AL7)</f>
        <v>0</v>
      </c>
      <c r="BM7" s="60" t="n">
        <f aca="false">IF('Level 4'!$C$31="Yes",BG7,AM7)</f>
        <v>0</v>
      </c>
      <c r="BN7" s="60" t="n">
        <f aca="false">IF('Level 5'!$C$31="Yes",BH7,AN7)</f>
        <v>0</v>
      </c>
      <c r="BO7" s="60" t="n">
        <f aca="false">IF('Level 6'!$C$31="Yes",BI7,AO7)</f>
        <v>0</v>
      </c>
      <c r="BP7" s="60" t="n">
        <f aca="false">IF('Level 7'!$C$31="Yes",BC7,AP7)</f>
        <v>0</v>
      </c>
      <c r="BQ7" s="60" t="n">
        <f aca="false">D7-AP7</f>
        <v>13743</v>
      </c>
      <c r="BR7" s="60" t="n">
        <f aca="false">BQ7^2</f>
        <v>188870049</v>
      </c>
      <c r="BS7" s="60" t="n">
        <f aca="false">(BQ7-BQ6)^2</f>
        <v>2979076</v>
      </c>
      <c r="BT7" s="60" t="n">
        <f aca="false">IF(D7&gt;2000,ABS(BQ7)/D7,"")</f>
        <v>1</v>
      </c>
      <c r="BU7" s="60" t="n">
        <v>396</v>
      </c>
      <c r="BV7" s="62" t="n">
        <v>0.5182</v>
      </c>
      <c r="BW7" s="60" t="n">
        <v>841.2</v>
      </c>
      <c r="BX7" s="60" t="n">
        <f aca="false">AA7</f>
        <v>0</v>
      </c>
      <c r="BY7" s="60" t="n">
        <f aca="false">H7</f>
        <v>127.61</v>
      </c>
      <c r="BZ7" s="60" t="n">
        <f aca="false">Z7</f>
        <v>0</v>
      </c>
      <c r="CA7" s="60" t="n">
        <f aca="false">AB7+AC7+AD7</f>
        <v>0</v>
      </c>
      <c r="CB7" s="60" t="n">
        <f aca="false">AE7+AF7+AG7+AH7+AI7</f>
        <v>0</v>
      </c>
    </row>
    <row r="8" customFormat="false" ht="15" hidden="false" customHeight="false" outlineLevel="0" collapsed="false">
      <c r="A8" s="58" t="n">
        <v>44948</v>
      </c>
      <c r="B8" s="59" t="n">
        <f aca="false">YEAR(A8)</f>
        <v>2023</v>
      </c>
      <c r="C8" s="59" t="n">
        <f aca="false">MONTH(A8)</f>
        <v>1</v>
      </c>
      <c r="D8" s="60" t="n">
        <v>11484</v>
      </c>
      <c r="E8" s="61" t="n">
        <v>0.6149</v>
      </c>
      <c r="F8" s="61" t="n">
        <v>-0.0097</v>
      </c>
      <c r="G8" s="61" t="n">
        <v>0.7291</v>
      </c>
      <c r="H8" s="60" t="n">
        <v>141.44</v>
      </c>
      <c r="I8" s="60" t="n">
        <f aca="false">H8+'Level 4'!$C$12/100*I7</f>
        <v>141.44</v>
      </c>
      <c r="J8" s="60" t="n">
        <v>160.45</v>
      </c>
      <c r="K8" s="60" t="n">
        <v>317.76</v>
      </c>
      <c r="L8" s="60" t="n">
        <v>69.65</v>
      </c>
      <c r="M8" s="60" t="n">
        <f aca="false">L8+Answers!$C$14/100*M7</f>
        <v>155.048</v>
      </c>
      <c r="N8" s="60" t="n">
        <v>0</v>
      </c>
      <c r="O8" s="60" t="n">
        <v>0</v>
      </c>
      <c r="P8" s="60" t="n">
        <v>31.23</v>
      </c>
      <c r="Q8" s="60" t="n">
        <v>0</v>
      </c>
      <c r="R8" s="60" t="n">
        <v>98.72</v>
      </c>
      <c r="S8" s="60" t="n">
        <f aca="false">N8+Answers!$C$16/100*S7</f>
        <v>0</v>
      </c>
      <c r="T8" s="60" t="n">
        <f aca="false">O8+Answers!$C$17/100*T7</f>
        <v>0</v>
      </c>
      <c r="U8" s="60" t="n">
        <f aca="false">P8+Answers!$C$18/100*U7</f>
        <v>93.574</v>
      </c>
      <c r="V8" s="60" t="n">
        <f aca="false">Q8+Answers!$C$19/100*V7</f>
        <v>0</v>
      </c>
      <c r="W8" s="60" t="n">
        <f aca="false">R8+Answers!$C$20/100*W7</f>
        <v>189.8192</v>
      </c>
      <c r="X8" s="60" t="n">
        <f aca="false">IF('Level 1'!$C$11="",0,'Level 1'!$C$11)*E8</f>
        <v>0</v>
      </c>
      <c r="Y8" s="60" t="n">
        <f aca="false">-IF('Level 2'!$C$11="",0,'Level 2'!$C$11)*F8</f>
        <v>0</v>
      </c>
      <c r="Z8" s="60" t="n">
        <f aca="false">IF('Level 3'!$C$11="",0,'Level 3'!$C$11)*G8</f>
        <v>0</v>
      </c>
      <c r="AA8" s="60" t="n">
        <f aca="false">IF('Level 4'!$C$11="",0,'Level 4'!$C$11)*(1-'Level 4'!$C$12/100)*I8</f>
        <v>0</v>
      </c>
      <c r="AB8" s="60" t="n">
        <f aca="false">IF('Level 5'!$C$11="",0,'Level 5'!$C$11)*J8</f>
        <v>0</v>
      </c>
      <c r="AC8" s="60" t="n">
        <f aca="false">IF('Level 5'!$C$12="",0,'Level 5'!$C$12)*K8</f>
        <v>0</v>
      </c>
      <c r="AD8" s="60" t="n">
        <f aca="false">IF('Level 5'!$C$13="",0,'Level 5'!$C$13)*(1-Answers!$C$14/100)*M8</f>
        <v>0</v>
      </c>
      <c r="AE8" s="60" t="n">
        <f aca="false">IF('Level 6'!$C$11="",0,'Level 6'!$C$11)*(1-Answers!$C$16/100)*S8</f>
        <v>0</v>
      </c>
      <c r="AF8" s="60" t="n">
        <f aca="false">IF('Level 6'!$C$12="",0,'Level 6'!$C$12)*(1-Answers!$C$17/100)*T8</f>
        <v>0</v>
      </c>
      <c r="AG8" s="60" t="n">
        <f aca="false">IF('Level 6'!$C$13="",0,'Level 6'!$C$13)*(1-Answers!$C$18/100)*U8</f>
        <v>0</v>
      </c>
      <c r="AH8" s="60" t="n">
        <f aca="false">IF('Level 6'!$C$14="",0,'Level 6'!$C$14)*(1-Answers!$C$19/100)*V8</f>
        <v>0</v>
      </c>
      <c r="AI8" s="60" t="n">
        <f aca="false">IF('Level 6'!$C$15="",0,'Level 6'!$C$15)*(1-Answers!$C$20/100)*W8</f>
        <v>0</v>
      </c>
      <c r="AJ8" s="60" t="n">
        <f aca="false">X8</f>
        <v>0</v>
      </c>
      <c r="AK8" s="60" t="n">
        <f aca="false">X8+Y8</f>
        <v>0</v>
      </c>
      <c r="AL8" s="60" t="n">
        <f aca="false">AK8+Z8</f>
        <v>0</v>
      </c>
      <c r="AM8" s="60" t="n">
        <f aca="false">AL8+AA8</f>
        <v>0</v>
      </c>
      <c r="AN8" s="60" t="n">
        <f aca="false">AM8+AB8+AC8+AD8</f>
        <v>0</v>
      </c>
      <c r="AO8" s="60" t="n">
        <f aca="false">AL8+AE8+AF8+AG8+AH8+AI8+AB8+AC8+AD8</f>
        <v>0</v>
      </c>
      <c r="AP8" s="60" t="n">
        <f aca="false">IF(Answers!$C$22="Yes",AO8,AN8)</f>
        <v>0</v>
      </c>
      <c r="AQ8" s="60" t="n">
        <v>538.4</v>
      </c>
      <c r="AR8" s="60" t="n">
        <v>9.2</v>
      </c>
      <c r="AS8" s="60" t="n">
        <v>5539.2</v>
      </c>
      <c r="AT8" s="60" t="n">
        <v>842.7</v>
      </c>
      <c r="AU8" s="60" t="n">
        <v>601.5</v>
      </c>
      <c r="AV8" s="60" t="n">
        <v>1172.7</v>
      </c>
      <c r="AW8" s="60" t="n">
        <v>71.6</v>
      </c>
      <c r="AX8" s="60" t="n">
        <v>0</v>
      </c>
      <c r="AY8" s="60" t="n">
        <v>0</v>
      </c>
      <c r="AZ8" s="60" t="n">
        <v>261.6</v>
      </c>
      <c r="BA8" s="60" t="n">
        <v>0</v>
      </c>
      <c r="BB8" s="60" t="n">
        <v>581.1</v>
      </c>
      <c r="BC8" s="60" t="n">
        <f aca="false">AQ8+AR8+AS8+AT8+AU8+AV8+AW8</f>
        <v>8775.3</v>
      </c>
      <c r="BD8" s="60" t="n">
        <f aca="false">AQ8</f>
        <v>538.4</v>
      </c>
      <c r="BE8" s="60" t="n">
        <f aca="false">AQ8+AR8</f>
        <v>547.6</v>
      </c>
      <c r="BF8" s="60" t="n">
        <f aca="false">BE8+AS8</f>
        <v>6086.8</v>
      </c>
      <c r="BG8" s="60" t="n">
        <f aca="false">BF8+AT8</f>
        <v>6929.5</v>
      </c>
      <c r="BH8" s="60" t="n">
        <f aca="false">BG8+AU8+AV8+AW8</f>
        <v>8775.3</v>
      </c>
      <c r="BI8" s="60" t="n">
        <f aca="false">BC8</f>
        <v>8775.3</v>
      </c>
      <c r="BJ8" s="60" t="n">
        <f aca="false">IF('Level 1'!$C$31="Yes",BD8,AJ8)</f>
        <v>0</v>
      </c>
      <c r="BK8" s="60" t="n">
        <f aca="false">IF('Level 2'!$C$31="Yes",BE8,AK8)</f>
        <v>0</v>
      </c>
      <c r="BL8" s="60" t="n">
        <f aca="false">IF('Level 3'!$C$31="Yes",BF8,AL8)</f>
        <v>0</v>
      </c>
      <c r="BM8" s="60" t="n">
        <f aca="false">IF('Level 4'!$C$31="Yes",BG8,AM8)</f>
        <v>0</v>
      </c>
      <c r="BN8" s="60" t="n">
        <f aca="false">IF('Level 5'!$C$31="Yes",BH8,AN8)</f>
        <v>0</v>
      </c>
      <c r="BO8" s="60" t="n">
        <f aca="false">IF('Level 6'!$C$31="Yes",BI8,AO8)</f>
        <v>0</v>
      </c>
      <c r="BP8" s="60" t="n">
        <f aca="false">IF('Level 7'!$C$31="Yes",BC8,AP8)</f>
        <v>0</v>
      </c>
      <c r="BQ8" s="60" t="n">
        <f aca="false">D8-AP8</f>
        <v>11484</v>
      </c>
      <c r="BR8" s="60" t="n">
        <f aca="false">BQ8^2</f>
        <v>131882256</v>
      </c>
      <c r="BS8" s="60" t="n">
        <f aca="false">(BQ8-BQ7)^2</f>
        <v>5103081</v>
      </c>
      <c r="BT8" s="60" t="n">
        <f aca="false">IF(D8&gt;2000,ABS(BQ8)/D8,"")</f>
        <v>1</v>
      </c>
      <c r="BU8" s="60" t="n">
        <v>273</v>
      </c>
      <c r="BV8" s="62" t="n">
        <v>0.5182</v>
      </c>
      <c r="BW8" s="60" t="n">
        <v>774.9</v>
      </c>
      <c r="BX8" s="60" t="n">
        <f aca="false">AA8</f>
        <v>0</v>
      </c>
      <c r="BY8" s="60" t="n">
        <f aca="false">H8</f>
        <v>141.44</v>
      </c>
      <c r="BZ8" s="60" t="n">
        <f aca="false">Z8</f>
        <v>0</v>
      </c>
      <c r="CA8" s="60" t="n">
        <f aca="false">AB8+AC8+AD8</f>
        <v>0</v>
      </c>
      <c r="CB8" s="60" t="n">
        <f aca="false">AE8+AF8+AG8+AH8+AI8</f>
        <v>0</v>
      </c>
    </row>
    <row r="9" customFormat="false" ht="15" hidden="false" customHeight="false" outlineLevel="0" collapsed="false">
      <c r="A9" s="58" t="n">
        <v>44955</v>
      </c>
      <c r="B9" s="59" t="n">
        <f aca="false">YEAR(A9)</f>
        <v>2023</v>
      </c>
      <c r="C9" s="59" t="n">
        <f aca="false">MONTH(A9)</f>
        <v>1</v>
      </c>
      <c r="D9" s="60" t="n">
        <v>18475</v>
      </c>
      <c r="E9" s="61" t="n">
        <v>0.6039</v>
      </c>
      <c r="F9" s="61" t="n">
        <v>0.0454</v>
      </c>
      <c r="G9" s="61" t="n">
        <v>1.9628</v>
      </c>
      <c r="H9" s="60" t="n">
        <v>131.97</v>
      </c>
      <c r="I9" s="60" t="n">
        <f aca="false">H9+'Level 4'!$C$12/100*I8</f>
        <v>131.97</v>
      </c>
      <c r="J9" s="60" t="n">
        <v>131.51</v>
      </c>
      <c r="K9" s="60" t="n">
        <v>235.11</v>
      </c>
      <c r="L9" s="60" t="n">
        <v>76.89</v>
      </c>
      <c r="M9" s="60" t="n">
        <f aca="false">L9+Answers!$C$14/100*M8</f>
        <v>169.9188</v>
      </c>
      <c r="N9" s="60" t="n">
        <v>0</v>
      </c>
      <c r="O9" s="60" t="n">
        <v>0</v>
      </c>
      <c r="P9" s="60" t="n">
        <v>36.57</v>
      </c>
      <c r="Q9" s="60" t="n">
        <v>0</v>
      </c>
      <c r="R9" s="60" t="n">
        <v>76.92</v>
      </c>
      <c r="S9" s="60" t="n">
        <f aca="false">N9+Answers!$C$16/100*S8</f>
        <v>0</v>
      </c>
      <c r="T9" s="60" t="n">
        <f aca="false">O9+Answers!$C$17/100*T8</f>
        <v>0</v>
      </c>
      <c r="U9" s="60" t="n">
        <f aca="false">P9+Answers!$C$18/100*U8</f>
        <v>111.4292</v>
      </c>
      <c r="V9" s="60" t="n">
        <f aca="false">Q9+Answers!$C$19/100*V8</f>
        <v>0</v>
      </c>
      <c r="W9" s="60" t="n">
        <f aca="false">R9+Answers!$C$20/100*W8</f>
        <v>228.77536</v>
      </c>
      <c r="X9" s="60" t="n">
        <f aca="false">IF('Level 1'!$C$11="",0,'Level 1'!$C$11)*E9</f>
        <v>0</v>
      </c>
      <c r="Y9" s="60" t="n">
        <f aca="false">-IF('Level 2'!$C$11="",0,'Level 2'!$C$11)*F9</f>
        <v>-0</v>
      </c>
      <c r="Z9" s="60" t="n">
        <f aca="false">IF('Level 3'!$C$11="",0,'Level 3'!$C$11)*G9</f>
        <v>0</v>
      </c>
      <c r="AA9" s="60" t="n">
        <f aca="false">IF('Level 4'!$C$11="",0,'Level 4'!$C$11)*(1-'Level 4'!$C$12/100)*I9</f>
        <v>0</v>
      </c>
      <c r="AB9" s="60" t="n">
        <f aca="false">IF('Level 5'!$C$11="",0,'Level 5'!$C$11)*J9</f>
        <v>0</v>
      </c>
      <c r="AC9" s="60" t="n">
        <f aca="false">IF('Level 5'!$C$12="",0,'Level 5'!$C$12)*K9</f>
        <v>0</v>
      </c>
      <c r="AD9" s="60" t="n">
        <f aca="false">IF('Level 5'!$C$13="",0,'Level 5'!$C$13)*(1-Answers!$C$14/100)*M9</f>
        <v>0</v>
      </c>
      <c r="AE9" s="60" t="n">
        <f aca="false">IF('Level 6'!$C$11="",0,'Level 6'!$C$11)*(1-Answers!$C$16/100)*S9</f>
        <v>0</v>
      </c>
      <c r="AF9" s="60" t="n">
        <f aca="false">IF('Level 6'!$C$12="",0,'Level 6'!$C$12)*(1-Answers!$C$17/100)*T9</f>
        <v>0</v>
      </c>
      <c r="AG9" s="60" t="n">
        <f aca="false">IF('Level 6'!$C$13="",0,'Level 6'!$C$13)*(1-Answers!$C$18/100)*U9</f>
        <v>0</v>
      </c>
      <c r="AH9" s="60" t="n">
        <f aca="false">IF('Level 6'!$C$14="",0,'Level 6'!$C$14)*(1-Answers!$C$19/100)*V9</f>
        <v>0</v>
      </c>
      <c r="AI9" s="60" t="n">
        <f aca="false">IF('Level 6'!$C$15="",0,'Level 6'!$C$15)*(1-Answers!$C$20/100)*W9</f>
        <v>0</v>
      </c>
      <c r="AJ9" s="60" t="n">
        <f aca="false">X9</f>
        <v>0</v>
      </c>
      <c r="AK9" s="60" t="n">
        <f aca="false">X9+Y9</f>
        <v>0</v>
      </c>
      <c r="AL9" s="60" t="n">
        <f aca="false">AK9+Z9</f>
        <v>0</v>
      </c>
      <c r="AM9" s="60" t="n">
        <f aca="false">AL9+AA9</f>
        <v>0</v>
      </c>
      <c r="AN9" s="60" t="n">
        <f aca="false">AM9+AB9+AC9+AD9</f>
        <v>0</v>
      </c>
      <c r="AO9" s="60" t="n">
        <f aca="false">AL9+AE9+AF9+AG9+AH9+AI9+AB9+AC9+AD9</f>
        <v>0</v>
      </c>
      <c r="AP9" s="60" t="n">
        <f aca="false">IF(Answers!$C$22="Yes",AO9,AN9)</f>
        <v>0</v>
      </c>
      <c r="AQ9" s="60" t="n">
        <v>528.8</v>
      </c>
      <c r="AR9" s="60" t="n">
        <v>-43.3</v>
      </c>
      <c r="AS9" s="60" t="n">
        <v>14912.1</v>
      </c>
      <c r="AT9" s="60" t="n">
        <v>1029.9</v>
      </c>
      <c r="AU9" s="60" t="n">
        <v>482.6</v>
      </c>
      <c r="AV9" s="60" t="n">
        <v>867.7</v>
      </c>
      <c r="AW9" s="60" t="n">
        <v>46.5</v>
      </c>
      <c r="AX9" s="60" t="n">
        <v>0</v>
      </c>
      <c r="AY9" s="60" t="n">
        <v>0</v>
      </c>
      <c r="AZ9" s="60" t="n">
        <v>318.3</v>
      </c>
      <c r="BA9" s="60" t="n">
        <v>0</v>
      </c>
      <c r="BB9" s="60" t="n">
        <v>711.6</v>
      </c>
      <c r="BC9" s="60" t="n">
        <f aca="false">AQ9+AR9+AS9+AT9+AU9+AV9+AW9</f>
        <v>17824.3</v>
      </c>
      <c r="BD9" s="60" t="n">
        <f aca="false">AQ9</f>
        <v>528.8</v>
      </c>
      <c r="BE9" s="60" t="n">
        <f aca="false">AQ9+AR9</f>
        <v>485.5</v>
      </c>
      <c r="BF9" s="60" t="n">
        <f aca="false">BE9+AS9</f>
        <v>15397.6</v>
      </c>
      <c r="BG9" s="60" t="n">
        <f aca="false">BF9+AT9</f>
        <v>16427.5</v>
      </c>
      <c r="BH9" s="60" t="n">
        <f aca="false">BG9+AU9+AV9+AW9</f>
        <v>17824.3</v>
      </c>
      <c r="BI9" s="60" t="n">
        <f aca="false">BC9</f>
        <v>17824.3</v>
      </c>
      <c r="BJ9" s="60" t="n">
        <f aca="false">IF('Level 1'!$C$31="Yes",BD9,AJ9)</f>
        <v>0</v>
      </c>
      <c r="BK9" s="60" t="n">
        <f aca="false">IF('Level 2'!$C$31="Yes",BE9,AK9)</f>
        <v>0</v>
      </c>
      <c r="BL9" s="60" t="n">
        <f aca="false">IF('Level 3'!$C$31="Yes",BF9,AL9)</f>
        <v>0</v>
      </c>
      <c r="BM9" s="60" t="n">
        <f aca="false">IF('Level 4'!$C$31="Yes",BG9,AM9)</f>
        <v>0</v>
      </c>
      <c r="BN9" s="60" t="n">
        <f aca="false">IF('Level 5'!$C$31="Yes",BH9,AN9)</f>
        <v>0</v>
      </c>
      <c r="BO9" s="60" t="n">
        <f aca="false">IF('Level 6'!$C$31="Yes",BI9,AO9)</f>
        <v>0</v>
      </c>
      <c r="BP9" s="60" t="n">
        <f aca="false">IF('Level 7'!$C$31="Yes",BC9,AP9)</f>
        <v>0</v>
      </c>
      <c r="BQ9" s="60" t="n">
        <f aca="false">D9-AP9</f>
        <v>18475</v>
      </c>
      <c r="BR9" s="60" t="n">
        <f aca="false">BQ9^2</f>
        <v>341325625</v>
      </c>
      <c r="BS9" s="60" t="n">
        <f aca="false">(BQ9-BQ8)^2</f>
        <v>48874081</v>
      </c>
      <c r="BT9" s="60" t="n">
        <f aca="false">IF(D9&gt;2000,ABS(BQ9)/D9,"")</f>
        <v>1</v>
      </c>
      <c r="BU9" s="60" t="n">
        <v>308</v>
      </c>
      <c r="BV9" s="62" t="n">
        <v>0.4921</v>
      </c>
      <c r="BW9" s="60" t="n">
        <v>640.5</v>
      </c>
      <c r="BX9" s="60" t="n">
        <f aca="false">AA9</f>
        <v>0</v>
      </c>
      <c r="BY9" s="60" t="n">
        <f aca="false">H9</f>
        <v>131.97</v>
      </c>
      <c r="BZ9" s="60" t="n">
        <f aca="false">Z9</f>
        <v>0</v>
      </c>
      <c r="CA9" s="60" t="n">
        <f aca="false">AB9+AC9+AD9</f>
        <v>0</v>
      </c>
      <c r="CB9" s="60" t="n">
        <f aca="false">AE9+AF9+AG9+AH9+AI9</f>
        <v>0</v>
      </c>
    </row>
    <row r="10" customFormat="false" ht="15" hidden="false" customHeight="false" outlineLevel="0" collapsed="false">
      <c r="A10" s="58" t="n">
        <v>44962</v>
      </c>
      <c r="B10" s="59" t="n">
        <f aca="false">YEAR(A10)</f>
        <v>2023</v>
      </c>
      <c r="C10" s="59" t="n">
        <f aca="false">MONTH(A10)</f>
        <v>2</v>
      </c>
      <c r="D10" s="60" t="n">
        <v>18825</v>
      </c>
      <c r="E10" s="61" t="n">
        <v>1.5192</v>
      </c>
      <c r="F10" s="61" t="n">
        <v>0.2578</v>
      </c>
      <c r="G10" s="61" t="n">
        <v>1.9628</v>
      </c>
      <c r="H10" s="60" t="n">
        <v>80.2</v>
      </c>
      <c r="I10" s="60" t="n">
        <f aca="false">H10+'Level 4'!$C$12/100*I9</f>
        <v>80.2</v>
      </c>
      <c r="J10" s="60" t="n">
        <v>541</v>
      </c>
      <c r="K10" s="60" t="n">
        <v>84.06</v>
      </c>
      <c r="L10" s="60" t="n">
        <v>81.12</v>
      </c>
      <c r="M10" s="60" t="n">
        <f aca="false">L10+Answers!$C$14/100*M9</f>
        <v>183.07128</v>
      </c>
      <c r="N10" s="60" t="n">
        <v>0</v>
      </c>
      <c r="O10" s="60" t="n">
        <v>0</v>
      </c>
      <c r="P10" s="60" t="n">
        <v>29.67</v>
      </c>
      <c r="Q10" s="60" t="n">
        <v>0</v>
      </c>
      <c r="R10" s="60" t="n">
        <v>31.71</v>
      </c>
      <c r="S10" s="60" t="n">
        <f aca="false">N10+Answers!$C$16/100*S9</f>
        <v>0</v>
      </c>
      <c r="T10" s="60" t="n">
        <f aca="false">O10+Answers!$C$17/100*T9</f>
        <v>0</v>
      </c>
      <c r="U10" s="60" t="n">
        <f aca="false">P10+Answers!$C$18/100*U9</f>
        <v>118.81336</v>
      </c>
      <c r="V10" s="60" t="n">
        <f aca="false">Q10+Answers!$C$19/100*V9</f>
        <v>0</v>
      </c>
      <c r="W10" s="60" t="n">
        <f aca="false">R10+Answers!$C$20/100*W9</f>
        <v>214.730288</v>
      </c>
      <c r="X10" s="60" t="n">
        <f aca="false">IF('Level 1'!$C$11="",0,'Level 1'!$C$11)*E10</f>
        <v>0</v>
      </c>
      <c r="Y10" s="60" t="n">
        <f aca="false">-IF('Level 2'!$C$11="",0,'Level 2'!$C$11)*F10</f>
        <v>-0</v>
      </c>
      <c r="Z10" s="60" t="n">
        <f aca="false">IF('Level 3'!$C$11="",0,'Level 3'!$C$11)*G10</f>
        <v>0</v>
      </c>
      <c r="AA10" s="60" t="n">
        <f aca="false">IF('Level 4'!$C$11="",0,'Level 4'!$C$11)*(1-'Level 4'!$C$12/100)*I10</f>
        <v>0</v>
      </c>
      <c r="AB10" s="60" t="n">
        <f aca="false">IF('Level 5'!$C$11="",0,'Level 5'!$C$11)*J10</f>
        <v>0</v>
      </c>
      <c r="AC10" s="60" t="n">
        <f aca="false">IF('Level 5'!$C$12="",0,'Level 5'!$C$12)*K10</f>
        <v>0</v>
      </c>
      <c r="AD10" s="60" t="n">
        <f aca="false">IF('Level 5'!$C$13="",0,'Level 5'!$C$13)*(1-Answers!$C$14/100)*M10</f>
        <v>0</v>
      </c>
      <c r="AE10" s="60" t="n">
        <f aca="false">IF('Level 6'!$C$11="",0,'Level 6'!$C$11)*(1-Answers!$C$16/100)*S10</f>
        <v>0</v>
      </c>
      <c r="AF10" s="60" t="n">
        <f aca="false">IF('Level 6'!$C$12="",0,'Level 6'!$C$12)*(1-Answers!$C$17/100)*T10</f>
        <v>0</v>
      </c>
      <c r="AG10" s="60" t="n">
        <f aca="false">IF('Level 6'!$C$13="",0,'Level 6'!$C$13)*(1-Answers!$C$18/100)*U10</f>
        <v>0</v>
      </c>
      <c r="AH10" s="60" t="n">
        <f aca="false">IF('Level 6'!$C$14="",0,'Level 6'!$C$14)*(1-Answers!$C$19/100)*V10</f>
        <v>0</v>
      </c>
      <c r="AI10" s="60" t="n">
        <f aca="false">IF('Level 6'!$C$15="",0,'Level 6'!$C$15)*(1-Answers!$C$20/100)*W10</f>
        <v>0</v>
      </c>
      <c r="AJ10" s="60" t="n">
        <f aca="false">X10</f>
        <v>0</v>
      </c>
      <c r="AK10" s="60" t="n">
        <f aca="false">X10+Y10</f>
        <v>0</v>
      </c>
      <c r="AL10" s="60" t="n">
        <f aca="false">AK10+Z10</f>
        <v>0</v>
      </c>
      <c r="AM10" s="60" t="n">
        <f aca="false">AL10+AA10</f>
        <v>0</v>
      </c>
      <c r="AN10" s="60" t="n">
        <f aca="false">AM10+AB10+AC10+AD10</f>
        <v>0</v>
      </c>
      <c r="AO10" s="60" t="n">
        <f aca="false">AL10+AE10+AF10+AG10+AH10+AI10+AB10+AC10+AD10</f>
        <v>0</v>
      </c>
      <c r="AP10" s="60" t="n">
        <f aca="false">IF(Answers!$C$22="Yes",AO10,AN10)</f>
        <v>0</v>
      </c>
      <c r="AQ10" s="60" t="n">
        <v>1330.3</v>
      </c>
      <c r="AR10" s="60" t="n">
        <v>-245.6</v>
      </c>
      <c r="AS10" s="60" t="n">
        <v>14912.1</v>
      </c>
      <c r="AT10" s="60" t="n">
        <v>1050</v>
      </c>
      <c r="AU10" s="60" t="n">
        <v>2088.4</v>
      </c>
      <c r="AV10" s="60" t="n">
        <v>310.2</v>
      </c>
      <c r="AW10" s="60" t="n">
        <v>30.3</v>
      </c>
      <c r="AX10" s="60" t="n">
        <v>0</v>
      </c>
      <c r="AY10" s="60" t="n">
        <v>0</v>
      </c>
      <c r="AZ10" s="60" t="n">
        <v>348.3</v>
      </c>
      <c r="BA10" s="60" t="n">
        <v>0</v>
      </c>
      <c r="BB10" s="60" t="n">
        <v>701.7</v>
      </c>
      <c r="BC10" s="60" t="n">
        <f aca="false">AQ10+AR10+AS10+AT10+AU10+AV10+AW10</f>
        <v>19475.7</v>
      </c>
      <c r="BD10" s="60" t="n">
        <f aca="false">AQ10</f>
        <v>1330.3</v>
      </c>
      <c r="BE10" s="60" t="n">
        <f aca="false">AQ10+AR10</f>
        <v>1084.7</v>
      </c>
      <c r="BF10" s="60" t="n">
        <f aca="false">BE10+AS10</f>
        <v>15996.8</v>
      </c>
      <c r="BG10" s="60" t="n">
        <f aca="false">BF10+AT10</f>
        <v>17046.8</v>
      </c>
      <c r="BH10" s="60" t="n">
        <f aca="false">BG10+AU10+AV10+AW10</f>
        <v>19475.7</v>
      </c>
      <c r="BI10" s="60" t="n">
        <f aca="false">BC10</f>
        <v>19475.7</v>
      </c>
      <c r="BJ10" s="60" t="n">
        <f aca="false">IF('Level 1'!$C$31="Yes",BD10,AJ10)</f>
        <v>0</v>
      </c>
      <c r="BK10" s="60" t="n">
        <f aca="false">IF('Level 2'!$C$31="Yes",BE10,AK10)</f>
        <v>0</v>
      </c>
      <c r="BL10" s="60" t="n">
        <f aca="false">IF('Level 3'!$C$31="Yes",BF10,AL10)</f>
        <v>0</v>
      </c>
      <c r="BM10" s="60" t="n">
        <f aca="false">IF('Level 4'!$C$31="Yes",BG10,AM10)</f>
        <v>0</v>
      </c>
      <c r="BN10" s="60" t="n">
        <f aca="false">IF('Level 5'!$C$31="Yes",BH10,AN10)</f>
        <v>0</v>
      </c>
      <c r="BO10" s="60" t="n">
        <f aca="false">IF('Level 6'!$C$31="Yes",BI10,AO10)</f>
        <v>0</v>
      </c>
      <c r="BP10" s="60" t="n">
        <f aca="false">IF('Level 7'!$C$31="Yes",BC10,AP10)</f>
        <v>0</v>
      </c>
      <c r="BQ10" s="60" t="n">
        <f aca="false">D10-AP10</f>
        <v>18825</v>
      </c>
      <c r="BR10" s="60" t="n">
        <f aca="false">BQ10^2</f>
        <v>354380625</v>
      </c>
      <c r="BS10" s="60" t="n">
        <f aca="false">(BQ10-BQ9)^2</f>
        <v>122500</v>
      </c>
      <c r="BT10" s="60" t="n">
        <f aca="false">IF(D10&gt;2000,ABS(BQ10)/D10,"")</f>
        <v>1</v>
      </c>
      <c r="BU10" s="60" t="n">
        <v>500</v>
      </c>
      <c r="BV10" s="62" t="n">
        <v>0.4817</v>
      </c>
      <c r="BW10" s="60" t="n">
        <v>833</v>
      </c>
      <c r="BX10" s="60" t="n">
        <f aca="false">AA10</f>
        <v>0</v>
      </c>
      <c r="BY10" s="60" t="n">
        <f aca="false">H10</f>
        <v>80.2</v>
      </c>
      <c r="BZ10" s="60" t="n">
        <f aca="false">Z10</f>
        <v>0</v>
      </c>
      <c r="CA10" s="60" t="n">
        <f aca="false">AB10+AC10+AD10</f>
        <v>0</v>
      </c>
      <c r="CB10" s="60" t="n">
        <f aca="false">AE10+AF10+AG10+AH10+AI10</f>
        <v>0</v>
      </c>
    </row>
    <row r="11" customFormat="false" ht="15" hidden="false" customHeight="false" outlineLevel="0" collapsed="false">
      <c r="A11" s="58" t="n">
        <v>44969</v>
      </c>
      <c r="B11" s="59" t="n">
        <f aca="false">YEAR(A11)</f>
        <v>2023</v>
      </c>
      <c r="C11" s="59" t="n">
        <f aca="false">MONTH(A11)</f>
        <v>2</v>
      </c>
      <c r="D11" s="60" t="n">
        <v>2994</v>
      </c>
      <c r="E11" s="61" t="n">
        <v>0.7353</v>
      </c>
      <c r="F11" s="61" t="n">
        <v>1.6658</v>
      </c>
      <c r="G11" s="61" t="n">
        <v>0</v>
      </c>
      <c r="H11" s="60" t="n">
        <v>54.91</v>
      </c>
      <c r="I11" s="60" t="n">
        <f aca="false">H11+'Level 4'!$C$12/100*I10</f>
        <v>54.91</v>
      </c>
      <c r="J11" s="60" t="n">
        <v>182.23</v>
      </c>
      <c r="K11" s="60" t="n">
        <v>281.69</v>
      </c>
      <c r="L11" s="60" t="n">
        <v>73.67</v>
      </c>
      <c r="M11" s="60" t="n">
        <f aca="false">L11+Answers!$C$14/100*M10</f>
        <v>183.512768</v>
      </c>
      <c r="N11" s="60" t="n">
        <v>0</v>
      </c>
      <c r="O11" s="60" t="n">
        <v>0</v>
      </c>
      <c r="P11" s="60" t="n">
        <v>32.31</v>
      </c>
      <c r="Q11" s="60" t="n">
        <v>0</v>
      </c>
      <c r="R11" s="60" t="n">
        <v>19.61</v>
      </c>
      <c r="S11" s="60" t="n">
        <f aca="false">N11+Answers!$C$16/100*S10</f>
        <v>0</v>
      </c>
      <c r="T11" s="60" t="n">
        <f aca="false">O11+Answers!$C$17/100*T10</f>
        <v>0</v>
      </c>
      <c r="U11" s="60" t="n">
        <f aca="false">P11+Answers!$C$18/100*U10</f>
        <v>127.360688</v>
      </c>
      <c r="V11" s="60" t="n">
        <f aca="false">Q11+Answers!$C$19/100*V10</f>
        <v>0</v>
      </c>
      <c r="W11" s="60" t="n">
        <f aca="false">R11+Answers!$C$20/100*W10</f>
        <v>191.3942304</v>
      </c>
      <c r="X11" s="60" t="n">
        <f aca="false">IF('Level 1'!$C$11="",0,'Level 1'!$C$11)*E11</f>
        <v>0</v>
      </c>
      <c r="Y11" s="60" t="n">
        <f aca="false">-IF('Level 2'!$C$11="",0,'Level 2'!$C$11)*F11</f>
        <v>-0</v>
      </c>
      <c r="Z11" s="60" t="n">
        <f aca="false">IF('Level 3'!$C$11="",0,'Level 3'!$C$11)*G11</f>
        <v>0</v>
      </c>
      <c r="AA11" s="60" t="n">
        <f aca="false">IF('Level 4'!$C$11="",0,'Level 4'!$C$11)*(1-'Level 4'!$C$12/100)*I11</f>
        <v>0</v>
      </c>
      <c r="AB11" s="60" t="n">
        <f aca="false">IF('Level 5'!$C$11="",0,'Level 5'!$C$11)*J11</f>
        <v>0</v>
      </c>
      <c r="AC11" s="60" t="n">
        <f aca="false">IF('Level 5'!$C$12="",0,'Level 5'!$C$12)*K11</f>
        <v>0</v>
      </c>
      <c r="AD11" s="60" t="n">
        <f aca="false">IF('Level 5'!$C$13="",0,'Level 5'!$C$13)*(1-Answers!$C$14/100)*M11</f>
        <v>0</v>
      </c>
      <c r="AE11" s="60" t="n">
        <f aca="false">IF('Level 6'!$C$11="",0,'Level 6'!$C$11)*(1-Answers!$C$16/100)*S11</f>
        <v>0</v>
      </c>
      <c r="AF11" s="60" t="n">
        <f aca="false">IF('Level 6'!$C$12="",0,'Level 6'!$C$12)*(1-Answers!$C$17/100)*T11</f>
        <v>0</v>
      </c>
      <c r="AG11" s="60" t="n">
        <f aca="false">IF('Level 6'!$C$13="",0,'Level 6'!$C$13)*(1-Answers!$C$18/100)*U11</f>
        <v>0</v>
      </c>
      <c r="AH11" s="60" t="n">
        <f aca="false">IF('Level 6'!$C$14="",0,'Level 6'!$C$14)*(1-Answers!$C$19/100)*V11</f>
        <v>0</v>
      </c>
      <c r="AI11" s="60" t="n">
        <f aca="false">IF('Level 6'!$C$15="",0,'Level 6'!$C$15)*(1-Answers!$C$20/100)*W11</f>
        <v>0</v>
      </c>
      <c r="AJ11" s="60" t="n">
        <f aca="false">X11</f>
        <v>0</v>
      </c>
      <c r="AK11" s="60" t="n">
        <f aca="false">X11+Y11</f>
        <v>0</v>
      </c>
      <c r="AL11" s="60" t="n">
        <f aca="false">AK11+Z11</f>
        <v>0</v>
      </c>
      <c r="AM11" s="60" t="n">
        <f aca="false">AL11+AA11</f>
        <v>0</v>
      </c>
      <c r="AN11" s="60" t="n">
        <f aca="false">AM11+AB11+AC11+AD11</f>
        <v>0</v>
      </c>
      <c r="AO11" s="60" t="n">
        <f aca="false">AL11+AE11+AF11+AG11+AH11+AI11+AB11+AC11+AD11</f>
        <v>0</v>
      </c>
      <c r="AP11" s="60" t="n">
        <f aca="false">IF(Answers!$C$22="Yes",AO11,AN11)</f>
        <v>0</v>
      </c>
      <c r="AQ11" s="60" t="n">
        <v>643.8</v>
      </c>
      <c r="AR11" s="60" t="n">
        <v>-1586.5</v>
      </c>
      <c r="AS11" s="60" t="n">
        <v>0</v>
      </c>
      <c r="AT11" s="60" t="n">
        <v>1042.9</v>
      </c>
      <c r="AU11" s="60" t="n">
        <v>690.6</v>
      </c>
      <c r="AV11" s="60" t="n">
        <v>1039.5</v>
      </c>
      <c r="AW11" s="60" t="n">
        <v>19.7</v>
      </c>
      <c r="AX11" s="60" t="n">
        <v>0</v>
      </c>
      <c r="AY11" s="60" t="n">
        <v>0</v>
      </c>
      <c r="AZ11" s="60" t="n">
        <v>380.8</v>
      </c>
      <c r="BA11" s="60" t="n">
        <v>0</v>
      </c>
      <c r="BB11" s="60" t="n">
        <v>662.1</v>
      </c>
      <c r="BC11" s="60" t="n">
        <f aca="false">AQ11+AR11+AS11+AT11+AU11+AV11+AW11</f>
        <v>1850</v>
      </c>
      <c r="BD11" s="60" t="n">
        <f aca="false">AQ11</f>
        <v>643.8</v>
      </c>
      <c r="BE11" s="60" t="n">
        <f aca="false">AQ11+AR11</f>
        <v>-942.7</v>
      </c>
      <c r="BF11" s="60" t="n">
        <f aca="false">BE11+AS11</f>
        <v>-942.7</v>
      </c>
      <c r="BG11" s="60" t="n">
        <f aca="false">BF11+AT11</f>
        <v>100.2</v>
      </c>
      <c r="BH11" s="60" t="n">
        <f aca="false">BG11+AU11+AV11+AW11</f>
        <v>1850</v>
      </c>
      <c r="BI11" s="60" t="n">
        <f aca="false">BC11</f>
        <v>1850</v>
      </c>
      <c r="BJ11" s="60" t="n">
        <f aca="false">IF('Level 1'!$C$31="Yes",BD11,AJ11)</f>
        <v>0</v>
      </c>
      <c r="BK11" s="60" t="n">
        <f aca="false">IF('Level 2'!$C$31="Yes",BE11,AK11)</f>
        <v>0</v>
      </c>
      <c r="BL11" s="60" t="n">
        <f aca="false">IF('Level 3'!$C$31="Yes",BF11,AL11)</f>
        <v>0</v>
      </c>
      <c r="BM11" s="60" t="n">
        <f aca="false">IF('Level 4'!$C$31="Yes",BG11,AM11)</f>
        <v>0</v>
      </c>
      <c r="BN11" s="60" t="n">
        <f aca="false">IF('Level 5'!$C$31="Yes",BH11,AN11)</f>
        <v>0</v>
      </c>
      <c r="BO11" s="60" t="n">
        <f aca="false">IF('Level 6'!$C$31="Yes",BI11,AO11)</f>
        <v>0</v>
      </c>
      <c r="BP11" s="60" t="n">
        <f aca="false">IF('Level 7'!$C$31="Yes",BC11,AP11)</f>
        <v>0</v>
      </c>
      <c r="BQ11" s="60" t="n">
        <f aca="false">D11-AP11</f>
        <v>2994</v>
      </c>
      <c r="BR11" s="60" t="n">
        <f aca="false">BQ11^2</f>
        <v>8964036</v>
      </c>
      <c r="BS11" s="60" t="n">
        <f aca="false">(BQ11-BQ10)^2</f>
        <v>250620561</v>
      </c>
      <c r="BT11" s="60" t="n">
        <f aca="false">IF(D11&gt;2000,ABS(BQ11)/D11,"")</f>
        <v>1</v>
      </c>
      <c r="BU11" s="60" t="n">
        <v>462</v>
      </c>
      <c r="BV11" s="62" t="n">
        <v>0.4817</v>
      </c>
      <c r="BW11" s="60" t="n">
        <v>655.7</v>
      </c>
      <c r="BX11" s="60" t="n">
        <f aca="false">AA11</f>
        <v>0</v>
      </c>
      <c r="BY11" s="60" t="n">
        <f aca="false">H11</f>
        <v>54.91</v>
      </c>
      <c r="BZ11" s="60" t="n">
        <f aca="false">Z11</f>
        <v>0</v>
      </c>
      <c r="CA11" s="60" t="n">
        <f aca="false">AB11+AC11+AD11</f>
        <v>0</v>
      </c>
      <c r="CB11" s="60" t="n">
        <f aca="false">AE11+AF11+AG11+AH11+AI11</f>
        <v>0</v>
      </c>
    </row>
    <row r="12" customFormat="false" ht="15" hidden="false" customHeight="false" outlineLevel="0" collapsed="false">
      <c r="A12" s="58" t="n">
        <v>44976</v>
      </c>
      <c r="B12" s="59" t="n">
        <f aca="false">YEAR(A12)</f>
        <v>2023</v>
      </c>
      <c r="C12" s="59" t="n">
        <f aca="false">MONTH(A12)</f>
        <v>2</v>
      </c>
      <c r="D12" s="60" t="n">
        <v>2443</v>
      </c>
      <c r="E12" s="61" t="n">
        <v>1.0168</v>
      </c>
      <c r="F12" s="61" t="n">
        <v>1.6344</v>
      </c>
      <c r="G12" s="61" t="n">
        <v>0</v>
      </c>
      <c r="H12" s="60" t="n">
        <v>53.59</v>
      </c>
      <c r="I12" s="60" t="n">
        <f aca="false">H12+'Level 4'!$C$12/100*I11</f>
        <v>53.59</v>
      </c>
      <c r="J12" s="60" t="n">
        <v>109.35</v>
      </c>
      <c r="K12" s="60" t="n">
        <v>79.92</v>
      </c>
      <c r="L12" s="60" t="n">
        <v>54.51</v>
      </c>
      <c r="M12" s="60" t="n">
        <f aca="false">L12+Answers!$C$14/100*M11</f>
        <v>164.6176608</v>
      </c>
      <c r="N12" s="60" t="n">
        <v>0</v>
      </c>
      <c r="O12" s="60" t="n">
        <v>0</v>
      </c>
      <c r="P12" s="60" t="n">
        <v>32.09</v>
      </c>
      <c r="Q12" s="60" t="n">
        <v>0</v>
      </c>
      <c r="R12" s="60" t="n">
        <v>19.06</v>
      </c>
      <c r="S12" s="60" t="n">
        <f aca="false">N12+Answers!$C$16/100*S11</f>
        <v>0</v>
      </c>
      <c r="T12" s="60" t="n">
        <f aca="false">O12+Answers!$C$17/100*T11</f>
        <v>0</v>
      </c>
      <c r="U12" s="60" t="n">
        <f aca="false">P12+Answers!$C$18/100*U11</f>
        <v>133.9785504</v>
      </c>
      <c r="V12" s="60" t="n">
        <f aca="false">Q12+Answers!$C$19/100*V11</f>
        <v>0</v>
      </c>
      <c r="W12" s="60" t="n">
        <f aca="false">R12+Answers!$C$20/100*W11</f>
        <v>172.17538432</v>
      </c>
      <c r="X12" s="60" t="n">
        <f aca="false">IF('Level 1'!$C$11="",0,'Level 1'!$C$11)*E12</f>
        <v>0</v>
      </c>
      <c r="Y12" s="60" t="n">
        <f aca="false">-IF('Level 2'!$C$11="",0,'Level 2'!$C$11)*F12</f>
        <v>-0</v>
      </c>
      <c r="Z12" s="60" t="n">
        <f aca="false">IF('Level 3'!$C$11="",0,'Level 3'!$C$11)*G12</f>
        <v>0</v>
      </c>
      <c r="AA12" s="60" t="n">
        <f aca="false">IF('Level 4'!$C$11="",0,'Level 4'!$C$11)*(1-'Level 4'!$C$12/100)*I12</f>
        <v>0</v>
      </c>
      <c r="AB12" s="60" t="n">
        <f aca="false">IF('Level 5'!$C$11="",0,'Level 5'!$C$11)*J12</f>
        <v>0</v>
      </c>
      <c r="AC12" s="60" t="n">
        <f aca="false">IF('Level 5'!$C$12="",0,'Level 5'!$C$12)*K12</f>
        <v>0</v>
      </c>
      <c r="AD12" s="60" t="n">
        <f aca="false">IF('Level 5'!$C$13="",0,'Level 5'!$C$13)*(1-Answers!$C$14/100)*M12</f>
        <v>0</v>
      </c>
      <c r="AE12" s="60" t="n">
        <f aca="false">IF('Level 6'!$C$11="",0,'Level 6'!$C$11)*(1-Answers!$C$16/100)*S12</f>
        <v>0</v>
      </c>
      <c r="AF12" s="60" t="n">
        <f aca="false">IF('Level 6'!$C$12="",0,'Level 6'!$C$12)*(1-Answers!$C$17/100)*T12</f>
        <v>0</v>
      </c>
      <c r="AG12" s="60" t="n">
        <f aca="false">IF('Level 6'!$C$13="",0,'Level 6'!$C$13)*(1-Answers!$C$18/100)*U12</f>
        <v>0</v>
      </c>
      <c r="AH12" s="60" t="n">
        <f aca="false">IF('Level 6'!$C$14="",0,'Level 6'!$C$14)*(1-Answers!$C$19/100)*V12</f>
        <v>0</v>
      </c>
      <c r="AI12" s="60" t="n">
        <f aca="false">IF('Level 6'!$C$15="",0,'Level 6'!$C$15)*(1-Answers!$C$20/100)*W12</f>
        <v>0</v>
      </c>
      <c r="AJ12" s="60" t="n">
        <f aca="false">X12</f>
        <v>0</v>
      </c>
      <c r="AK12" s="60" t="n">
        <f aca="false">X12+Y12</f>
        <v>0</v>
      </c>
      <c r="AL12" s="60" t="n">
        <f aca="false">AK12+Z12</f>
        <v>0</v>
      </c>
      <c r="AM12" s="60" t="n">
        <f aca="false">AL12+AA12</f>
        <v>0</v>
      </c>
      <c r="AN12" s="60" t="n">
        <f aca="false">AM12+AB12+AC12+AD12</f>
        <v>0</v>
      </c>
      <c r="AO12" s="60" t="n">
        <f aca="false">AL12+AE12+AF12+AG12+AH12+AI12+AB12+AC12+AD12</f>
        <v>0</v>
      </c>
      <c r="AP12" s="60" t="n">
        <f aca="false">IF(Answers!$C$22="Yes",AO12,AN12)</f>
        <v>0</v>
      </c>
      <c r="AQ12" s="60" t="n">
        <v>890.3</v>
      </c>
      <c r="AR12" s="60" t="n">
        <v>-1556.6</v>
      </c>
      <c r="AS12" s="60" t="n">
        <v>0</v>
      </c>
      <c r="AT12" s="60" t="n">
        <v>1033.7</v>
      </c>
      <c r="AU12" s="60" t="n">
        <v>406.8</v>
      </c>
      <c r="AV12" s="60" t="n">
        <v>294.9</v>
      </c>
      <c r="AW12" s="60" t="n">
        <v>12.8</v>
      </c>
      <c r="AX12" s="60" t="n">
        <v>0</v>
      </c>
      <c r="AY12" s="60" t="n">
        <v>0</v>
      </c>
      <c r="AZ12" s="60" t="n">
        <v>407.8</v>
      </c>
      <c r="BA12" s="60" t="n">
        <v>0</v>
      </c>
      <c r="BB12" s="60" t="n">
        <v>625.9</v>
      </c>
      <c r="BC12" s="60" t="n">
        <f aca="false">AQ12+AR12+AS12+AT12+AU12+AV12+AW12</f>
        <v>1081.9</v>
      </c>
      <c r="BD12" s="60" t="n">
        <f aca="false">AQ12</f>
        <v>890.3</v>
      </c>
      <c r="BE12" s="60" t="n">
        <f aca="false">AQ12+AR12</f>
        <v>-666.3</v>
      </c>
      <c r="BF12" s="60" t="n">
        <f aca="false">BE12+AS12</f>
        <v>-666.3</v>
      </c>
      <c r="BG12" s="60" t="n">
        <f aca="false">BF12+AT12</f>
        <v>367.4</v>
      </c>
      <c r="BH12" s="60" t="n">
        <f aca="false">BG12+AU12+AV12+AW12</f>
        <v>1081.9</v>
      </c>
      <c r="BI12" s="60" t="n">
        <f aca="false">BC12</f>
        <v>1081.9</v>
      </c>
      <c r="BJ12" s="60" t="n">
        <f aca="false">IF('Level 1'!$C$31="Yes",BD12,AJ12)</f>
        <v>0</v>
      </c>
      <c r="BK12" s="60" t="n">
        <f aca="false">IF('Level 2'!$C$31="Yes",BE12,AK12)</f>
        <v>0</v>
      </c>
      <c r="BL12" s="60" t="n">
        <f aca="false">IF('Level 3'!$C$31="Yes",BF12,AL12)</f>
        <v>0</v>
      </c>
      <c r="BM12" s="60" t="n">
        <f aca="false">IF('Level 4'!$C$31="Yes",BG12,AM12)</f>
        <v>0</v>
      </c>
      <c r="BN12" s="60" t="n">
        <f aca="false">IF('Level 5'!$C$31="Yes",BH12,AN12)</f>
        <v>0</v>
      </c>
      <c r="BO12" s="60" t="n">
        <f aca="false">IF('Level 6'!$C$31="Yes",BI12,AO12)</f>
        <v>0</v>
      </c>
      <c r="BP12" s="60" t="n">
        <f aca="false">IF('Level 7'!$C$31="Yes",BC12,AP12)</f>
        <v>0</v>
      </c>
      <c r="BQ12" s="60" t="n">
        <f aca="false">D12-AP12</f>
        <v>2443</v>
      </c>
      <c r="BR12" s="60" t="n">
        <f aca="false">BQ12^2</f>
        <v>5968249</v>
      </c>
      <c r="BS12" s="60" t="n">
        <f aca="false">(BQ12-BQ11)^2</f>
        <v>303601</v>
      </c>
      <c r="BT12" s="60" t="n">
        <f aca="false">IF(D12&gt;2000,ABS(BQ12)/D12,"")</f>
        <v>1</v>
      </c>
      <c r="BU12" s="60" t="n">
        <v>406</v>
      </c>
      <c r="BV12" s="62" t="n">
        <v>0.4817</v>
      </c>
      <c r="BW12" s="60" t="n">
        <v>396.9</v>
      </c>
      <c r="BX12" s="60" t="n">
        <f aca="false">AA12</f>
        <v>0</v>
      </c>
      <c r="BY12" s="60" t="n">
        <f aca="false">H12</f>
        <v>53.59</v>
      </c>
      <c r="BZ12" s="60" t="n">
        <f aca="false">Z12</f>
        <v>0</v>
      </c>
      <c r="CA12" s="60" t="n">
        <f aca="false">AB12+AC12+AD12</f>
        <v>0</v>
      </c>
      <c r="CB12" s="60" t="n">
        <f aca="false">AE12+AF12+AG12+AH12+AI12</f>
        <v>0</v>
      </c>
    </row>
    <row r="13" customFormat="false" ht="15" hidden="false" customHeight="false" outlineLevel="0" collapsed="false">
      <c r="A13" s="58" t="n">
        <v>44983</v>
      </c>
      <c r="B13" s="59" t="n">
        <f aca="false">YEAR(A13)</f>
        <v>2023</v>
      </c>
      <c r="C13" s="59" t="n">
        <f aca="false">MONTH(A13)</f>
        <v>2</v>
      </c>
      <c r="D13" s="60" t="n">
        <v>2875</v>
      </c>
      <c r="E13" s="61" t="n">
        <v>0.656</v>
      </c>
      <c r="F13" s="61" t="n">
        <v>1.6134</v>
      </c>
      <c r="G13" s="61" t="n">
        <v>0</v>
      </c>
      <c r="H13" s="60" t="n">
        <v>54.36</v>
      </c>
      <c r="I13" s="60" t="n">
        <f aca="false">H13+'Level 4'!$C$12/100*I12</f>
        <v>54.36</v>
      </c>
      <c r="J13" s="60" t="n">
        <v>98.99</v>
      </c>
      <c r="K13" s="60" t="n">
        <v>271.05</v>
      </c>
      <c r="L13" s="60" t="n">
        <v>54.76</v>
      </c>
      <c r="M13" s="60" t="n">
        <f aca="false">L13+Answers!$C$14/100*M12</f>
        <v>153.53059648</v>
      </c>
      <c r="N13" s="60" t="n">
        <v>0</v>
      </c>
      <c r="O13" s="60" t="n">
        <v>0</v>
      </c>
      <c r="P13" s="60" t="n">
        <v>31.71</v>
      </c>
      <c r="Q13" s="60" t="n">
        <v>0</v>
      </c>
      <c r="R13" s="60" t="n">
        <v>19.77</v>
      </c>
      <c r="S13" s="60" t="n">
        <f aca="false">N13+Answers!$C$16/100*S12</f>
        <v>0</v>
      </c>
      <c r="T13" s="60" t="n">
        <f aca="false">O13+Answers!$C$17/100*T12</f>
        <v>0</v>
      </c>
      <c r="U13" s="60" t="n">
        <f aca="false">P13+Answers!$C$18/100*U12</f>
        <v>138.89284032</v>
      </c>
      <c r="V13" s="60" t="n">
        <f aca="false">Q13+Answers!$C$19/100*V12</f>
        <v>0</v>
      </c>
      <c r="W13" s="60" t="n">
        <f aca="false">R13+Answers!$C$20/100*W12</f>
        <v>157.510307456</v>
      </c>
      <c r="X13" s="60" t="n">
        <f aca="false">IF('Level 1'!$C$11="",0,'Level 1'!$C$11)*E13</f>
        <v>0</v>
      </c>
      <c r="Y13" s="60" t="n">
        <f aca="false">-IF('Level 2'!$C$11="",0,'Level 2'!$C$11)*F13</f>
        <v>-0</v>
      </c>
      <c r="Z13" s="60" t="n">
        <f aca="false">IF('Level 3'!$C$11="",0,'Level 3'!$C$11)*G13</f>
        <v>0</v>
      </c>
      <c r="AA13" s="60" t="n">
        <f aca="false">IF('Level 4'!$C$11="",0,'Level 4'!$C$11)*(1-'Level 4'!$C$12/100)*I13</f>
        <v>0</v>
      </c>
      <c r="AB13" s="60" t="n">
        <f aca="false">IF('Level 5'!$C$11="",0,'Level 5'!$C$11)*J13</f>
        <v>0</v>
      </c>
      <c r="AC13" s="60" t="n">
        <f aca="false">IF('Level 5'!$C$12="",0,'Level 5'!$C$12)*K13</f>
        <v>0</v>
      </c>
      <c r="AD13" s="60" t="n">
        <f aca="false">IF('Level 5'!$C$13="",0,'Level 5'!$C$13)*(1-Answers!$C$14/100)*M13</f>
        <v>0</v>
      </c>
      <c r="AE13" s="60" t="n">
        <f aca="false">IF('Level 6'!$C$11="",0,'Level 6'!$C$11)*(1-Answers!$C$16/100)*S13</f>
        <v>0</v>
      </c>
      <c r="AF13" s="60" t="n">
        <f aca="false">IF('Level 6'!$C$12="",0,'Level 6'!$C$12)*(1-Answers!$C$17/100)*T13</f>
        <v>0</v>
      </c>
      <c r="AG13" s="60" t="n">
        <f aca="false">IF('Level 6'!$C$13="",0,'Level 6'!$C$13)*(1-Answers!$C$18/100)*U13</f>
        <v>0</v>
      </c>
      <c r="AH13" s="60" t="n">
        <f aca="false">IF('Level 6'!$C$14="",0,'Level 6'!$C$14)*(1-Answers!$C$19/100)*V13</f>
        <v>0</v>
      </c>
      <c r="AI13" s="60" t="n">
        <f aca="false">IF('Level 6'!$C$15="",0,'Level 6'!$C$15)*(1-Answers!$C$20/100)*W13</f>
        <v>0</v>
      </c>
      <c r="AJ13" s="60" t="n">
        <f aca="false">X13</f>
        <v>0</v>
      </c>
      <c r="AK13" s="60" t="n">
        <f aca="false">X13+Y13</f>
        <v>0</v>
      </c>
      <c r="AL13" s="60" t="n">
        <f aca="false">AK13+Z13</f>
        <v>0</v>
      </c>
      <c r="AM13" s="60" t="n">
        <f aca="false">AL13+AA13</f>
        <v>0</v>
      </c>
      <c r="AN13" s="60" t="n">
        <f aca="false">AM13+AB13+AC13+AD13</f>
        <v>0</v>
      </c>
      <c r="AO13" s="60" t="n">
        <f aca="false">AL13+AE13+AF13+AG13+AH13+AI13+AB13+AC13+AD13</f>
        <v>0</v>
      </c>
      <c r="AP13" s="60" t="n">
        <f aca="false">IF(Answers!$C$22="Yes",AO13,AN13)</f>
        <v>0</v>
      </c>
      <c r="AQ13" s="60" t="n">
        <v>574.4</v>
      </c>
      <c r="AR13" s="60" t="n">
        <v>-1536.6</v>
      </c>
      <c r="AS13" s="60" t="n">
        <v>0</v>
      </c>
      <c r="AT13" s="60" t="n">
        <v>1022</v>
      </c>
      <c r="AU13" s="60" t="n">
        <v>366.9</v>
      </c>
      <c r="AV13" s="60" t="n">
        <v>1000.3</v>
      </c>
      <c r="AW13" s="60" t="n">
        <v>8.3</v>
      </c>
      <c r="AX13" s="60" t="n">
        <v>0</v>
      </c>
      <c r="AY13" s="60" t="n">
        <v>0</v>
      </c>
      <c r="AZ13" s="60" t="n">
        <v>429.8</v>
      </c>
      <c r="BA13" s="60" t="n">
        <v>0</v>
      </c>
      <c r="BB13" s="60" t="n">
        <v>592.2</v>
      </c>
      <c r="BC13" s="60" t="n">
        <f aca="false">AQ13+AR13+AS13+AT13+AU13+AV13+AW13</f>
        <v>1435.3</v>
      </c>
      <c r="BD13" s="60" t="n">
        <f aca="false">AQ13</f>
        <v>574.4</v>
      </c>
      <c r="BE13" s="60" t="n">
        <f aca="false">AQ13+AR13</f>
        <v>-962.2</v>
      </c>
      <c r="BF13" s="60" t="n">
        <f aca="false">BE13+AS13</f>
        <v>-962.2</v>
      </c>
      <c r="BG13" s="60" t="n">
        <f aca="false">BF13+AT13</f>
        <v>59.8000000000001</v>
      </c>
      <c r="BH13" s="60" t="n">
        <f aca="false">BG13+AU13+AV13+AW13</f>
        <v>1435.3</v>
      </c>
      <c r="BI13" s="60" t="n">
        <f aca="false">BC13</f>
        <v>1435.3</v>
      </c>
      <c r="BJ13" s="60" t="n">
        <f aca="false">IF('Level 1'!$C$31="Yes",BD13,AJ13)</f>
        <v>0</v>
      </c>
      <c r="BK13" s="60" t="n">
        <f aca="false">IF('Level 2'!$C$31="Yes",BE13,AK13)</f>
        <v>0</v>
      </c>
      <c r="BL13" s="60" t="n">
        <f aca="false">IF('Level 3'!$C$31="Yes",BF13,AL13)</f>
        <v>0</v>
      </c>
      <c r="BM13" s="60" t="n">
        <f aca="false">IF('Level 4'!$C$31="Yes",BG13,AM13)</f>
        <v>0</v>
      </c>
      <c r="BN13" s="60" t="n">
        <f aca="false">IF('Level 5'!$C$31="Yes",BH13,AN13)</f>
        <v>0</v>
      </c>
      <c r="BO13" s="60" t="n">
        <f aca="false">IF('Level 6'!$C$31="Yes",BI13,AO13)</f>
        <v>0</v>
      </c>
      <c r="BP13" s="60" t="n">
        <f aca="false">IF('Level 7'!$C$31="Yes",BC13,AP13)</f>
        <v>0</v>
      </c>
      <c r="BQ13" s="60" t="n">
        <f aca="false">D13-AP13</f>
        <v>2875</v>
      </c>
      <c r="BR13" s="60" t="n">
        <f aca="false">BQ13^2</f>
        <v>8265625</v>
      </c>
      <c r="BS13" s="60" t="n">
        <f aca="false">(BQ13-BQ12)^2</f>
        <v>186624</v>
      </c>
      <c r="BT13" s="60" t="n">
        <f aca="false">IF(D13&gt;2000,ABS(BQ13)/D13,"")</f>
        <v>1</v>
      </c>
      <c r="BU13" s="60" t="n">
        <v>344</v>
      </c>
      <c r="BV13" s="62" t="n">
        <v>0.4868</v>
      </c>
      <c r="BW13" s="60" t="n">
        <v>598.8</v>
      </c>
      <c r="BX13" s="60" t="n">
        <f aca="false">AA13</f>
        <v>0</v>
      </c>
      <c r="BY13" s="60" t="n">
        <f aca="false">H13</f>
        <v>54.36</v>
      </c>
      <c r="BZ13" s="60" t="n">
        <f aca="false">Z13</f>
        <v>0</v>
      </c>
      <c r="CA13" s="60" t="n">
        <f aca="false">AB13+AC13+AD13</f>
        <v>0</v>
      </c>
      <c r="CB13" s="60" t="n">
        <f aca="false">AE13+AF13+AG13+AH13+AI13</f>
        <v>0</v>
      </c>
    </row>
    <row r="14" customFormat="false" ht="15" hidden="false" customHeight="false" outlineLevel="0" collapsed="false">
      <c r="A14" s="58" t="n">
        <v>44990</v>
      </c>
      <c r="B14" s="59" t="n">
        <f aca="false">YEAR(A14)</f>
        <v>2023</v>
      </c>
      <c r="C14" s="59" t="n">
        <f aca="false">MONTH(A14)</f>
        <v>3</v>
      </c>
      <c r="D14" s="60" t="n">
        <v>4349</v>
      </c>
      <c r="E14" s="61" t="n">
        <v>0.6973</v>
      </c>
      <c r="F14" s="61" t="n">
        <v>1.7935</v>
      </c>
      <c r="G14" s="61" t="n">
        <v>0</v>
      </c>
      <c r="H14" s="60" t="n">
        <v>42.52</v>
      </c>
      <c r="I14" s="60" t="n">
        <f aca="false">H14+'Level 4'!$C$12/100*I13</f>
        <v>42.52</v>
      </c>
      <c r="J14" s="60" t="n">
        <v>102.46</v>
      </c>
      <c r="K14" s="60" t="n">
        <v>57.42</v>
      </c>
      <c r="L14" s="60" t="n">
        <v>12.22</v>
      </c>
      <c r="M14" s="60" t="n">
        <f aca="false">L14+Answers!$C$14/100*M13</f>
        <v>104.338357888</v>
      </c>
      <c r="N14" s="60" t="n">
        <v>0</v>
      </c>
      <c r="O14" s="60" t="n">
        <v>0</v>
      </c>
      <c r="P14" s="60" t="n">
        <v>3.75</v>
      </c>
      <c r="Q14" s="60" t="n">
        <v>0</v>
      </c>
      <c r="R14" s="60" t="n">
        <v>34.42</v>
      </c>
      <c r="S14" s="60" t="n">
        <f aca="false">N14+Answers!$C$16/100*S13</f>
        <v>0</v>
      </c>
      <c r="T14" s="60" t="n">
        <f aca="false">O14+Answers!$C$17/100*T13</f>
        <v>0</v>
      </c>
      <c r="U14" s="60" t="n">
        <f aca="false">P14+Answers!$C$18/100*U13</f>
        <v>114.864272256</v>
      </c>
      <c r="V14" s="60" t="n">
        <f aca="false">Q14+Answers!$C$19/100*V13</f>
        <v>0</v>
      </c>
      <c r="W14" s="60" t="n">
        <f aca="false">R14+Answers!$C$20/100*W13</f>
        <v>160.4282459648</v>
      </c>
      <c r="X14" s="60" t="n">
        <f aca="false">IF('Level 1'!$C$11="",0,'Level 1'!$C$11)*E14</f>
        <v>0</v>
      </c>
      <c r="Y14" s="60" t="n">
        <f aca="false">-IF('Level 2'!$C$11="",0,'Level 2'!$C$11)*F14</f>
        <v>-0</v>
      </c>
      <c r="Z14" s="60" t="n">
        <f aca="false">IF('Level 3'!$C$11="",0,'Level 3'!$C$11)*G14</f>
        <v>0</v>
      </c>
      <c r="AA14" s="60" t="n">
        <f aca="false">IF('Level 4'!$C$11="",0,'Level 4'!$C$11)*(1-'Level 4'!$C$12/100)*I14</f>
        <v>0</v>
      </c>
      <c r="AB14" s="60" t="n">
        <f aca="false">IF('Level 5'!$C$11="",0,'Level 5'!$C$11)*J14</f>
        <v>0</v>
      </c>
      <c r="AC14" s="60" t="n">
        <f aca="false">IF('Level 5'!$C$12="",0,'Level 5'!$C$12)*K14</f>
        <v>0</v>
      </c>
      <c r="AD14" s="60" t="n">
        <f aca="false">IF('Level 5'!$C$13="",0,'Level 5'!$C$13)*(1-Answers!$C$14/100)*M14</f>
        <v>0</v>
      </c>
      <c r="AE14" s="60" t="n">
        <f aca="false">IF('Level 6'!$C$11="",0,'Level 6'!$C$11)*(1-Answers!$C$16/100)*S14</f>
        <v>0</v>
      </c>
      <c r="AF14" s="60" t="n">
        <f aca="false">IF('Level 6'!$C$12="",0,'Level 6'!$C$12)*(1-Answers!$C$17/100)*T14</f>
        <v>0</v>
      </c>
      <c r="AG14" s="60" t="n">
        <f aca="false">IF('Level 6'!$C$13="",0,'Level 6'!$C$13)*(1-Answers!$C$18/100)*U14</f>
        <v>0</v>
      </c>
      <c r="AH14" s="60" t="n">
        <f aca="false">IF('Level 6'!$C$14="",0,'Level 6'!$C$14)*(1-Answers!$C$19/100)*V14</f>
        <v>0</v>
      </c>
      <c r="AI14" s="60" t="n">
        <f aca="false">IF('Level 6'!$C$15="",0,'Level 6'!$C$15)*(1-Answers!$C$20/100)*W14</f>
        <v>0</v>
      </c>
      <c r="AJ14" s="60" t="n">
        <f aca="false">X14</f>
        <v>0</v>
      </c>
      <c r="AK14" s="60" t="n">
        <f aca="false">X14+Y14</f>
        <v>0</v>
      </c>
      <c r="AL14" s="60" t="n">
        <f aca="false">AK14+Z14</f>
        <v>0</v>
      </c>
      <c r="AM14" s="60" t="n">
        <f aca="false">AL14+AA14</f>
        <v>0</v>
      </c>
      <c r="AN14" s="60" t="n">
        <f aca="false">AM14+AB14+AC14+AD14</f>
        <v>0</v>
      </c>
      <c r="AO14" s="60" t="n">
        <f aca="false">AL14+AE14+AF14+AG14+AH14+AI14+AB14+AC14+AD14</f>
        <v>0</v>
      </c>
      <c r="AP14" s="60" t="n">
        <f aca="false">IF(Answers!$C$22="Yes",AO14,AN14)</f>
        <v>0</v>
      </c>
      <c r="AQ14" s="60" t="n">
        <v>610.6</v>
      </c>
      <c r="AR14" s="60" t="n">
        <v>-1708.2</v>
      </c>
      <c r="AS14" s="60" t="n">
        <v>0</v>
      </c>
      <c r="AT14" s="60" t="n">
        <v>976.8</v>
      </c>
      <c r="AU14" s="60" t="n">
        <v>377.2</v>
      </c>
      <c r="AV14" s="60" t="n">
        <v>211.9</v>
      </c>
      <c r="AW14" s="60" t="n">
        <v>5.4</v>
      </c>
      <c r="AX14" s="60" t="n">
        <v>0</v>
      </c>
      <c r="AY14" s="60" t="n">
        <v>0</v>
      </c>
      <c r="AZ14" s="60" t="n">
        <v>375.2</v>
      </c>
      <c r="BA14" s="60" t="n">
        <v>0</v>
      </c>
      <c r="BB14" s="60" t="n">
        <v>601.6</v>
      </c>
      <c r="BC14" s="60" t="n">
        <f aca="false">AQ14+AR14+AS14+AT14+AU14+AV14+AW14</f>
        <v>473.7</v>
      </c>
      <c r="BD14" s="60" t="n">
        <f aca="false">AQ14</f>
        <v>610.6</v>
      </c>
      <c r="BE14" s="60" t="n">
        <f aca="false">AQ14+AR14</f>
        <v>-1097.6</v>
      </c>
      <c r="BF14" s="60" t="n">
        <f aca="false">BE14+AS14</f>
        <v>-1097.6</v>
      </c>
      <c r="BG14" s="60" t="n">
        <f aca="false">BF14+AT14</f>
        <v>-120.8</v>
      </c>
      <c r="BH14" s="60" t="n">
        <f aca="false">BG14+AU14+AV14+AW14</f>
        <v>473.7</v>
      </c>
      <c r="BI14" s="60" t="n">
        <f aca="false">BC14</f>
        <v>473.7</v>
      </c>
      <c r="BJ14" s="60" t="n">
        <f aca="false">IF('Level 1'!$C$31="Yes",BD14,AJ14)</f>
        <v>0</v>
      </c>
      <c r="BK14" s="60" t="n">
        <f aca="false">IF('Level 2'!$C$31="Yes",BE14,AK14)</f>
        <v>0</v>
      </c>
      <c r="BL14" s="60" t="n">
        <f aca="false">IF('Level 3'!$C$31="Yes",BF14,AL14)</f>
        <v>0</v>
      </c>
      <c r="BM14" s="60" t="n">
        <f aca="false">IF('Level 4'!$C$31="Yes",BG14,AM14)</f>
        <v>0</v>
      </c>
      <c r="BN14" s="60" t="n">
        <f aca="false">IF('Level 5'!$C$31="Yes",BH14,AN14)</f>
        <v>0</v>
      </c>
      <c r="BO14" s="60" t="n">
        <f aca="false">IF('Level 6'!$C$31="Yes",BI14,AO14)</f>
        <v>0</v>
      </c>
      <c r="BP14" s="60" t="n">
        <f aca="false">IF('Level 7'!$C$31="Yes",BC14,AP14)</f>
        <v>0</v>
      </c>
      <c r="BQ14" s="60" t="n">
        <f aca="false">D14-AP14</f>
        <v>4349</v>
      </c>
      <c r="BR14" s="60" t="n">
        <f aca="false">BQ14^2</f>
        <v>18913801</v>
      </c>
      <c r="BS14" s="60" t="n">
        <f aca="false">(BQ14-BQ13)^2</f>
        <v>2172676</v>
      </c>
      <c r="BT14" s="60" t="n">
        <f aca="false">IF(D14&gt;2000,ABS(BQ14)/D14,"")</f>
        <v>1</v>
      </c>
      <c r="BU14" s="60" t="n">
        <v>249</v>
      </c>
      <c r="BV14" s="62" t="n">
        <v>0.4889</v>
      </c>
      <c r="BW14" s="60" t="n">
        <v>308.4</v>
      </c>
      <c r="BX14" s="60" t="n">
        <f aca="false">AA14</f>
        <v>0</v>
      </c>
      <c r="BY14" s="60" t="n">
        <f aca="false">H14</f>
        <v>42.52</v>
      </c>
      <c r="BZ14" s="60" t="n">
        <f aca="false">Z14</f>
        <v>0</v>
      </c>
      <c r="CA14" s="60" t="n">
        <f aca="false">AB14+AC14+AD14</f>
        <v>0</v>
      </c>
      <c r="CB14" s="60" t="n">
        <f aca="false">AE14+AF14+AG14+AH14+AI14</f>
        <v>0</v>
      </c>
    </row>
    <row r="15" customFormat="false" ht="15" hidden="false" customHeight="false" outlineLevel="0" collapsed="false">
      <c r="A15" s="58" t="n">
        <v>44997</v>
      </c>
      <c r="B15" s="59" t="n">
        <f aca="false">YEAR(A15)</f>
        <v>2023</v>
      </c>
      <c r="C15" s="59" t="n">
        <f aca="false">MONTH(A15)</f>
        <v>3</v>
      </c>
      <c r="D15" s="60" t="n">
        <v>4234</v>
      </c>
      <c r="E15" s="61" t="n">
        <v>0.6036</v>
      </c>
      <c r="F15" s="61" t="n">
        <v>1.6714</v>
      </c>
      <c r="G15" s="61" t="n">
        <v>0</v>
      </c>
      <c r="H15" s="60" t="n">
        <v>118.1</v>
      </c>
      <c r="I15" s="60" t="n">
        <f aca="false">H15+'Level 4'!$C$12/100*I14</f>
        <v>118.1</v>
      </c>
      <c r="J15" s="60" t="n">
        <v>110.19</v>
      </c>
      <c r="K15" s="60" t="n">
        <v>94.51</v>
      </c>
      <c r="L15" s="60" t="n">
        <v>0</v>
      </c>
      <c r="M15" s="60" t="n">
        <f aca="false">L15+Answers!$C$14/100*M14</f>
        <v>62.6030147328</v>
      </c>
      <c r="N15" s="60" t="n">
        <v>0</v>
      </c>
      <c r="O15" s="60" t="n">
        <v>0</v>
      </c>
      <c r="P15" s="60" t="n">
        <v>56.51</v>
      </c>
      <c r="Q15" s="60" t="n">
        <v>0</v>
      </c>
      <c r="R15" s="60" t="n">
        <v>57.35</v>
      </c>
      <c r="S15" s="60" t="n">
        <f aca="false">N15+Answers!$C$16/100*S14</f>
        <v>0</v>
      </c>
      <c r="T15" s="60" t="n">
        <f aca="false">O15+Answers!$C$17/100*T14</f>
        <v>0</v>
      </c>
      <c r="U15" s="60" t="n">
        <f aca="false">P15+Answers!$C$18/100*U14</f>
        <v>148.4014178048</v>
      </c>
      <c r="V15" s="60" t="n">
        <f aca="false">Q15+Answers!$C$19/100*V14</f>
        <v>0</v>
      </c>
      <c r="W15" s="60" t="n">
        <f aca="false">R15+Answers!$C$20/100*W14</f>
        <v>185.69259677184</v>
      </c>
      <c r="X15" s="60" t="n">
        <f aca="false">IF('Level 1'!$C$11="",0,'Level 1'!$C$11)*E15</f>
        <v>0</v>
      </c>
      <c r="Y15" s="60" t="n">
        <f aca="false">-IF('Level 2'!$C$11="",0,'Level 2'!$C$11)*F15</f>
        <v>-0</v>
      </c>
      <c r="Z15" s="60" t="n">
        <f aca="false">IF('Level 3'!$C$11="",0,'Level 3'!$C$11)*G15</f>
        <v>0</v>
      </c>
      <c r="AA15" s="60" t="n">
        <f aca="false">IF('Level 4'!$C$11="",0,'Level 4'!$C$11)*(1-'Level 4'!$C$12/100)*I15</f>
        <v>0</v>
      </c>
      <c r="AB15" s="60" t="n">
        <f aca="false">IF('Level 5'!$C$11="",0,'Level 5'!$C$11)*J15</f>
        <v>0</v>
      </c>
      <c r="AC15" s="60" t="n">
        <f aca="false">IF('Level 5'!$C$12="",0,'Level 5'!$C$12)*K15</f>
        <v>0</v>
      </c>
      <c r="AD15" s="60" t="n">
        <f aca="false">IF('Level 5'!$C$13="",0,'Level 5'!$C$13)*(1-Answers!$C$14/100)*M15</f>
        <v>0</v>
      </c>
      <c r="AE15" s="60" t="n">
        <f aca="false">IF('Level 6'!$C$11="",0,'Level 6'!$C$11)*(1-Answers!$C$16/100)*S15</f>
        <v>0</v>
      </c>
      <c r="AF15" s="60" t="n">
        <f aca="false">IF('Level 6'!$C$12="",0,'Level 6'!$C$12)*(1-Answers!$C$17/100)*T15</f>
        <v>0</v>
      </c>
      <c r="AG15" s="60" t="n">
        <f aca="false">IF('Level 6'!$C$13="",0,'Level 6'!$C$13)*(1-Answers!$C$18/100)*U15</f>
        <v>0</v>
      </c>
      <c r="AH15" s="60" t="n">
        <f aca="false">IF('Level 6'!$C$14="",0,'Level 6'!$C$14)*(1-Answers!$C$19/100)*V15</f>
        <v>0</v>
      </c>
      <c r="AI15" s="60" t="n">
        <f aca="false">IF('Level 6'!$C$15="",0,'Level 6'!$C$15)*(1-Answers!$C$20/100)*W15</f>
        <v>0</v>
      </c>
      <c r="AJ15" s="60" t="n">
        <f aca="false">X15</f>
        <v>0</v>
      </c>
      <c r="AK15" s="60" t="n">
        <f aca="false">X15+Y15</f>
        <v>0</v>
      </c>
      <c r="AL15" s="60" t="n">
        <f aca="false">AK15+Z15</f>
        <v>0</v>
      </c>
      <c r="AM15" s="60" t="n">
        <f aca="false">AL15+AA15</f>
        <v>0</v>
      </c>
      <c r="AN15" s="60" t="n">
        <f aca="false">AM15+AB15+AC15+AD15</f>
        <v>0</v>
      </c>
      <c r="AO15" s="60" t="n">
        <f aca="false">AL15+AE15+AF15+AG15+AH15+AI15+AB15+AC15+AD15</f>
        <v>0</v>
      </c>
      <c r="AP15" s="60" t="n">
        <f aca="false">IF(Answers!$C$22="Yes",AO15,AN15)</f>
        <v>0</v>
      </c>
      <c r="AQ15" s="60" t="n">
        <v>528.5</v>
      </c>
      <c r="AR15" s="60" t="n">
        <v>-1591.8</v>
      </c>
      <c r="AS15" s="60" t="n">
        <v>0</v>
      </c>
      <c r="AT15" s="60" t="n">
        <v>1140.2</v>
      </c>
      <c r="AU15" s="60" t="n">
        <v>411.1</v>
      </c>
      <c r="AV15" s="60" t="n">
        <v>348.8</v>
      </c>
      <c r="AW15" s="60" t="n">
        <v>3.5</v>
      </c>
      <c r="AX15" s="60" t="n">
        <v>0</v>
      </c>
      <c r="AY15" s="60" t="n">
        <v>0</v>
      </c>
      <c r="AZ15" s="60" t="n">
        <v>467.1</v>
      </c>
      <c r="BA15" s="60" t="n">
        <v>0</v>
      </c>
      <c r="BB15" s="60" t="n">
        <v>673.2</v>
      </c>
      <c r="BC15" s="60" t="n">
        <f aca="false">AQ15+AR15+AS15+AT15+AU15+AV15+AW15</f>
        <v>840.3</v>
      </c>
      <c r="BD15" s="60" t="n">
        <f aca="false">AQ15</f>
        <v>528.5</v>
      </c>
      <c r="BE15" s="60" t="n">
        <f aca="false">AQ15+AR15</f>
        <v>-1063.3</v>
      </c>
      <c r="BF15" s="60" t="n">
        <f aca="false">BE15+AS15</f>
        <v>-1063.3</v>
      </c>
      <c r="BG15" s="60" t="n">
        <f aca="false">BF15+AT15</f>
        <v>76.9000000000001</v>
      </c>
      <c r="BH15" s="60" t="n">
        <f aca="false">BG15+AU15+AV15+AW15</f>
        <v>840.3</v>
      </c>
      <c r="BI15" s="60" t="n">
        <f aca="false">BC15</f>
        <v>840.3</v>
      </c>
      <c r="BJ15" s="60" t="n">
        <f aca="false">IF('Level 1'!$C$31="Yes",BD15,AJ15)</f>
        <v>0</v>
      </c>
      <c r="BK15" s="60" t="n">
        <f aca="false">IF('Level 2'!$C$31="Yes",BE15,AK15)</f>
        <v>0</v>
      </c>
      <c r="BL15" s="60" t="n">
        <f aca="false">IF('Level 3'!$C$31="Yes",BF15,AL15)</f>
        <v>0</v>
      </c>
      <c r="BM15" s="60" t="n">
        <f aca="false">IF('Level 4'!$C$31="Yes",BG15,AM15)</f>
        <v>0</v>
      </c>
      <c r="BN15" s="60" t="n">
        <f aca="false">IF('Level 5'!$C$31="Yes",BH15,AN15)</f>
        <v>0</v>
      </c>
      <c r="BO15" s="60" t="n">
        <f aca="false">IF('Level 6'!$C$31="Yes",BI15,AO15)</f>
        <v>0</v>
      </c>
      <c r="BP15" s="60" t="n">
        <f aca="false">IF('Level 7'!$C$31="Yes",BC15,AP15)</f>
        <v>0</v>
      </c>
      <c r="BQ15" s="60" t="n">
        <f aca="false">D15-AP15</f>
        <v>4234</v>
      </c>
      <c r="BR15" s="60" t="n">
        <f aca="false">BQ15^2</f>
        <v>17926756</v>
      </c>
      <c r="BS15" s="60" t="n">
        <f aca="false">(BQ15-BQ14)^2</f>
        <v>13225</v>
      </c>
      <c r="BT15" s="60" t="n">
        <f aca="false">IF(D15&gt;2000,ABS(BQ15)/D15,"")</f>
        <v>1</v>
      </c>
      <c r="BU15" s="60" t="n">
        <v>248</v>
      </c>
      <c r="BV15" s="62" t="n">
        <v>0.4889</v>
      </c>
      <c r="BW15" s="60" t="n">
        <v>383.5</v>
      </c>
      <c r="BX15" s="60" t="n">
        <f aca="false">AA15</f>
        <v>0</v>
      </c>
      <c r="BY15" s="60" t="n">
        <f aca="false">H15</f>
        <v>118.1</v>
      </c>
      <c r="BZ15" s="60" t="n">
        <f aca="false">Z15</f>
        <v>0</v>
      </c>
      <c r="CA15" s="60" t="n">
        <f aca="false">AB15+AC15+AD15</f>
        <v>0</v>
      </c>
      <c r="CB15" s="60" t="n">
        <f aca="false">AE15+AF15+AG15+AH15+AI15</f>
        <v>0</v>
      </c>
    </row>
    <row r="16" customFormat="false" ht="15" hidden="false" customHeight="false" outlineLevel="0" collapsed="false">
      <c r="A16" s="58" t="n">
        <v>45004</v>
      </c>
      <c r="B16" s="59" t="n">
        <f aca="false">YEAR(A16)</f>
        <v>2023</v>
      </c>
      <c r="C16" s="59" t="n">
        <f aca="false">MONTH(A16)</f>
        <v>3</v>
      </c>
      <c r="D16" s="60" t="n">
        <v>4847</v>
      </c>
      <c r="E16" s="61" t="n">
        <v>0.6032</v>
      </c>
      <c r="F16" s="61" t="n">
        <v>1.4405</v>
      </c>
      <c r="G16" s="61" t="n">
        <v>0</v>
      </c>
      <c r="H16" s="60" t="n">
        <v>138.36</v>
      </c>
      <c r="I16" s="60" t="n">
        <f aca="false">H16+'Level 4'!$C$12/100*I15</f>
        <v>138.36</v>
      </c>
      <c r="J16" s="60" t="n">
        <v>106.94</v>
      </c>
      <c r="K16" s="60" t="n">
        <v>187.9</v>
      </c>
      <c r="L16" s="60" t="n">
        <v>0</v>
      </c>
      <c r="M16" s="60" t="n">
        <f aca="false">L16+Answers!$C$14/100*M15</f>
        <v>37.56180883968</v>
      </c>
      <c r="N16" s="60" t="n">
        <v>0</v>
      </c>
      <c r="O16" s="60" t="n">
        <v>0</v>
      </c>
      <c r="P16" s="60" t="n">
        <v>39.38</v>
      </c>
      <c r="Q16" s="60" t="n">
        <v>0</v>
      </c>
      <c r="R16" s="60" t="n">
        <v>94.14</v>
      </c>
      <c r="S16" s="60" t="n">
        <f aca="false">N16+Answers!$C$16/100*S15</f>
        <v>0</v>
      </c>
      <c r="T16" s="60" t="n">
        <f aca="false">O16+Answers!$C$17/100*T15</f>
        <v>0</v>
      </c>
      <c r="U16" s="60" t="n">
        <f aca="false">P16+Answers!$C$18/100*U15</f>
        <v>158.10113424384</v>
      </c>
      <c r="V16" s="60" t="n">
        <f aca="false">Q16+Answers!$C$19/100*V15</f>
        <v>0</v>
      </c>
      <c r="W16" s="60" t="n">
        <f aca="false">R16+Answers!$C$20/100*W15</f>
        <v>242.694077417472</v>
      </c>
      <c r="X16" s="60" t="n">
        <f aca="false">IF('Level 1'!$C$11="",0,'Level 1'!$C$11)*E16</f>
        <v>0</v>
      </c>
      <c r="Y16" s="60" t="n">
        <f aca="false">-IF('Level 2'!$C$11="",0,'Level 2'!$C$11)*F16</f>
        <v>-0</v>
      </c>
      <c r="Z16" s="60" t="n">
        <f aca="false">IF('Level 3'!$C$11="",0,'Level 3'!$C$11)*G16</f>
        <v>0</v>
      </c>
      <c r="AA16" s="60" t="n">
        <f aca="false">IF('Level 4'!$C$11="",0,'Level 4'!$C$11)*(1-'Level 4'!$C$12/100)*I16</f>
        <v>0</v>
      </c>
      <c r="AB16" s="60" t="n">
        <f aca="false">IF('Level 5'!$C$11="",0,'Level 5'!$C$11)*J16</f>
        <v>0</v>
      </c>
      <c r="AC16" s="60" t="n">
        <f aca="false">IF('Level 5'!$C$12="",0,'Level 5'!$C$12)*K16</f>
        <v>0</v>
      </c>
      <c r="AD16" s="60" t="n">
        <f aca="false">IF('Level 5'!$C$13="",0,'Level 5'!$C$13)*(1-Answers!$C$14/100)*M16</f>
        <v>0</v>
      </c>
      <c r="AE16" s="60" t="n">
        <f aca="false">IF('Level 6'!$C$11="",0,'Level 6'!$C$11)*(1-Answers!$C$16/100)*S16</f>
        <v>0</v>
      </c>
      <c r="AF16" s="60" t="n">
        <f aca="false">IF('Level 6'!$C$12="",0,'Level 6'!$C$12)*(1-Answers!$C$17/100)*T16</f>
        <v>0</v>
      </c>
      <c r="AG16" s="60" t="n">
        <f aca="false">IF('Level 6'!$C$13="",0,'Level 6'!$C$13)*(1-Answers!$C$18/100)*U16</f>
        <v>0</v>
      </c>
      <c r="AH16" s="60" t="n">
        <f aca="false">IF('Level 6'!$C$14="",0,'Level 6'!$C$14)*(1-Answers!$C$19/100)*V16</f>
        <v>0</v>
      </c>
      <c r="AI16" s="60" t="n">
        <f aca="false">IF('Level 6'!$C$15="",0,'Level 6'!$C$15)*(1-Answers!$C$20/100)*W16</f>
        <v>0</v>
      </c>
      <c r="AJ16" s="60" t="n">
        <f aca="false">X16</f>
        <v>0</v>
      </c>
      <c r="AK16" s="60" t="n">
        <f aca="false">X16+Y16</f>
        <v>0</v>
      </c>
      <c r="AL16" s="60" t="n">
        <f aca="false">AK16+Z16</f>
        <v>0</v>
      </c>
      <c r="AM16" s="60" t="n">
        <f aca="false">AL16+AA16</f>
        <v>0</v>
      </c>
      <c r="AN16" s="60" t="n">
        <f aca="false">AM16+AB16+AC16+AD16</f>
        <v>0</v>
      </c>
      <c r="AO16" s="60" t="n">
        <f aca="false">AL16+AE16+AF16+AG16+AH16+AI16+AB16+AC16+AD16</f>
        <v>0</v>
      </c>
      <c r="AP16" s="60" t="n">
        <f aca="false">IF(Answers!$C$22="Yes",AO16,AN16)</f>
        <v>0</v>
      </c>
      <c r="AQ16" s="60" t="n">
        <v>528.2</v>
      </c>
      <c r="AR16" s="60" t="n">
        <v>-1372</v>
      </c>
      <c r="AS16" s="60" t="n">
        <v>0</v>
      </c>
      <c r="AT16" s="60" t="n">
        <v>1329.2</v>
      </c>
      <c r="AU16" s="60" t="n">
        <v>405.8</v>
      </c>
      <c r="AV16" s="60" t="n">
        <v>693.4</v>
      </c>
      <c r="AW16" s="60" t="n">
        <v>2.3</v>
      </c>
      <c r="AX16" s="60" t="n">
        <v>0</v>
      </c>
      <c r="AY16" s="60" t="n">
        <v>0</v>
      </c>
      <c r="AZ16" s="60" t="n">
        <v>500.3</v>
      </c>
      <c r="BA16" s="60" t="n">
        <v>0</v>
      </c>
      <c r="BB16" s="60" t="n">
        <v>828.9</v>
      </c>
      <c r="BC16" s="60" t="n">
        <f aca="false">AQ16+AR16+AS16+AT16+AU16+AV16+AW16</f>
        <v>1586.9</v>
      </c>
      <c r="BD16" s="60" t="n">
        <f aca="false">AQ16</f>
        <v>528.2</v>
      </c>
      <c r="BE16" s="60" t="n">
        <f aca="false">AQ16+AR16</f>
        <v>-843.8</v>
      </c>
      <c r="BF16" s="60" t="n">
        <f aca="false">BE16+AS16</f>
        <v>-843.8</v>
      </c>
      <c r="BG16" s="60" t="n">
        <f aca="false">BF16+AT16</f>
        <v>485.4</v>
      </c>
      <c r="BH16" s="60" t="n">
        <f aca="false">BG16+AU16+AV16+AW16</f>
        <v>1586.9</v>
      </c>
      <c r="BI16" s="60" t="n">
        <f aca="false">BC16</f>
        <v>1586.9</v>
      </c>
      <c r="BJ16" s="60" t="n">
        <f aca="false">IF('Level 1'!$C$31="Yes",BD16,AJ16)</f>
        <v>0</v>
      </c>
      <c r="BK16" s="60" t="n">
        <f aca="false">IF('Level 2'!$C$31="Yes",BE16,AK16)</f>
        <v>0</v>
      </c>
      <c r="BL16" s="60" t="n">
        <f aca="false">IF('Level 3'!$C$31="Yes",BF16,AL16)</f>
        <v>0</v>
      </c>
      <c r="BM16" s="60" t="n">
        <f aca="false">IF('Level 4'!$C$31="Yes",BG16,AM16)</f>
        <v>0</v>
      </c>
      <c r="BN16" s="60" t="n">
        <f aca="false">IF('Level 5'!$C$31="Yes",BH16,AN16)</f>
        <v>0</v>
      </c>
      <c r="BO16" s="60" t="n">
        <f aca="false">IF('Level 6'!$C$31="Yes",BI16,AO16)</f>
        <v>0</v>
      </c>
      <c r="BP16" s="60" t="n">
        <f aca="false">IF('Level 7'!$C$31="Yes",BC16,AP16)</f>
        <v>0</v>
      </c>
      <c r="BQ16" s="60" t="n">
        <f aca="false">D16-AP16</f>
        <v>4847</v>
      </c>
      <c r="BR16" s="60" t="n">
        <f aca="false">BQ16^2</f>
        <v>23493409</v>
      </c>
      <c r="BS16" s="60" t="n">
        <f aca="false">(BQ16-BQ15)^2</f>
        <v>375769</v>
      </c>
      <c r="BT16" s="60" t="n">
        <f aca="false">IF(D16&gt;2000,ABS(BQ16)/D16,"")</f>
        <v>1</v>
      </c>
      <c r="BU16" s="60" t="n">
        <v>209</v>
      </c>
      <c r="BV16" s="62" t="n">
        <v>0.4889</v>
      </c>
      <c r="BW16" s="60" t="n">
        <v>493.8</v>
      </c>
      <c r="BX16" s="60" t="n">
        <f aca="false">AA16</f>
        <v>0</v>
      </c>
      <c r="BY16" s="60" t="n">
        <f aca="false">H16</f>
        <v>138.36</v>
      </c>
      <c r="BZ16" s="60" t="n">
        <f aca="false">Z16</f>
        <v>0</v>
      </c>
      <c r="CA16" s="60" t="n">
        <f aca="false">AB16+AC16+AD16</f>
        <v>0</v>
      </c>
      <c r="CB16" s="60" t="n">
        <f aca="false">AE16+AF16+AG16+AH16+AI16</f>
        <v>0</v>
      </c>
    </row>
    <row r="17" customFormat="false" ht="15" hidden="false" customHeight="false" outlineLevel="0" collapsed="false">
      <c r="A17" s="58" t="n">
        <v>45011</v>
      </c>
      <c r="B17" s="59" t="n">
        <f aca="false">YEAR(A17)</f>
        <v>2023</v>
      </c>
      <c r="C17" s="59" t="n">
        <f aca="false">MONTH(A17)</f>
        <v>3</v>
      </c>
      <c r="D17" s="60" t="n">
        <v>8370</v>
      </c>
      <c r="E17" s="61" t="n">
        <v>0.6306</v>
      </c>
      <c r="F17" s="61" t="n">
        <v>0.9197</v>
      </c>
      <c r="G17" s="61" t="n">
        <v>0.4166</v>
      </c>
      <c r="H17" s="60" t="n">
        <v>757.46</v>
      </c>
      <c r="I17" s="60" t="n">
        <f aca="false">H17+'Level 4'!$C$12/100*I16</f>
        <v>757.46</v>
      </c>
      <c r="J17" s="60" t="n">
        <v>78.76</v>
      </c>
      <c r="K17" s="60" t="n">
        <v>85.55</v>
      </c>
      <c r="L17" s="60" t="n">
        <v>0</v>
      </c>
      <c r="M17" s="60" t="n">
        <f aca="false">L17+Answers!$C$14/100*M16</f>
        <v>22.537085303808</v>
      </c>
      <c r="N17" s="60" t="n">
        <v>594.47</v>
      </c>
      <c r="O17" s="60" t="n">
        <v>108.03</v>
      </c>
      <c r="P17" s="60" t="n">
        <v>0</v>
      </c>
      <c r="Q17" s="60" t="n">
        <v>0</v>
      </c>
      <c r="R17" s="60" t="n">
        <v>46.59</v>
      </c>
      <c r="S17" s="60" t="n">
        <f aca="false">N17+Answers!$C$16/100*S16</f>
        <v>594.47</v>
      </c>
      <c r="T17" s="60" t="n">
        <f aca="false">O17+Answers!$C$17/100*T16</f>
        <v>108.03</v>
      </c>
      <c r="U17" s="60" t="n">
        <f aca="false">P17+Answers!$C$18/100*U16</f>
        <v>126.480907395072</v>
      </c>
      <c r="V17" s="60" t="n">
        <f aca="false">Q17+Answers!$C$19/100*V16</f>
        <v>0</v>
      </c>
      <c r="W17" s="60" t="n">
        <f aca="false">R17+Answers!$C$20/100*W16</f>
        <v>240.745261933978</v>
      </c>
      <c r="X17" s="60" t="n">
        <f aca="false">IF('Level 1'!$C$11="",0,'Level 1'!$C$11)*E17</f>
        <v>0</v>
      </c>
      <c r="Y17" s="60" t="n">
        <f aca="false">-IF('Level 2'!$C$11="",0,'Level 2'!$C$11)*F17</f>
        <v>-0</v>
      </c>
      <c r="Z17" s="60" t="n">
        <f aca="false">IF('Level 3'!$C$11="",0,'Level 3'!$C$11)*G17</f>
        <v>0</v>
      </c>
      <c r="AA17" s="60" t="n">
        <f aca="false">IF('Level 4'!$C$11="",0,'Level 4'!$C$11)*(1-'Level 4'!$C$12/100)*I17</f>
        <v>0</v>
      </c>
      <c r="AB17" s="60" t="n">
        <f aca="false">IF('Level 5'!$C$11="",0,'Level 5'!$C$11)*J17</f>
        <v>0</v>
      </c>
      <c r="AC17" s="60" t="n">
        <f aca="false">IF('Level 5'!$C$12="",0,'Level 5'!$C$12)*K17</f>
        <v>0</v>
      </c>
      <c r="AD17" s="60" t="n">
        <f aca="false">IF('Level 5'!$C$13="",0,'Level 5'!$C$13)*(1-Answers!$C$14/100)*M17</f>
        <v>0</v>
      </c>
      <c r="AE17" s="60" t="n">
        <f aca="false">IF('Level 6'!$C$11="",0,'Level 6'!$C$11)*(1-Answers!$C$16/100)*S17</f>
        <v>0</v>
      </c>
      <c r="AF17" s="60" t="n">
        <f aca="false">IF('Level 6'!$C$12="",0,'Level 6'!$C$12)*(1-Answers!$C$17/100)*T17</f>
        <v>0</v>
      </c>
      <c r="AG17" s="60" t="n">
        <f aca="false">IF('Level 6'!$C$13="",0,'Level 6'!$C$13)*(1-Answers!$C$18/100)*U17</f>
        <v>0</v>
      </c>
      <c r="AH17" s="60" t="n">
        <f aca="false">IF('Level 6'!$C$14="",0,'Level 6'!$C$14)*(1-Answers!$C$19/100)*V17</f>
        <v>0</v>
      </c>
      <c r="AI17" s="60" t="n">
        <f aca="false">IF('Level 6'!$C$15="",0,'Level 6'!$C$15)*(1-Answers!$C$20/100)*W17</f>
        <v>0</v>
      </c>
      <c r="AJ17" s="60" t="n">
        <f aca="false">X17</f>
        <v>0</v>
      </c>
      <c r="AK17" s="60" t="n">
        <f aca="false">X17+Y17</f>
        <v>0</v>
      </c>
      <c r="AL17" s="60" t="n">
        <f aca="false">AK17+Z17</f>
        <v>0</v>
      </c>
      <c r="AM17" s="60" t="n">
        <f aca="false">AL17+AA17</f>
        <v>0</v>
      </c>
      <c r="AN17" s="60" t="n">
        <f aca="false">AM17+AB17+AC17+AD17</f>
        <v>0</v>
      </c>
      <c r="AO17" s="60" t="n">
        <f aca="false">AL17+AE17+AF17+AG17+AH17+AI17+AB17+AC17+AD17</f>
        <v>0</v>
      </c>
      <c r="AP17" s="60" t="n">
        <f aca="false">IF(Answers!$C$22="Yes",AO17,AN17)</f>
        <v>0</v>
      </c>
      <c r="AQ17" s="60" t="n">
        <v>552.2</v>
      </c>
      <c r="AR17" s="60" t="n">
        <v>-875.9</v>
      </c>
      <c r="AS17" s="60" t="n">
        <v>3165.3</v>
      </c>
      <c r="AT17" s="60" t="n">
        <v>3107.8</v>
      </c>
      <c r="AU17" s="60" t="n">
        <v>301.8</v>
      </c>
      <c r="AV17" s="60" t="n">
        <v>315.7</v>
      </c>
      <c r="AW17" s="60" t="n">
        <v>1.5</v>
      </c>
      <c r="AX17" s="60" t="n">
        <v>1561.9</v>
      </c>
      <c r="AY17" s="60" t="n">
        <v>282.7</v>
      </c>
      <c r="AZ17" s="60" t="n">
        <v>425.2</v>
      </c>
      <c r="BA17" s="60" t="n">
        <v>0</v>
      </c>
      <c r="BB17" s="60" t="n">
        <v>837.9</v>
      </c>
      <c r="BC17" s="60" t="n">
        <f aca="false">AQ17+AR17+AS17+AT17+AU17+AV17+AW17</f>
        <v>6568.4</v>
      </c>
      <c r="BD17" s="60" t="n">
        <f aca="false">AQ17</f>
        <v>552.2</v>
      </c>
      <c r="BE17" s="60" t="n">
        <f aca="false">AQ17+AR17</f>
        <v>-323.7</v>
      </c>
      <c r="BF17" s="60" t="n">
        <f aca="false">BE17+AS17</f>
        <v>2841.6</v>
      </c>
      <c r="BG17" s="60" t="n">
        <f aca="false">BF17+AT17</f>
        <v>5949.4</v>
      </c>
      <c r="BH17" s="60" t="n">
        <f aca="false">BG17+AU17+AV17+AW17</f>
        <v>6568.4</v>
      </c>
      <c r="BI17" s="60" t="n">
        <f aca="false">BC17</f>
        <v>6568.4</v>
      </c>
      <c r="BJ17" s="60" t="n">
        <f aca="false">IF('Level 1'!$C$31="Yes",BD17,AJ17)</f>
        <v>0</v>
      </c>
      <c r="BK17" s="60" t="n">
        <f aca="false">IF('Level 2'!$C$31="Yes",BE17,AK17)</f>
        <v>0</v>
      </c>
      <c r="BL17" s="60" t="n">
        <f aca="false">IF('Level 3'!$C$31="Yes",BF17,AL17)</f>
        <v>0</v>
      </c>
      <c r="BM17" s="60" t="n">
        <f aca="false">IF('Level 4'!$C$31="Yes",BG17,AM17)</f>
        <v>0</v>
      </c>
      <c r="BN17" s="60" t="n">
        <f aca="false">IF('Level 5'!$C$31="Yes",BH17,AN17)</f>
        <v>0</v>
      </c>
      <c r="BO17" s="60" t="n">
        <f aca="false">IF('Level 6'!$C$31="Yes",BI17,AO17)</f>
        <v>0</v>
      </c>
      <c r="BP17" s="60" t="n">
        <f aca="false">IF('Level 7'!$C$31="Yes",BC17,AP17)</f>
        <v>0</v>
      </c>
      <c r="BQ17" s="60" t="n">
        <f aca="false">D17-AP17</f>
        <v>8370</v>
      </c>
      <c r="BR17" s="60" t="n">
        <f aca="false">BQ17^2</f>
        <v>70056900</v>
      </c>
      <c r="BS17" s="60" t="n">
        <f aca="false">(BQ17-BQ16)^2</f>
        <v>12411529</v>
      </c>
      <c r="BT17" s="60" t="n">
        <f aca="false">IF(D17&gt;2000,ABS(BQ17)/D17,"")</f>
        <v>1</v>
      </c>
      <c r="BU17" s="60" t="n">
        <v>237</v>
      </c>
      <c r="BV17" s="62" t="n">
        <v>0.498</v>
      </c>
      <c r="BW17" s="60" t="n">
        <v>1020.4</v>
      </c>
      <c r="BX17" s="60" t="n">
        <f aca="false">AA17</f>
        <v>0</v>
      </c>
      <c r="BY17" s="60" t="n">
        <f aca="false">H17</f>
        <v>757.46</v>
      </c>
      <c r="BZ17" s="60" t="n">
        <f aca="false">Z17</f>
        <v>0</v>
      </c>
      <c r="CA17" s="60" t="n">
        <f aca="false">AB17+AC17+AD17</f>
        <v>0</v>
      </c>
      <c r="CB17" s="60" t="n">
        <f aca="false">AE17+AF17+AG17+AH17+AI17</f>
        <v>0</v>
      </c>
    </row>
    <row r="18" customFormat="false" ht="15" hidden="false" customHeight="false" outlineLevel="0" collapsed="false">
      <c r="A18" s="58" t="n">
        <v>45018</v>
      </c>
      <c r="B18" s="59" t="n">
        <f aca="false">YEAR(A18)</f>
        <v>2023</v>
      </c>
      <c r="C18" s="59" t="n">
        <f aca="false">MONTH(A18)</f>
        <v>4</v>
      </c>
      <c r="D18" s="60" t="n">
        <v>12608</v>
      </c>
      <c r="E18" s="61" t="n">
        <v>0.6303</v>
      </c>
      <c r="F18" s="61" t="n">
        <v>0.7204</v>
      </c>
      <c r="G18" s="61" t="n">
        <v>0.7291</v>
      </c>
      <c r="H18" s="60" t="n">
        <v>899.77</v>
      </c>
      <c r="I18" s="60" t="n">
        <f aca="false">H18+'Level 4'!$C$12/100*I17</f>
        <v>899.77</v>
      </c>
      <c r="J18" s="60" t="n">
        <v>82.76</v>
      </c>
      <c r="K18" s="60" t="n">
        <v>107.76</v>
      </c>
      <c r="L18" s="60" t="n">
        <v>0</v>
      </c>
      <c r="M18" s="60" t="n">
        <f aca="false">L18+Answers!$C$14/100*M17</f>
        <v>13.5222511822848</v>
      </c>
      <c r="N18" s="60" t="n">
        <v>517.88</v>
      </c>
      <c r="O18" s="60" t="n">
        <v>121.3</v>
      </c>
      <c r="P18" s="60" t="n">
        <v>48.66</v>
      </c>
      <c r="Q18" s="60" t="n">
        <v>71.54</v>
      </c>
      <c r="R18" s="60" t="n">
        <v>127.78</v>
      </c>
      <c r="S18" s="60" t="n">
        <f aca="false">N18+Answers!$C$16/100*S17</f>
        <v>993.456</v>
      </c>
      <c r="T18" s="60" t="n">
        <f aca="false">O18+Answers!$C$17/100*T17</f>
        <v>207.724</v>
      </c>
      <c r="U18" s="60" t="n">
        <f aca="false">P18+Answers!$C$18/100*U17</f>
        <v>149.844725916058</v>
      </c>
      <c r="V18" s="60" t="n">
        <f aca="false">Q18+Answers!$C$19/100*V17</f>
        <v>71.54</v>
      </c>
      <c r="W18" s="60" t="n">
        <f aca="false">R18+Answers!$C$20/100*W17</f>
        <v>320.376209547182</v>
      </c>
      <c r="X18" s="60" t="n">
        <f aca="false">IF('Level 1'!$C$11="",0,'Level 1'!$C$11)*E18</f>
        <v>0</v>
      </c>
      <c r="Y18" s="60" t="n">
        <f aca="false">-IF('Level 2'!$C$11="",0,'Level 2'!$C$11)*F18</f>
        <v>-0</v>
      </c>
      <c r="Z18" s="60" t="n">
        <f aca="false">IF('Level 3'!$C$11="",0,'Level 3'!$C$11)*G18</f>
        <v>0</v>
      </c>
      <c r="AA18" s="60" t="n">
        <f aca="false">IF('Level 4'!$C$11="",0,'Level 4'!$C$11)*(1-'Level 4'!$C$12/100)*I18</f>
        <v>0</v>
      </c>
      <c r="AB18" s="60" t="n">
        <f aca="false">IF('Level 5'!$C$11="",0,'Level 5'!$C$11)*J18</f>
        <v>0</v>
      </c>
      <c r="AC18" s="60" t="n">
        <f aca="false">IF('Level 5'!$C$12="",0,'Level 5'!$C$12)*K18</f>
        <v>0</v>
      </c>
      <c r="AD18" s="60" t="n">
        <f aca="false">IF('Level 5'!$C$13="",0,'Level 5'!$C$13)*(1-Answers!$C$14/100)*M18</f>
        <v>0</v>
      </c>
      <c r="AE18" s="60" t="n">
        <f aca="false">IF('Level 6'!$C$11="",0,'Level 6'!$C$11)*(1-Answers!$C$16/100)*S18</f>
        <v>0</v>
      </c>
      <c r="AF18" s="60" t="n">
        <f aca="false">IF('Level 6'!$C$12="",0,'Level 6'!$C$12)*(1-Answers!$C$17/100)*T18</f>
        <v>0</v>
      </c>
      <c r="AG18" s="60" t="n">
        <f aca="false">IF('Level 6'!$C$13="",0,'Level 6'!$C$13)*(1-Answers!$C$18/100)*U18</f>
        <v>0</v>
      </c>
      <c r="AH18" s="60" t="n">
        <f aca="false">IF('Level 6'!$C$14="",0,'Level 6'!$C$14)*(1-Answers!$C$19/100)*V18</f>
        <v>0</v>
      </c>
      <c r="AI18" s="60" t="n">
        <f aca="false">IF('Level 6'!$C$15="",0,'Level 6'!$C$15)*(1-Answers!$C$20/100)*W18</f>
        <v>0</v>
      </c>
      <c r="AJ18" s="60" t="n">
        <f aca="false">X18</f>
        <v>0</v>
      </c>
      <c r="AK18" s="60" t="n">
        <f aca="false">X18+Y18</f>
        <v>0</v>
      </c>
      <c r="AL18" s="60" t="n">
        <f aca="false">AK18+Z18</f>
        <v>0</v>
      </c>
      <c r="AM18" s="60" t="n">
        <f aca="false">AL18+AA18</f>
        <v>0</v>
      </c>
      <c r="AN18" s="60" t="n">
        <f aca="false">AM18+AB18+AC18+AD18</f>
        <v>0</v>
      </c>
      <c r="AO18" s="60" t="n">
        <f aca="false">AL18+AE18+AF18+AG18+AH18+AI18+AB18+AC18+AD18</f>
        <v>0</v>
      </c>
      <c r="AP18" s="60" t="n">
        <f aca="false">IF(Answers!$C$22="Yes",AO18,AN18)</f>
        <v>0</v>
      </c>
      <c r="AQ18" s="60" t="n">
        <v>551.9</v>
      </c>
      <c r="AR18" s="60" t="n">
        <v>-686.1</v>
      </c>
      <c r="AS18" s="60" t="n">
        <v>5539.2</v>
      </c>
      <c r="AT18" s="60" t="n">
        <v>4879.1</v>
      </c>
      <c r="AU18" s="60" t="n">
        <v>308.9</v>
      </c>
      <c r="AV18" s="60" t="n">
        <v>397.7</v>
      </c>
      <c r="AW18" s="60" t="n">
        <v>1</v>
      </c>
      <c r="AX18" s="60" t="n">
        <v>2687.4</v>
      </c>
      <c r="AY18" s="60" t="n">
        <v>557.8</v>
      </c>
      <c r="AZ18" s="60" t="n">
        <v>489.1</v>
      </c>
      <c r="BA18" s="60" t="n">
        <v>90.4</v>
      </c>
      <c r="BB18" s="60" t="n">
        <v>1054.4</v>
      </c>
      <c r="BC18" s="60" t="n">
        <f aca="false">AQ18+AR18+AS18+AT18+AU18+AV18+AW18</f>
        <v>10991.7</v>
      </c>
      <c r="BD18" s="60" t="n">
        <f aca="false">AQ18</f>
        <v>551.9</v>
      </c>
      <c r="BE18" s="60" t="n">
        <f aca="false">AQ18+AR18</f>
        <v>-134.2</v>
      </c>
      <c r="BF18" s="60" t="n">
        <f aca="false">BE18+AS18</f>
        <v>5405</v>
      </c>
      <c r="BG18" s="60" t="n">
        <f aca="false">BF18+AT18</f>
        <v>10284.1</v>
      </c>
      <c r="BH18" s="60" t="n">
        <f aca="false">BG18+AU18+AV18+AW18</f>
        <v>10991.7</v>
      </c>
      <c r="BI18" s="60" t="n">
        <f aca="false">BC18</f>
        <v>10991.7</v>
      </c>
      <c r="BJ18" s="60" t="n">
        <f aca="false">IF('Level 1'!$C$31="Yes",BD18,AJ18)</f>
        <v>0</v>
      </c>
      <c r="BK18" s="60" t="n">
        <f aca="false">IF('Level 2'!$C$31="Yes",BE18,AK18)</f>
        <v>0</v>
      </c>
      <c r="BL18" s="60" t="n">
        <f aca="false">IF('Level 3'!$C$31="Yes",BF18,AL18)</f>
        <v>0</v>
      </c>
      <c r="BM18" s="60" t="n">
        <f aca="false">IF('Level 4'!$C$31="Yes",BG18,AM18)</f>
        <v>0</v>
      </c>
      <c r="BN18" s="60" t="n">
        <f aca="false">IF('Level 5'!$C$31="Yes",BH18,AN18)</f>
        <v>0</v>
      </c>
      <c r="BO18" s="60" t="n">
        <f aca="false">IF('Level 6'!$C$31="Yes",BI18,AO18)</f>
        <v>0</v>
      </c>
      <c r="BP18" s="60" t="n">
        <f aca="false">IF('Level 7'!$C$31="Yes",BC18,AP18)</f>
        <v>0</v>
      </c>
      <c r="BQ18" s="60" t="n">
        <f aca="false">D18-AP18</f>
        <v>12608</v>
      </c>
      <c r="BR18" s="60" t="n">
        <f aca="false">BQ18^2</f>
        <v>158961664</v>
      </c>
      <c r="BS18" s="60" t="n">
        <f aca="false">(BQ18-BQ17)^2</f>
        <v>17960644</v>
      </c>
      <c r="BT18" s="60" t="n">
        <f aca="false">IF(D18&gt;2000,ABS(BQ18)/D18,"")</f>
        <v>1</v>
      </c>
      <c r="BU18" s="60" t="n">
        <v>221</v>
      </c>
      <c r="BV18" s="62" t="n">
        <v>0.5206</v>
      </c>
      <c r="BW18" s="60" t="n">
        <v>1138.5</v>
      </c>
      <c r="BX18" s="60" t="n">
        <f aca="false">AA18</f>
        <v>0</v>
      </c>
      <c r="BY18" s="60" t="n">
        <f aca="false">H18</f>
        <v>899.77</v>
      </c>
      <c r="BZ18" s="60" t="n">
        <f aca="false">Z18</f>
        <v>0</v>
      </c>
      <c r="CA18" s="60" t="n">
        <f aca="false">AB18+AC18+AD18</f>
        <v>0</v>
      </c>
      <c r="CB18" s="60" t="n">
        <f aca="false">AE18+AF18+AG18+AH18+AI18</f>
        <v>0</v>
      </c>
    </row>
    <row r="19" customFormat="false" ht="15" hidden="false" customHeight="false" outlineLevel="0" collapsed="false">
      <c r="A19" s="58" t="n">
        <v>45025</v>
      </c>
      <c r="B19" s="59" t="n">
        <f aca="false">YEAR(A19)</f>
        <v>2023</v>
      </c>
      <c r="C19" s="59" t="n">
        <f aca="false">MONTH(A19)</f>
        <v>4</v>
      </c>
      <c r="D19" s="60" t="n">
        <v>9003</v>
      </c>
      <c r="E19" s="61" t="n">
        <v>0.6435</v>
      </c>
      <c r="F19" s="61" t="n">
        <v>0.7199</v>
      </c>
      <c r="G19" s="61" t="n">
        <v>0.7291</v>
      </c>
      <c r="H19" s="60" t="n">
        <v>399.64</v>
      </c>
      <c r="I19" s="60" t="n">
        <f aca="false">H19+'Level 4'!$C$12/100*I18</f>
        <v>399.64</v>
      </c>
      <c r="J19" s="60" t="n">
        <v>658.05</v>
      </c>
      <c r="K19" s="60" t="n">
        <v>38.23</v>
      </c>
      <c r="L19" s="60" t="n">
        <v>0</v>
      </c>
      <c r="M19" s="60" t="n">
        <f aca="false">L19+Answers!$C$14/100*M18</f>
        <v>8.11335070937088</v>
      </c>
      <c r="N19" s="60" t="n">
        <v>51.59</v>
      </c>
      <c r="O19" s="60" t="n">
        <v>82.47</v>
      </c>
      <c r="P19" s="60" t="n">
        <v>38.63</v>
      </c>
      <c r="Q19" s="60" t="n">
        <v>71.79</v>
      </c>
      <c r="R19" s="60" t="n">
        <v>146.16</v>
      </c>
      <c r="S19" s="60" t="n">
        <f aca="false">N19+Answers!$C$16/100*S18</f>
        <v>846.3548</v>
      </c>
      <c r="T19" s="60" t="n">
        <f aca="false">O19+Answers!$C$17/100*T18</f>
        <v>248.6492</v>
      </c>
      <c r="U19" s="60" t="n">
        <f aca="false">P19+Answers!$C$18/100*U18</f>
        <v>158.505780732846</v>
      </c>
      <c r="V19" s="60" t="n">
        <f aca="false">Q19+Answers!$C$19/100*V18</f>
        <v>129.022</v>
      </c>
      <c r="W19" s="60" t="n">
        <f aca="false">R19+Answers!$C$20/100*W18</f>
        <v>402.460967637746</v>
      </c>
      <c r="X19" s="60" t="n">
        <f aca="false">IF('Level 1'!$C$11="",0,'Level 1'!$C$11)*E19</f>
        <v>0</v>
      </c>
      <c r="Y19" s="60" t="n">
        <f aca="false">-IF('Level 2'!$C$11="",0,'Level 2'!$C$11)*F19</f>
        <v>-0</v>
      </c>
      <c r="Z19" s="60" t="n">
        <f aca="false">IF('Level 3'!$C$11="",0,'Level 3'!$C$11)*G19</f>
        <v>0</v>
      </c>
      <c r="AA19" s="60" t="n">
        <f aca="false">IF('Level 4'!$C$11="",0,'Level 4'!$C$11)*(1-'Level 4'!$C$12/100)*I19</f>
        <v>0</v>
      </c>
      <c r="AB19" s="60" t="n">
        <f aca="false">IF('Level 5'!$C$11="",0,'Level 5'!$C$11)*J19</f>
        <v>0</v>
      </c>
      <c r="AC19" s="60" t="n">
        <f aca="false">IF('Level 5'!$C$12="",0,'Level 5'!$C$12)*K19</f>
        <v>0</v>
      </c>
      <c r="AD19" s="60" t="n">
        <f aca="false">IF('Level 5'!$C$13="",0,'Level 5'!$C$13)*(1-Answers!$C$14/100)*M19</f>
        <v>0</v>
      </c>
      <c r="AE19" s="60" t="n">
        <f aca="false">IF('Level 6'!$C$11="",0,'Level 6'!$C$11)*(1-Answers!$C$16/100)*S19</f>
        <v>0</v>
      </c>
      <c r="AF19" s="60" t="n">
        <f aca="false">IF('Level 6'!$C$12="",0,'Level 6'!$C$12)*(1-Answers!$C$17/100)*T19</f>
        <v>0</v>
      </c>
      <c r="AG19" s="60" t="n">
        <f aca="false">IF('Level 6'!$C$13="",0,'Level 6'!$C$13)*(1-Answers!$C$18/100)*U19</f>
        <v>0</v>
      </c>
      <c r="AH19" s="60" t="n">
        <f aca="false">IF('Level 6'!$C$14="",0,'Level 6'!$C$14)*(1-Answers!$C$19/100)*V19</f>
        <v>0</v>
      </c>
      <c r="AI19" s="60" t="n">
        <f aca="false">IF('Level 6'!$C$15="",0,'Level 6'!$C$15)*(1-Answers!$C$20/100)*W19</f>
        <v>0</v>
      </c>
      <c r="AJ19" s="60" t="n">
        <f aca="false">X19</f>
        <v>0</v>
      </c>
      <c r="AK19" s="60" t="n">
        <f aca="false">X19+Y19</f>
        <v>0</v>
      </c>
      <c r="AL19" s="60" t="n">
        <f aca="false">AK19+Z19</f>
        <v>0</v>
      </c>
      <c r="AM19" s="60" t="n">
        <f aca="false">AL19+AA19</f>
        <v>0</v>
      </c>
      <c r="AN19" s="60" t="n">
        <f aca="false">AM19+AB19+AC19+AD19</f>
        <v>0</v>
      </c>
      <c r="AO19" s="60" t="n">
        <f aca="false">AL19+AE19+AF19+AG19+AH19+AI19+AB19+AC19+AD19</f>
        <v>0</v>
      </c>
      <c r="AP19" s="60" t="n">
        <f aca="false">IF(Answers!$C$22="Yes",AO19,AN19)</f>
        <v>0</v>
      </c>
      <c r="AQ19" s="60" t="n">
        <v>563.5</v>
      </c>
      <c r="AR19" s="60" t="n">
        <v>-685.7</v>
      </c>
      <c r="AS19" s="60" t="n">
        <v>5539.2</v>
      </c>
      <c r="AT19" s="60" t="n">
        <v>5092.6</v>
      </c>
      <c r="AU19" s="60" t="n">
        <v>2541.3</v>
      </c>
      <c r="AV19" s="60" t="n">
        <v>141.1</v>
      </c>
      <c r="AW19" s="60" t="n">
        <v>0.6</v>
      </c>
      <c r="AX19" s="60" t="n">
        <v>2418.1</v>
      </c>
      <c r="AY19" s="60" t="n">
        <v>690</v>
      </c>
      <c r="AZ19" s="60" t="n">
        <v>517</v>
      </c>
      <c r="BA19" s="60" t="n">
        <v>167.5</v>
      </c>
      <c r="BB19" s="60" t="n">
        <v>1300</v>
      </c>
      <c r="BC19" s="60" t="n">
        <f aca="false">AQ19+AR19+AS19+AT19+AU19+AV19+AW19</f>
        <v>13192.6</v>
      </c>
      <c r="BD19" s="60" t="n">
        <f aca="false">AQ19</f>
        <v>563.5</v>
      </c>
      <c r="BE19" s="60" t="n">
        <f aca="false">AQ19+AR19</f>
        <v>-122.2</v>
      </c>
      <c r="BF19" s="60" t="n">
        <f aca="false">BE19+AS19</f>
        <v>5417</v>
      </c>
      <c r="BG19" s="60" t="n">
        <f aca="false">BF19+AT19</f>
        <v>10509.6</v>
      </c>
      <c r="BH19" s="60" t="n">
        <f aca="false">BG19+AU19+AV19+AW19</f>
        <v>13192.6</v>
      </c>
      <c r="BI19" s="60" t="n">
        <f aca="false">BC19</f>
        <v>13192.6</v>
      </c>
      <c r="BJ19" s="60" t="n">
        <f aca="false">IF('Level 1'!$C$31="Yes",BD19,AJ19)</f>
        <v>0</v>
      </c>
      <c r="BK19" s="60" t="n">
        <f aca="false">IF('Level 2'!$C$31="Yes",BE19,AK19)</f>
        <v>0</v>
      </c>
      <c r="BL19" s="60" t="n">
        <f aca="false">IF('Level 3'!$C$31="Yes",BF19,AL19)</f>
        <v>0</v>
      </c>
      <c r="BM19" s="60" t="n">
        <f aca="false">IF('Level 4'!$C$31="Yes",BG19,AM19)</f>
        <v>0</v>
      </c>
      <c r="BN19" s="60" t="n">
        <f aca="false">IF('Level 5'!$C$31="Yes",BH19,AN19)</f>
        <v>0</v>
      </c>
      <c r="BO19" s="60" t="n">
        <f aca="false">IF('Level 6'!$C$31="Yes",BI19,AO19)</f>
        <v>0</v>
      </c>
      <c r="BP19" s="60" t="n">
        <f aca="false">IF('Level 7'!$C$31="Yes",BC19,AP19)</f>
        <v>0</v>
      </c>
      <c r="BQ19" s="60" t="n">
        <f aca="false">D19-AP19</f>
        <v>9003</v>
      </c>
      <c r="BR19" s="60" t="n">
        <f aca="false">BQ19^2</f>
        <v>81054009</v>
      </c>
      <c r="BS19" s="60" t="n">
        <f aca="false">(BQ19-BQ18)^2</f>
        <v>12996025</v>
      </c>
      <c r="BT19" s="60" t="n">
        <f aca="false">IF(D19&gt;2000,ABS(BQ19)/D19,"")</f>
        <v>1</v>
      </c>
      <c r="BU19" s="60" t="n">
        <v>282</v>
      </c>
      <c r="BV19" s="62" t="n">
        <v>0.5206</v>
      </c>
      <c r="BW19" s="60" t="n">
        <v>1170.1</v>
      </c>
      <c r="BX19" s="60" t="n">
        <f aca="false">AA19</f>
        <v>0</v>
      </c>
      <c r="BY19" s="60" t="n">
        <f aca="false">H19</f>
        <v>399.64</v>
      </c>
      <c r="BZ19" s="60" t="n">
        <f aca="false">Z19</f>
        <v>0</v>
      </c>
      <c r="CA19" s="60" t="n">
        <f aca="false">AB19+AC19+AD19</f>
        <v>0</v>
      </c>
      <c r="CB19" s="60" t="n">
        <f aca="false">AE19+AF19+AG19+AH19+AI19</f>
        <v>0</v>
      </c>
    </row>
    <row r="20" customFormat="false" ht="15" hidden="false" customHeight="false" outlineLevel="0" collapsed="false">
      <c r="A20" s="58" t="n">
        <v>45032</v>
      </c>
      <c r="B20" s="59" t="n">
        <f aca="false">YEAR(A20)</f>
        <v>2023</v>
      </c>
      <c r="C20" s="59" t="n">
        <f aca="false">MONTH(A20)</f>
        <v>4</v>
      </c>
      <c r="D20" s="60" t="n">
        <v>10034</v>
      </c>
      <c r="E20" s="61" t="n">
        <v>1.3276</v>
      </c>
      <c r="F20" s="61" t="n">
        <v>0.6912</v>
      </c>
      <c r="G20" s="61" t="n">
        <v>0.7291</v>
      </c>
      <c r="H20" s="60" t="n">
        <v>308.33</v>
      </c>
      <c r="I20" s="60" t="n">
        <f aca="false">H20+'Level 4'!$C$12/100*I19</f>
        <v>308.33</v>
      </c>
      <c r="J20" s="60" t="n">
        <v>594.31</v>
      </c>
      <c r="K20" s="60" t="n">
        <v>41.61</v>
      </c>
      <c r="L20" s="60" t="n">
        <v>0</v>
      </c>
      <c r="M20" s="60" t="n">
        <f aca="false">L20+Answers!$C$14/100*M19</f>
        <v>4.86801042562253</v>
      </c>
      <c r="N20" s="60" t="n">
        <v>40.66</v>
      </c>
      <c r="O20" s="60" t="n">
        <v>84.76</v>
      </c>
      <c r="P20" s="60" t="n">
        <v>39.57</v>
      </c>
      <c r="Q20" s="60" t="n">
        <v>14.28</v>
      </c>
      <c r="R20" s="60" t="n">
        <v>119.02</v>
      </c>
      <c r="S20" s="60" t="n">
        <f aca="false">N20+Answers!$C$16/100*S19</f>
        <v>717.74384</v>
      </c>
      <c r="T20" s="60" t="n">
        <f aca="false">O20+Answers!$C$17/100*T19</f>
        <v>283.67936</v>
      </c>
      <c r="U20" s="60" t="n">
        <f aca="false">P20+Answers!$C$18/100*U19</f>
        <v>166.374624586277</v>
      </c>
      <c r="V20" s="60" t="n">
        <f aca="false">Q20+Answers!$C$19/100*V19</f>
        <v>117.4976</v>
      </c>
      <c r="W20" s="60" t="n">
        <f aca="false">R20+Answers!$C$20/100*W19</f>
        <v>440.988774110197</v>
      </c>
      <c r="X20" s="60" t="n">
        <f aca="false">IF('Level 1'!$C$11="",0,'Level 1'!$C$11)*E20</f>
        <v>0</v>
      </c>
      <c r="Y20" s="60" t="n">
        <f aca="false">-IF('Level 2'!$C$11="",0,'Level 2'!$C$11)*F20</f>
        <v>-0</v>
      </c>
      <c r="Z20" s="60" t="n">
        <f aca="false">IF('Level 3'!$C$11="",0,'Level 3'!$C$11)*G20</f>
        <v>0</v>
      </c>
      <c r="AA20" s="60" t="n">
        <f aca="false">IF('Level 4'!$C$11="",0,'Level 4'!$C$11)*(1-'Level 4'!$C$12/100)*I20</f>
        <v>0</v>
      </c>
      <c r="AB20" s="60" t="n">
        <f aca="false">IF('Level 5'!$C$11="",0,'Level 5'!$C$11)*J20</f>
        <v>0</v>
      </c>
      <c r="AC20" s="60" t="n">
        <f aca="false">IF('Level 5'!$C$12="",0,'Level 5'!$C$12)*K20</f>
        <v>0</v>
      </c>
      <c r="AD20" s="60" t="n">
        <f aca="false">IF('Level 5'!$C$13="",0,'Level 5'!$C$13)*(1-Answers!$C$14/100)*M20</f>
        <v>0</v>
      </c>
      <c r="AE20" s="60" t="n">
        <f aca="false">IF('Level 6'!$C$11="",0,'Level 6'!$C$11)*(1-Answers!$C$16/100)*S20</f>
        <v>0</v>
      </c>
      <c r="AF20" s="60" t="n">
        <f aca="false">IF('Level 6'!$C$12="",0,'Level 6'!$C$12)*(1-Answers!$C$17/100)*T20</f>
        <v>0</v>
      </c>
      <c r="AG20" s="60" t="n">
        <f aca="false">IF('Level 6'!$C$13="",0,'Level 6'!$C$13)*(1-Answers!$C$18/100)*U20</f>
        <v>0</v>
      </c>
      <c r="AH20" s="60" t="n">
        <f aca="false">IF('Level 6'!$C$14="",0,'Level 6'!$C$14)*(1-Answers!$C$19/100)*V20</f>
        <v>0</v>
      </c>
      <c r="AI20" s="60" t="n">
        <f aca="false">IF('Level 6'!$C$15="",0,'Level 6'!$C$15)*(1-Answers!$C$20/100)*W20</f>
        <v>0</v>
      </c>
      <c r="AJ20" s="60" t="n">
        <f aca="false">X20</f>
        <v>0</v>
      </c>
      <c r="AK20" s="60" t="n">
        <f aca="false">X20+Y20</f>
        <v>0</v>
      </c>
      <c r="AL20" s="60" t="n">
        <f aca="false">AK20+Z20</f>
        <v>0</v>
      </c>
      <c r="AM20" s="60" t="n">
        <f aca="false">AL20+AA20</f>
        <v>0</v>
      </c>
      <c r="AN20" s="60" t="n">
        <f aca="false">AM20+AB20+AC20+AD20</f>
        <v>0</v>
      </c>
      <c r="AO20" s="60" t="n">
        <f aca="false">AL20+AE20+AF20+AG20+AH20+AI20+AB20+AC20+AD20</f>
        <v>0</v>
      </c>
      <c r="AP20" s="60" t="n">
        <f aca="false">IF(Answers!$C$22="Yes",AO20,AN20)</f>
        <v>0</v>
      </c>
      <c r="AQ20" s="60" t="n">
        <v>1162.5</v>
      </c>
      <c r="AR20" s="60" t="n">
        <v>-658.3</v>
      </c>
      <c r="AS20" s="60" t="n">
        <v>5539.2</v>
      </c>
      <c r="AT20" s="60" t="n">
        <v>5110.6</v>
      </c>
      <c r="AU20" s="60" t="n">
        <v>2292.4</v>
      </c>
      <c r="AV20" s="60" t="n">
        <v>153.5</v>
      </c>
      <c r="AW20" s="60" t="n">
        <v>0.4</v>
      </c>
      <c r="AX20" s="60" t="n">
        <v>2160.9</v>
      </c>
      <c r="AY20" s="60" t="n">
        <v>808.3</v>
      </c>
      <c r="AZ20" s="60" t="n">
        <v>543.2</v>
      </c>
      <c r="BA20" s="60" t="n">
        <v>160.4</v>
      </c>
      <c r="BB20" s="60" t="n">
        <v>1437.6</v>
      </c>
      <c r="BC20" s="60" t="n">
        <f aca="false">AQ20+AR20+AS20+AT20+AU20+AV20+AW20</f>
        <v>13600.3</v>
      </c>
      <c r="BD20" s="60" t="n">
        <f aca="false">AQ20</f>
        <v>1162.5</v>
      </c>
      <c r="BE20" s="60" t="n">
        <f aca="false">AQ20+AR20</f>
        <v>504.2</v>
      </c>
      <c r="BF20" s="60" t="n">
        <f aca="false">BE20+AS20</f>
        <v>6043.4</v>
      </c>
      <c r="BG20" s="60" t="n">
        <f aca="false">BF20+AT20</f>
        <v>11154</v>
      </c>
      <c r="BH20" s="60" t="n">
        <f aca="false">BG20+AU20+AV20+AW20</f>
        <v>13600.3</v>
      </c>
      <c r="BI20" s="60" t="n">
        <f aca="false">BC20</f>
        <v>13600.3</v>
      </c>
      <c r="BJ20" s="60" t="n">
        <f aca="false">IF('Level 1'!$C$31="Yes",BD20,AJ20)</f>
        <v>0</v>
      </c>
      <c r="BK20" s="60" t="n">
        <f aca="false">IF('Level 2'!$C$31="Yes",BE20,AK20)</f>
        <v>0</v>
      </c>
      <c r="BL20" s="60" t="n">
        <f aca="false">IF('Level 3'!$C$31="Yes",BF20,AL20)</f>
        <v>0</v>
      </c>
      <c r="BM20" s="60" t="n">
        <f aca="false">IF('Level 4'!$C$31="Yes",BG20,AM20)</f>
        <v>0</v>
      </c>
      <c r="BN20" s="60" t="n">
        <f aca="false">IF('Level 5'!$C$31="Yes",BH20,AN20)</f>
        <v>0</v>
      </c>
      <c r="BO20" s="60" t="n">
        <f aca="false">IF('Level 6'!$C$31="Yes",BI20,AO20)</f>
        <v>0</v>
      </c>
      <c r="BP20" s="60" t="n">
        <f aca="false">IF('Level 7'!$C$31="Yes",BC20,AP20)</f>
        <v>0</v>
      </c>
      <c r="BQ20" s="60" t="n">
        <f aca="false">D20-AP20</f>
        <v>10034</v>
      </c>
      <c r="BR20" s="60" t="n">
        <f aca="false">BQ20^2</f>
        <v>100681156</v>
      </c>
      <c r="BS20" s="60" t="n">
        <f aca="false">(BQ20-BQ19)^2</f>
        <v>1062961</v>
      </c>
      <c r="BT20" s="60" t="n">
        <f aca="false">IF(D20&gt;2000,ABS(BQ20)/D20,"")</f>
        <v>1</v>
      </c>
      <c r="BU20" s="60" t="n">
        <v>336</v>
      </c>
      <c r="BV20" s="62" t="n">
        <v>0.5206</v>
      </c>
      <c r="BW20" s="60" t="n">
        <v>1100.7</v>
      </c>
      <c r="BX20" s="60" t="n">
        <f aca="false">AA20</f>
        <v>0</v>
      </c>
      <c r="BY20" s="60" t="n">
        <f aca="false">H20</f>
        <v>308.33</v>
      </c>
      <c r="BZ20" s="60" t="n">
        <f aca="false">Z20</f>
        <v>0</v>
      </c>
      <c r="CA20" s="60" t="n">
        <f aca="false">AB20+AC20+AD20</f>
        <v>0</v>
      </c>
      <c r="CB20" s="60" t="n">
        <f aca="false">AE20+AF20+AG20+AH20+AI20</f>
        <v>0</v>
      </c>
    </row>
    <row r="21" customFormat="false" ht="15" hidden="false" customHeight="false" outlineLevel="0" collapsed="false">
      <c r="A21" s="58" t="n">
        <v>45039</v>
      </c>
      <c r="B21" s="59" t="n">
        <f aca="false">YEAR(A21)</f>
        <v>2023</v>
      </c>
      <c r="C21" s="59" t="n">
        <f aca="false">MONTH(A21)</f>
        <v>4</v>
      </c>
      <c r="D21" s="60" t="n">
        <v>12711</v>
      </c>
      <c r="E21" s="61" t="n">
        <v>0.701</v>
      </c>
      <c r="F21" s="61" t="n">
        <v>0.6316</v>
      </c>
      <c r="G21" s="61" t="n">
        <v>0.7291</v>
      </c>
      <c r="H21" s="60" t="n">
        <v>458.48</v>
      </c>
      <c r="I21" s="60" t="n">
        <f aca="false">H21+'Level 4'!$C$12/100*I20</f>
        <v>458.48</v>
      </c>
      <c r="J21" s="60" t="n">
        <v>66.1</v>
      </c>
      <c r="K21" s="60" t="n">
        <v>468.74</v>
      </c>
      <c r="L21" s="60" t="n">
        <v>0</v>
      </c>
      <c r="M21" s="60" t="n">
        <f aca="false">L21+Answers!$C$14/100*M20</f>
        <v>2.92080625537352</v>
      </c>
      <c r="N21" s="60" t="n">
        <v>44.59</v>
      </c>
      <c r="O21" s="60" t="n">
        <v>70.89</v>
      </c>
      <c r="P21" s="60" t="n">
        <v>42.7</v>
      </c>
      <c r="Q21" s="60" t="n">
        <v>14.28</v>
      </c>
      <c r="R21" s="60" t="n">
        <v>273.31</v>
      </c>
      <c r="S21" s="60" t="n">
        <f aca="false">N21+Answers!$C$16/100*S20</f>
        <v>618.785072</v>
      </c>
      <c r="T21" s="60" t="n">
        <f aca="false">O21+Answers!$C$17/100*T20</f>
        <v>297.833488</v>
      </c>
      <c r="U21" s="60" t="n">
        <f aca="false">P21+Answers!$C$18/100*U20</f>
        <v>175.799699669022</v>
      </c>
      <c r="V21" s="60" t="n">
        <f aca="false">Q21+Answers!$C$19/100*V20</f>
        <v>108.27808</v>
      </c>
      <c r="W21" s="60" t="n">
        <f aca="false">R21+Answers!$C$20/100*W20</f>
        <v>626.101019288157</v>
      </c>
      <c r="X21" s="60" t="n">
        <f aca="false">IF('Level 1'!$C$11="",0,'Level 1'!$C$11)*E21</f>
        <v>0</v>
      </c>
      <c r="Y21" s="60" t="n">
        <f aca="false">-IF('Level 2'!$C$11="",0,'Level 2'!$C$11)*F21</f>
        <v>-0</v>
      </c>
      <c r="Z21" s="60" t="n">
        <f aca="false">IF('Level 3'!$C$11="",0,'Level 3'!$C$11)*G21</f>
        <v>0</v>
      </c>
      <c r="AA21" s="60" t="n">
        <f aca="false">IF('Level 4'!$C$11="",0,'Level 4'!$C$11)*(1-'Level 4'!$C$12/100)*I21</f>
        <v>0</v>
      </c>
      <c r="AB21" s="60" t="n">
        <f aca="false">IF('Level 5'!$C$11="",0,'Level 5'!$C$11)*J21</f>
        <v>0</v>
      </c>
      <c r="AC21" s="60" t="n">
        <f aca="false">IF('Level 5'!$C$12="",0,'Level 5'!$C$12)*K21</f>
        <v>0</v>
      </c>
      <c r="AD21" s="60" t="n">
        <f aca="false">IF('Level 5'!$C$13="",0,'Level 5'!$C$13)*(1-Answers!$C$14/100)*M21</f>
        <v>0</v>
      </c>
      <c r="AE21" s="60" t="n">
        <f aca="false">IF('Level 6'!$C$11="",0,'Level 6'!$C$11)*(1-Answers!$C$16/100)*S21</f>
        <v>0</v>
      </c>
      <c r="AF21" s="60" t="n">
        <f aca="false">IF('Level 6'!$C$12="",0,'Level 6'!$C$12)*(1-Answers!$C$17/100)*T21</f>
        <v>0</v>
      </c>
      <c r="AG21" s="60" t="n">
        <f aca="false">IF('Level 6'!$C$13="",0,'Level 6'!$C$13)*(1-Answers!$C$18/100)*U21</f>
        <v>0</v>
      </c>
      <c r="AH21" s="60" t="n">
        <f aca="false">IF('Level 6'!$C$14="",0,'Level 6'!$C$14)*(1-Answers!$C$19/100)*V21</f>
        <v>0</v>
      </c>
      <c r="AI21" s="60" t="n">
        <f aca="false">IF('Level 6'!$C$15="",0,'Level 6'!$C$15)*(1-Answers!$C$20/100)*W21</f>
        <v>0</v>
      </c>
      <c r="AJ21" s="60" t="n">
        <f aca="false">X21</f>
        <v>0</v>
      </c>
      <c r="AK21" s="60" t="n">
        <f aca="false">X21+Y21</f>
        <v>0</v>
      </c>
      <c r="AL21" s="60" t="n">
        <f aca="false">AK21+Z21</f>
        <v>0</v>
      </c>
      <c r="AM21" s="60" t="n">
        <f aca="false">AL21+AA21</f>
        <v>0</v>
      </c>
      <c r="AN21" s="60" t="n">
        <f aca="false">AM21+AB21+AC21+AD21</f>
        <v>0</v>
      </c>
      <c r="AO21" s="60" t="n">
        <f aca="false">AL21+AE21+AF21+AG21+AH21+AI21+AB21+AC21+AD21</f>
        <v>0</v>
      </c>
      <c r="AP21" s="60" t="n">
        <f aca="false">IF(Answers!$C$22="Yes",AO21,AN21)</f>
        <v>0</v>
      </c>
      <c r="AQ21" s="60" t="n">
        <v>613.8</v>
      </c>
      <c r="AR21" s="60" t="n">
        <v>-601.6</v>
      </c>
      <c r="AS21" s="60" t="n">
        <v>5539.2</v>
      </c>
      <c r="AT21" s="60" t="n">
        <v>5511.9</v>
      </c>
      <c r="AU21" s="60" t="n">
        <v>223.6</v>
      </c>
      <c r="AV21" s="60" t="n">
        <v>1729.8</v>
      </c>
      <c r="AW21" s="60" t="n">
        <v>0.3</v>
      </c>
      <c r="AX21" s="60" t="n">
        <v>1952.5</v>
      </c>
      <c r="AY21" s="60" t="n">
        <v>872.6</v>
      </c>
      <c r="AZ21" s="60" t="n">
        <v>573.7</v>
      </c>
      <c r="BA21" s="60" t="n">
        <v>154.4</v>
      </c>
      <c r="BB21" s="60" t="n">
        <v>1958.7</v>
      </c>
      <c r="BC21" s="60" t="n">
        <f aca="false">AQ21+AR21+AS21+AT21+AU21+AV21+AW21</f>
        <v>13017</v>
      </c>
      <c r="BD21" s="60" t="n">
        <f aca="false">AQ21</f>
        <v>613.8</v>
      </c>
      <c r="BE21" s="60" t="n">
        <f aca="false">AQ21+AR21</f>
        <v>12.1999999999999</v>
      </c>
      <c r="BF21" s="60" t="n">
        <f aca="false">BE21+AS21</f>
        <v>5551.4</v>
      </c>
      <c r="BG21" s="60" t="n">
        <f aca="false">BF21+AT21</f>
        <v>11063.3</v>
      </c>
      <c r="BH21" s="60" t="n">
        <f aca="false">BG21+AU21+AV21+AW21</f>
        <v>13017</v>
      </c>
      <c r="BI21" s="60" t="n">
        <f aca="false">BC21</f>
        <v>13017</v>
      </c>
      <c r="BJ21" s="60" t="n">
        <f aca="false">IF('Level 1'!$C$31="Yes",BD21,AJ21)</f>
        <v>0</v>
      </c>
      <c r="BK21" s="60" t="n">
        <f aca="false">IF('Level 2'!$C$31="Yes",BE21,AK21)</f>
        <v>0</v>
      </c>
      <c r="BL21" s="60" t="n">
        <f aca="false">IF('Level 3'!$C$31="Yes",BF21,AL21)</f>
        <v>0</v>
      </c>
      <c r="BM21" s="60" t="n">
        <f aca="false">IF('Level 4'!$C$31="Yes",BG21,AM21)</f>
        <v>0</v>
      </c>
      <c r="BN21" s="60" t="n">
        <f aca="false">IF('Level 5'!$C$31="Yes",BH21,AN21)</f>
        <v>0</v>
      </c>
      <c r="BO21" s="60" t="n">
        <f aca="false">IF('Level 6'!$C$31="Yes",BI21,AO21)</f>
        <v>0</v>
      </c>
      <c r="BP21" s="60" t="n">
        <f aca="false">IF('Level 7'!$C$31="Yes",BC21,AP21)</f>
        <v>0</v>
      </c>
      <c r="BQ21" s="60" t="n">
        <f aca="false">D21-AP21</f>
        <v>12711</v>
      </c>
      <c r="BR21" s="60" t="n">
        <f aca="false">BQ21^2</f>
        <v>161569521</v>
      </c>
      <c r="BS21" s="60" t="n">
        <f aca="false">(BQ21-BQ20)^2</f>
        <v>7166329</v>
      </c>
      <c r="BT21" s="60" t="n">
        <f aca="false">IF(D21&gt;2000,ABS(BQ21)/D21,"")</f>
        <v>1</v>
      </c>
      <c r="BU21" s="60" t="n">
        <v>246</v>
      </c>
      <c r="BV21" s="62" t="n">
        <v>0.5206</v>
      </c>
      <c r="BW21" s="60" t="n">
        <v>1093</v>
      </c>
      <c r="BX21" s="60" t="n">
        <f aca="false">AA21</f>
        <v>0</v>
      </c>
      <c r="BY21" s="60" t="n">
        <f aca="false">H21</f>
        <v>458.48</v>
      </c>
      <c r="BZ21" s="60" t="n">
        <f aca="false">Z21</f>
        <v>0</v>
      </c>
      <c r="CA21" s="60" t="n">
        <f aca="false">AB21+AC21+AD21</f>
        <v>0</v>
      </c>
      <c r="CB21" s="60" t="n">
        <f aca="false">AE21+AF21+AG21+AH21+AI21</f>
        <v>0</v>
      </c>
    </row>
    <row r="22" customFormat="false" ht="15" hidden="false" customHeight="false" outlineLevel="0" collapsed="false">
      <c r="A22" s="58" t="n">
        <v>45046</v>
      </c>
      <c r="B22" s="59" t="n">
        <f aca="false">YEAR(A22)</f>
        <v>2023</v>
      </c>
      <c r="C22" s="59" t="n">
        <f aca="false">MONTH(A22)</f>
        <v>4</v>
      </c>
      <c r="D22" s="60" t="n">
        <v>21782</v>
      </c>
      <c r="E22" s="61" t="n">
        <v>0.6995</v>
      </c>
      <c r="F22" s="61" t="n">
        <v>0.6955</v>
      </c>
      <c r="G22" s="61" t="n">
        <v>1.7411</v>
      </c>
      <c r="H22" s="60" t="n">
        <v>290.04</v>
      </c>
      <c r="I22" s="60" t="n">
        <f aca="false">H22+'Level 4'!$C$12/100*I21</f>
        <v>290.04</v>
      </c>
      <c r="J22" s="60" t="n">
        <v>54.65</v>
      </c>
      <c r="K22" s="60" t="n">
        <v>498.23</v>
      </c>
      <c r="L22" s="60" t="n">
        <v>0</v>
      </c>
      <c r="M22" s="60" t="n">
        <f aca="false">L22+Answers!$C$14/100*M21</f>
        <v>1.75248375322411</v>
      </c>
      <c r="N22" s="60" t="n">
        <v>51</v>
      </c>
      <c r="O22" s="60" t="n">
        <v>60.05</v>
      </c>
      <c r="P22" s="60" t="n">
        <v>41.61</v>
      </c>
      <c r="Q22" s="60" t="n">
        <v>0</v>
      </c>
      <c r="R22" s="60" t="n">
        <v>115.6</v>
      </c>
      <c r="S22" s="60" t="n">
        <f aca="false">N22+Answers!$C$16/100*S21</f>
        <v>546.0280576</v>
      </c>
      <c r="T22" s="60" t="n">
        <f aca="false">O22+Answers!$C$17/100*T21</f>
        <v>298.3167904</v>
      </c>
      <c r="U22" s="60" t="n">
        <f aca="false">P22+Answers!$C$18/100*U21</f>
        <v>182.249759735217</v>
      </c>
      <c r="V22" s="60" t="n">
        <f aca="false">Q22+Answers!$C$19/100*V21</f>
        <v>86.622464</v>
      </c>
      <c r="W22" s="60" t="n">
        <f aca="false">R22+Answers!$C$20/100*W21</f>
        <v>616.480815430526</v>
      </c>
      <c r="X22" s="60" t="n">
        <f aca="false">IF('Level 1'!$C$11="",0,'Level 1'!$C$11)*E22</f>
        <v>0</v>
      </c>
      <c r="Y22" s="60" t="n">
        <f aca="false">-IF('Level 2'!$C$11="",0,'Level 2'!$C$11)*F22</f>
        <v>-0</v>
      </c>
      <c r="Z22" s="60" t="n">
        <f aca="false">IF('Level 3'!$C$11="",0,'Level 3'!$C$11)*G22</f>
        <v>0</v>
      </c>
      <c r="AA22" s="60" t="n">
        <f aca="false">IF('Level 4'!$C$11="",0,'Level 4'!$C$11)*(1-'Level 4'!$C$12/100)*I22</f>
        <v>0</v>
      </c>
      <c r="AB22" s="60" t="n">
        <f aca="false">IF('Level 5'!$C$11="",0,'Level 5'!$C$11)*J22</f>
        <v>0</v>
      </c>
      <c r="AC22" s="60" t="n">
        <f aca="false">IF('Level 5'!$C$12="",0,'Level 5'!$C$12)*K22</f>
        <v>0</v>
      </c>
      <c r="AD22" s="60" t="n">
        <f aca="false">IF('Level 5'!$C$13="",0,'Level 5'!$C$13)*(1-Answers!$C$14/100)*M22</f>
        <v>0</v>
      </c>
      <c r="AE22" s="60" t="n">
        <f aca="false">IF('Level 6'!$C$11="",0,'Level 6'!$C$11)*(1-Answers!$C$16/100)*S22</f>
        <v>0</v>
      </c>
      <c r="AF22" s="60" t="n">
        <f aca="false">IF('Level 6'!$C$12="",0,'Level 6'!$C$12)*(1-Answers!$C$17/100)*T22</f>
        <v>0</v>
      </c>
      <c r="AG22" s="60" t="n">
        <f aca="false">IF('Level 6'!$C$13="",0,'Level 6'!$C$13)*(1-Answers!$C$18/100)*U22</f>
        <v>0</v>
      </c>
      <c r="AH22" s="60" t="n">
        <f aca="false">IF('Level 6'!$C$14="",0,'Level 6'!$C$14)*(1-Answers!$C$19/100)*V22</f>
        <v>0</v>
      </c>
      <c r="AI22" s="60" t="n">
        <f aca="false">IF('Level 6'!$C$15="",0,'Level 6'!$C$15)*(1-Answers!$C$20/100)*W22</f>
        <v>0</v>
      </c>
      <c r="AJ22" s="60" t="n">
        <f aca="false">X22</f>
        <v>0</v>
      </c>
      <c r="AK22" s="60" t="n">
        <f aca="false">X22+Y22</f>
        <v>0</v>
      </c>
      <c r="AL22" s="60" t="n">
        <f aca="false">AK22+Z22</f>
        <v>0</v>
      </c>
      <c r="AM22" s="60" t="n">
        <f aca="false">AL22+AA22</f>
        <v>0</v>
      </c>
      <c r="AN22" s="60" t="n">
        <f aca="false">AM22+AB22+AC22+AD22</f>
        <v>0</v>
      </c>
      <c r="AO22" s="60" t="n">
        <f aca="false">AL22+AE22+AF22+AG22+AH22+AI22+AB22+AC22+AD22</f>
        <v>0</v>
      </c>
      <c r="AP22" s="60" t="n">
        <f aca="false">IF(Answers!$C$22="Yes",AO22,AN22)</f>
        <v>0</v>
      </c>
      <c r="AQ22" s="60" t="n">
        <v>612.5</v>
      </c>
      <c r="AR22" s="60" t="n">
        <v>-662.4</v>
      </c>
      <c r="AS22" s="60" t="n">
        <v>13227.7</v>
      </c>
      <c r="AT22" s="60" t="n">
        <v>5401.4</v>
      </c>
      <c r="AU22" s="60" t="n">
        <v>179.7</v>
      </c>
      <c r="AV22" s="60" t="n">
        <v>1838.6</v>
      </c>
      <c r="AW22" s="60" t="n">
        <v>0.2</v>
      </c>
      <c r="AX22" s="60" t="n">
        <v>1791.9</v>
      </c>
      <c r="AY22" s="60" t="n">
        <v>898.9</v>
      </c>
      <c r="AZ22" s="60" t="n">
        <v>596.8</v>
      </c>
      <c r="BA22" s="60" t="n">
        <v>131.3</v>
      </c>
      <c r="BB22" s="60" t="n">
        <v>1982.5</v>
      </c>
      <c r="BC22" s="60" t="n">
        <f aca="false">AQ22+AR22+AS22+AT22+AU22+AV22+AW22</f>
        <v>20597.7</v>
      </c>
      <c r="BD22" s="60" t="n">
        <f aca="false">AQ22</f>
        <v>612.5</v>
      </c>
      <c r="BE22" s="60" t="n">
        <f aca="false">AQ22+AR22</f>
        <v>-49.9</v>
      </c>
      <c r="BF22" s="60" t="n">
        <f aca="false">BE22+AS22</f>
        <v>13177.8</v>
      </c>
      <c r="BG22" s="60" t="n">
        <f aca="false">BF22+AT22</f>
        <v>18579.2</v>
      </c>
      <c r="BH22" s="60" t="n">
        <f aca="false">BG22+AU22+AV22+AW22</f>
        <v>20597.7</v>
      </c>
      <c r="BI22" s="60" t="n">
        <f aca="false">BC22</f>
        <v>20597.7</v>
      </c>
      <c r="BJ22" s="60" t="n">
        <f aca="false">IF('Level 1'!$C$31="Yes",BD22,AJ22)</f>
        <v>0</v>
      </c>
      <c r="BK22" s="60" t="n">
        <f aca="false">IF('Level 2'!$C$31="Yes",BE22,AK22)</f>
        <v>0</v>
      </c>
      <c r="BL22" s="60" t="n">
        <f aca="false">IF('Level 3'!$C$31="Yes",BF22,AL22)</f>
        <v>0</v>
      </c>
      <c r="BM22" s="60" t="n">
        <f aca="false">IF('Level 4'!$C$31="Yes",BG22,AM22)</f>
        <v>0</v>
      </c>
      <c r="BN22" s="60" t="n">
        <f aca="false">IF('Level 5'!$C$31="Yes",BH22,AN22)</f>
        <v>0</v>
      </c>
      <c r="BO22" s="60" t="n">
        <f aca="false">IF('Level 6'!$C$31="Yes",BI22,AO22)</f>
        <v>0</v>
      </c>
      <c r="BP22" s="60" t="n">
        <f aca="false">IF('Level 7'!$C$31="Yes",BC22,AP22)</f>
        <v>0</v>
      </c>
      <c r="BQ22" s="60" t="n">
        <f aca="false">D22-AP22</f>
        <v>21782</v>
      </c>
      <c r="BR22" s="60" t="n">
        <f aca="false">BQ22^2</f>
        <v>474455524</v>
      </c>
      <c r="BS22" s="60" t="n">
        <f aca="false">(BQ22-BQ21)^2</f>
        <v>82283041</v>
      </c>
      <c r="BT22" s="60" t="n">
        <f aca="false">IF(D22&gt;2000,ABS(BQ22)/D22,"")</f>
        <v>1</v>
      </c>
      <c r="BU22" s="60" t="n">
        <v>221</v>
      </c>
      <c r="BV22" s="62" t="n">
        <v>0.5131</v>
      </c>
      <c r="BW22" s="60" t="n">
        <v>882.1</v>
      </c>
      <c r="BX22" s="60" t="n">
        <f aca="false">AA22</f>
        <v>0</v>
      </c>
      <c r="BY22" s="60" t="n">
        <f aca="false">H22</f>
        <v>290.04</v>
      </c>
      <c r="BZ22" s="60" t="n">
        <f aca="false">Z22</f>
        <v>0</v>
      </c>
      <c r="CA22" s="60" t="n">
        <f aca="false">AB22+AC22+AD22</f>
        <v>0</v>
      </c>
      <c r="CB22" s="60" t="n">
        <f aca="false">AE22+AF22+AG22+AH22+AI22</f>
        <v>0</v>
      </c>
    </row>
    <row r="23" customFormat="false" ht="15" hidden="false" customHeight="false" outlineLevel="0" collapsed="false">
      <c r="A23" s="58" t="n">
        <v>45053</v>
      </c>
      <c r="B23" s="59" t="n">
        <f aca="false">YEAR(A23)</f>
        <v>2023</v>
      </c>
      <c r="C23" s="59" t="n">
        <f aca="false">MONTH(A23)</f>
        <v>5</v>
      </c>
      <c r="D23" s="60" t="n">
        <v>9465</v>
      </c>
      <c r="E23" s="61" t="n">
        <v>5.4243</v>
      </c>
      <c r="F23" s="61" t="n">
        <v>1.2998</v>
      </c>
      <c r="G23" s="61" t="n">
        <v>0</v>
      </c>
      <c r="H23" s="60" t="n">
        <v>254.86</v>
      </c>
      <c r="I23" s="60" t="n">
        <f aca="false">H23+'Level 4'!$C$12/100*I22</f>
        <v>254.86</v>
      </c>
      <c r="J23" s="60" t="n">
        <v>91.3</v>
      </c>
      <c r="K23" s="60" t="n">
        <v>41.84</v>
      </c>
      <c r="L23" s="60" t="n">
        <v>0</v>
      </c>
      <c r="M23" s="60" t="n">
        <f aca="false">L23+Answers!$C$14/100*M22</f>
        <v>1.05149025193447</v>
      </c>
      <c r="N23" s="60" t="n">
        <v>56.47</v>
      </c>
      <c r="O23" s="60" t="n">
        <v>96.58</v>
      </c>
      <c r="P23" s="60" t="n">
        <v>0</v>
      </c>
      <c r="Q23" s="60" t="n">
        <v>0</v>
      </c>
      <c r="R23" s="60" t="n">
        <v>92.33</v>
      </c>
      <c r="S23" s="60" t="n">
        <f aca="false">N23+Answers!$C$16/100*S22</f>
        <v>493.29244608</v>
      </c>
      <c r="T23" s="60" t="n">
        <f aca="false">O23+Answers!$C$17/100*T22</f>
        <v>335.23343232</v>
      </c>
      <c r="U23" s="60" t="n">
        <f aca="false">P23+Answers!$C$18/100*U22</f>
        <v>145.799807788174</v>
      </c>
      <c r="V23" s="60" t="n">
        <f aca="false">Q23+Answers!$C$19/100*V22</f>
        <v>69.2979712</v>
      </c>
      <c r="W23" s="60" t="n">
        <f aca="false">R23+Answers!$C$20/100*W22</f>
        <v>585.514652344421</v>
      </c>
      <c r="X23" s="60" t="n">
        <f aca="false">IF('Level 1'!$C$11="",0,'Level 1'!$C$11)*E23</f>
        <v>0</v>
      </c>
      <c r="Y23" s="60" t="n">
        <f aca="false">-IF('Level 2'!$C$11="",0,'Level 2'!$C$11)*F23</f>
        <v>-0</v>
      </c>
      <c r="Z23" s="60" t="n">
        <f aca="false">IF('Level 3'!$C$11="",0,'Level 3'!$C$11)*G23</f>
        <v>0</v>
      </c>
      <c r="AA23" s="60" t="n">
        <f aca="false">IF('Level 4'!$C$11="",0,'Level 4'!$C$11)*(1-'Level 4'!$C$12/100)*I23</f>
        <v>0</v>
      </c>
      <c r="AB23" s="60" t="n">
        <f aca="false">IF('Level 5'!$C$11="",0,'Level 5'!$C$11)*J23</f>
        <v>0</v>
      </c>
      <c r="AC23" s="60" t="n">
        <f aca="false">IF('Level 5'!$C$12="",0,'Level 5'!$C$12)*K23</f>
        <v>0</v>
      </c>
      <c r="AD23" s="60" t="n">
        <f aca="false">IF('Level 5'!$C$13="",0,'Level 5'!$C$13)*(1-Answers!$C$14/100)*M23</f>
        <v>0</v>
      </c>
      <c r="AE23" s="60" t="n">
        <f aca="false">IF('Level 6'!$C$11="",0,'Level 6'!$C$11)*(1-Answers!$C$16/100)*S23</f>
        <v>0</v>
      </c>
      <c r="AF23" s="60" t="n">
        <f aca="false">IF('Level 6'!$C$12="",0,'Level 6'!$C$12)*(1-Answers!$C$17/100)*T23</f>
        <v>0</v>
      </c>
      <c r="AG23" s="60" t="n">
        <f aca="false">IF('Level 6'!$C$13="",0,'Level 6'!$C$13)*(1-Answers!$C$18/100)*U23</f>
        <v>0</v>
      </c>
      <c r="AH23" s="60" t="n">
        <f aca="false">IF('Level 6'!$C$14="",0,'Level 6'!$C$14)*(1-Answers!$C$19/100)*V23</f>
        <v>0</v>
      </c>
      <c r="AI23" s="60" t="n">
        <f aca="false">IF('Level 6'!$C$15="",0,'Level 6'!$C$15)*(1-Answers!$C$20/100)*W23</f>
        <v>0</v>
      </c>
      <c r="AJ23" s="60" t="n">
        <f aca="false">X23</f>
        <v>0</v>
      </c>
      <c r="AK23" s="60" t="n">
        <f aca="false">X23+Y23</f>
        <v>0</v>
      </c>
      <c r="AL23" s="60" t="n">
        <f aca="false">AK23+Z23</f>
        <v>0</v>
      </c>
      <c r="AM23" s="60" t="n">
        <f aca="false">AL23+AA23</f>
        <v>0</v>
      </c>
      <c r="AN23" s="60" t="n">
        <f aca="false">AM23+AB23+AC23+AD23</f>
        <v>0</v>
      </c>
      <c r="AO23" s="60" t="n">
        <f aca="false">AL23+AE23+AF23+AG23+AH23+AI23+AB23+AC23+AD23</f>
        <v>0</v>
      </c>
      <c r="AP23" s="60" t="n">
        <f aca="false">IF(Answers!$C$22="Yes",AO23,AN23)</f>
        <v>0</v>
      </c>
      <c r="AQ23" s="60" t="n">
        <v>4749.6</v>
      </c>
      <c r="AR23" s="60" t="n">
        <v>-1238</v>
      </c>
      <c r="AS23" s="60" t="n">
        <v>0</v>
      </c>
      <c r="AT23" s="60" t="n">
        <v>5254</v>
      </c>
      <c r="AU23" s="60" t="n">
        <v>342.1</v>
      </c>
      <c r="AV23" s="60" t="n">
        <v>154.4</v>
      </c>
      <c r="AW23" s="60" t="n">
        <v>0.1</v>
      </c>
      <c r="AX23" s="60" t="n">
        <v>1669.7</v>
      </c>
      <c r="AY23" s="60" t="n">
        <v>1016.8</v>
      </c>
      <c r="AZ23" s="60" t="n">
        <v>507.3</v>
      </c>
      <c r="BA23" s="60" t="n">
        <v>111.6</v>
      </c>
      <c r="BB23" s="60" t="n">
        <v>1948.7</v>
      </c>
      <c r="BC23" s="60" t="n">
        <f aca="false">AQ23+AR23+AS23+AT23+AU23+AV23+AW23</f>
        <v>9262.2</v>
      </c>
      <c r="BD23" s="60" t="n">
        <f aca="false">AQ23</f>
        <v>4749.6</v>
      </c>
      <c r="BE23" s="60" t="n">
        <f aca="false">AQ23+AR23</f>
        <v>3511.6</v>
      </c>
      <c r="BF23" s="60" t="n">
        <f aca="false">BE23+AS23</f>
        <v>3511.6</v>
      </c>
      <c r="BG23" s="60" t="n">
        <f aca="false">BF23+AT23</f>
        <v>8765.6</v>
      </c>
      <c r="BH23" s="60" t="n">
        <f aca="false">BG23+AU23+AV23+AW23</f>
        <v>9262.2</v>
      </c>
      <c r="BI23" s="60" t="n">
        <f aca="false">BC23</f>
        <v>9262.2</v>
      </c>
      <c r="BJ23" s="60" t="n">
        <f aca="false">IF('Level 1'!$C$31="Yes",BD23,AJ23)</f>
        <v>0</v>
      </c>
      <c r="BK23" s="60" t="n">
        <f aca="false">IF('Level 2'!$C$31="Yes",BE23,AK23)</f>
        <v>0</v>
      </c>
      <c r="BL23" s="60" t="n">
        <f aca="false">IF('Level 3'!$C$31="Yes",BF23,AL23)</f>
        <v>0</v>
      </c>
      <c r="BM23" s="60" t="n">
        <f aca="false">IF('Level 4'!$C$31="Yes",BG23,AM23)</f>
        <v>0</v>
      </c>
      <c r="BN23" s="60" t="n">
        <f aca="false">IF('Level 5'!$C$31="Yes",BH23,AN23)</f>
        <v>0</v>
      </c>
      <c r="BO23" s="60" t="n">
        <f aca="false">IF('Level 6'!$C$31="Yes",BI23,AO23)</f>
        <v>0</v>
      </c>
      <c r="BP23" s="60" t="n">
        <f aca="false">IF('Level 7'!$C$31="Yes",BC23,AP23)</f>
        <v>0</v>
      </c>
      <c r="BQ23" s="60" t="n">
        <f aca="false">D23-AP23</f>
        <v>9465</v>
      </c>
      <c r="BR23" s="60" t="n">
        <f aca="false">BQ23^2</f>
        <v>89586225</v>
      </c>
      <c r="BS23" s="60" t="n">
        <f aca="false">(BQ23-BQ22)^2</f>
        <v>151708489</v>
      </c>
      <c r="BT23" s="60" t="n">
        <f aca="false">IF(D23&gt;2000,ABS(BQ23)/D23,"")</f>
        <v>1</v>
      </c>
      <c r="BU23" s="60" t="n">
        <v>189</v>
      </c>
      <c r="BV23" s="62" t="n">
        <v>0.5131</v>
      </c>
      <c r="BW23" s="60" t="n">
        <v>427.2</v>
      </c>
      <c r="BX23" s="60" t="n">
        <f aca="false">AA23</f>
        <v>0</v>
      </c>
      <c r="BY23" s="60" t="n">
        <f aca="false">H23</f>
        <v>254.86</v>
      </c>
      <c r="BZ23" s="60" t="n">
        <f aca="false">Z23</f>
        <v>0</v>
      </c>
      <c r="CA23" s="60" t="n">
        <f aca="false">AB23+AC23+AD23</f>
        <v>0</v>
      </c>
      <c r="CB23" s="60" t="n">
        <f aca="false">AE23+AF23+AG23+AH23+AI23</f>
        <v>0</v>
      </c>
    </row>
    <row r="24" customFormat="false" ht="15" hidden="false" customHeight="false" outlineLevel="0" collapsed="false">
      <c r="A24" s="58" t="n">
        <v>45060</v>
      </c>
      <c r="B24" s="59" t="n">
        <f aca="false">YEAR(A24)</f>
        <v>2023</v>
      </c>
      <c r="C24" s="59" t="n">
        <f aca="false">MONTH(A24)</f>
        <v>5</v>
      </c>
      <c r="D24" s="60" t="n">
        <v>8614</v>
      </c>
      <c r="E24" s="61" t="n">
        <v>1.2414</v>
      </c>
      <c r="F24" s="61" t="n">
        <v>0.9795</v>
      </c>
      <c r="G24" s="61" t="n">
        <v>0</v>
      </c>
      <c r="H24" s="60" t="n">
        <v>206.71</v>
      </c>
      <c r="I24" s="60" t="n">
        <f aca="false">H24+'Level 4'!$C$12/100*I23</f>
        <v>206.71</v>
      </c>
      <c r="J24" s="60" t="n">
        <v>79.44</v>
      </c>
      <c r="K24" s="60" t="n">
        <v>33.33</v>
      </c>
      <c r="L24" s="60" t="n">
        <v>0</v>
      </c>
      <c r="M24" s="60" t="n">
        <f aca="false">L24+Answers!$C$14/100*M23</f>
        <v>0.63089415116068</v>
      </c>
      <c r="N24" s="60" t="n">
        <v>53.47</v>
      </c>
      <c r="O24" s="60" t="n">
        <v>0</v>
      </c>
      <c r="P24" s="60" t="n">
        <v>48.87</v>
      </c>
      <c r="Q24" s="60" t="n">
        <v>0</v>
      </c>
      <c r="R24" s="60" t="n">
        <v>95.76</v>
      </c>
      <c r="S24" s="60" t="n">
        <f aca="false">N24+Answers!$C$16/100*S23</f>
        <v>448.103956864</v>
      </c>
      <c r="T24" s="60" t="n">
        <f aca="false">O24+Answers!$C$17/100*T23</f>
        <v>268.186745856</v>
      </c>
      <c r="U24" s="60" t="n">
        <f aca="false">P24+Answers!$C$18/100*U23</f>
        <v>165.509846230539</v>
      </c>
      <c r="V24" s="60" t="n">
        <f aca="false">Q24+Answers!$C$19/100*V23</f>
        <v>55.43837696</v>
      </c>
      <c r="W24" s="60" t="n">
        <f aca="false">R24+Answers!$C$20/100*W23</f>
        <v>564.171721875537</v>
      </c>
      <c r="X24" s="60" t="n">
        <f aca="false">IF('Level 1'!$C$11="",0,'Level 1'!$C$11)*E24</f>
        <v>0</v>
      </c>
      <c r="Y24" s="60" t="n">
        <f aca="false">-IF('Level 2'!$C$11="",0,'Level 2'!$C$11)*F24</f>
        <v>-0</v>
      </c>
      <c r="Z24" s="60" t="n">
        <f aca="false">IF('Level 3'!$C$11="",0,'Level 3'!$C$11)*G24</f>
        <v>0</v>
      </c>
      <c r="AA24" s="60" t="n">
        <f aca="false">IF('Level 4'!$C$11="",0,'Level 4'!$C$11)*(1-'Level 4'!$C$12/100)*I24</f>
        <v>0</v>
      </c>
      <c r="AB24" s="60" t="n">
        <f aca="false">IF('Level 5'!$C$11="",0,'Level 5'!$C$11)*J24</f>
        <v>0</v>
      </c>
      <c r="AC24" s="60" t="n">
        <f aca="false">IF('Level 5'!$C$12="",0,'Level 5'!$C$12)*K24</f>
        <v>0</v>
      </c>
      <c r="AD24" s="60" t="n">
        <f aca="false">IF('Level 5'!$C$13="",0,'Level 5'!$C$13)*(1-Answers!$C$14/100)*M24</f>
        <v>0</v>
      </c>
      <c r="AE24" s="60" t="n">
        <f aca="false">IF('Level 6'!$C$11="",0,'Level 6'!$C$11)*(1-Answers!$C$16/100)*S24</f>
        <v>0</v>
      </c>
      <c r="AF24" s="60" t="n">
        <f aca="false">IF('Level 6'!$C$12="",0,'Level 6'!$C$12)*(1-Answers!$C$17/100)*T24</f>
        <v>0</v>
      </c>
      <c r="AG24" s="60" t="n">
        <f aca="false">IF('Level 6'!$C$13="",0,'Level 6'!$C$13)*(1-Answers!$C$18/100)*U24</f>
        <v>0</v>
      </c>
      <c r="AH24" s="60" t="n">
        <f aca="false">IF('Level 6'!$C$14="",0,'Level 6'!$C$14)*(1-Answers!$C$19/100)*V24</f>
        <v>0</v>
      </c>
      <c r="AI24" s="60" t="n">
        <f aca="false">IF('Level 6'!$C$15="",0,'Level 6'!$C$15)*(1-Answers!$C$20/100)*W24</f>
        <v>0</v>
      </c>
      <c r="AJ24" s="60" t="n">
        <f aca="false">X24</f>
        <v>0</v>
      </c>
      <c r="AK24" s="60" t="n">
        <f aca="false">X24+Y24</f>
        <v>0</v>
      </c>
      <c r="AL24" s="60" t="n">
        <f aca="false">AK24+Z24</f>
        <v>0</v>
      </c>
      <c r="AM24" s="60" t="n">
        <f aca="false">AL24+AA24</f>
        <v>0</v>
      </c>
      <c r="AN24" s="60" t="n">
        <f aca="false">AM24+AB24+AC24+AD24</f>
        <v>0</v>
      </c>
      <c r="AO24" s="60" t="n">
        <f aca="false">AL24+AE24+AF24+AG24+AH24+AI24+AB24+AC24+AD24</f>
        <v>0</v>
      </c>
      <c r="AP24" s="60" t="n">
        <f aca="false">IF(Answers!$C$22="Yes",AO24,AN24)</f>
        <v>0</v>
      </c>
      <c r="AQ24" s="60" t="n">
        <v>1087</v>
      </c>
      <c r="AR24" s="60" t="n">
        <v>-932.9</v>
      </c>
      <c r="AS24" s="60" t="n">
        <v>0</v>
      </c>
      <c r="AT24" s="60" t="n">
        <v>5012.6</v>
      </c>
      <c r="AU24" s="60" t="n">
        <v>296.4</v>
      </c>
      <c r="AV24" s="60" t="n">
        <v>123</v>
      </c>
      <c r="AW24" s="60" t="n">
        <v>0.1</v>
      </c>
      <c r="AX24" s="60" t="n">
        <v>1557.9</v>
      </c>
      <c r="AY24" s="60" t="n">
        <v>864.3</v>
      </c>
      <c r="AZ24" s="60" t="n">
        <v>559.3</v>
      </c>
      <c r="BA24" s="60" t="n">
        <v>94.8</v>
      </c>
      <c r="BB24" s="60" t="n">
        <v>1936.2</v>
      </c>
      <c r="BC24" s="60" t="n">
        <f aca="false">AQ24+AR24+AS24+AT24+AU24+AV24+AW24</f>
        <v>5586.2</v>
      </c>
      <c r="BD24" s="60" t="n">
        <f aca="false">AQ24</f>
        <v>1087</v>
      </c>
      <c r="BE24" s="60" t="n">
        <f aca="false">AQ24+AR24</f>
        <v>154.1</v>
      </c>
      <c r="BF24" s="60" t="n">
        <f aca="false">BE24+AS24</f>
        <v>154.1</v>
      </c>
      <c r="BG24" s="60" t="n">
        <f aca="false">BF24+AT24</f>
        <v>5166.7</v>
      </c>
      <c r="BH24" s="60" t="n">
        <f aca="false">BG24+AU24+AV24+AW24</f>
        <v>5586.2</v>
      </c>
      <c r="BI24" s="60" t="n">
        <f aca="false">BC24</f>
        <v>5586.2</v>
      </c>
      <c r="BJ24" s="60" t="n">
        <f aca="false">IF('Level 1'!$C$31="Yes",BD24,AJ24)</f>
        <v>0</v>
      </c>
      <c r="BK24" s="60" t="n">
        <f aca="false">IF('Level 2'!$C$31="Yes",BE24,AK24)</f>
        <v>0</v>
      </c>
      <c r="BL24" s="60" t="n">
        <f aca="false">IF('Level 3'!$C$31="Yes",BF24,AL24)</f>
        <v>0</v>
      </c>
      <c r="BM24" s="60" t="n">
        <f aca="false">IF('Level 4'!$C$31="Yes",BG24,AM24)</f>
        <v>0</v>
      </c>
      <c r="BN24" s="60" t="n">
        <f aca="false">IF('Level 5'!$C$31="Yes",BH24,AN24)</f>
        <v>0</v>
      </c>
      <c r="BO24" s="60" t="n">
        <f aca="false">IF('Level 6'!$C$31="Yes",BI24,AO24)</f>
        <v>0</v>
      </c>
      <c r="BP24" s="60" t="n">
        <f aca="false">IF('Level 7'!$C$31="Yes",BC24,AP24)</f>
        <v>0</v>
      </c>
      <c r="BQ24" s="60" t="n">
        <f aca="false">D24-AP24</f>
        <v>8614</v>
      </c>
      <c r="BR24" s="60" t="n">
        <f aca="false">BQ24^2</f>
        <v>74200996</v>
      </c>
      <c r="BS24" s="60" t="n">
        <f aca="false">(BQ24-BQ23)^2</f>
        <v>724201</v>
      </c>
      <c r="BT24" s="60" t="n">
        <f aca="false">IF(D24&gt;2000,ABS(BQ24)/D24,"")</f>
        <v>1</v>
      </c>
      <c r="BU24" s="60" t="n">
        <v>180</v>
      </c>
      <c r="BV24" s="62" t="n">
        <v>0.5131</v>
      </c>
      <c r="BW24" s="60" t="n">
        <v>379.7</v>
      </c>
      <c r="BX24" s="60" t="n">
        <f aca="false">AA24</f>
        <v>0</v>
      </c>
      <c r="BY24" s="60" t="n">
        <f aca="false">H24</f>
        <v>206.71</v>
      </c>
      <c r="BZ24" s="60" t="n">
        <f aca="false">Z24</f>
        <v>0</v>
      </c>
      <c r="CA24" s="60" t="n">
        <f aca="false">AB24+AC24+AD24</f>
        <v>0</v>
      </c>
      <c r="CB24" s="60" t="n">
        <f aca="false">AE24+AF24+AG24+AH24+AI24</f>
        <v>0</v>
      </c>
    </row>
    <row r="25" customFormat="false" ht="15" hidden="false" customHeight="false" outlineLevel="0" collapsed="false">
      <c r="A25" s="58" t="n">
        <v>45067</v>
      </c>
      <c r="B25" s="59" t="n">
        <f aca="false">YEAR(A25)</f>
        <v>2023</v>
      </c>
      <c r="C25" s="59" t="n">
        <f aca="false">MONTH(A25)</f>
        <v>5</v>
      </c>
      <c r="D25" s="60" t="n">
        <v>7938</v>
      </c>
      <c r="E25" s="61" t="n">
        <v>0.9408</v>
      </c>
      <c r="F25" s="61" t="n">
        <v>0.9775</v>
      </c>
      <c r="G25" s="61" t="n">
        <v>0</v>
      </c>
      <c r="H25" s="60" t="n">
        <v>141.33</v>
      </c>
      <c r="I25" s="60" t="n">
        <f aca="false">H25+'Level 4'!$C$12/100*I24</f>
        <v>141.33</v>
      </c>
      <c r="J25" s="60" t="n">
        <v>51.9</v>
      </c>
      <c r="K25" s="60" t="n">
        <v>21.83</v>
      </c>
      <c r="L25" s="60" t="n">
        <v>0</v>
      </c>
      <c r="M25" s="60" t="n">
        <f aca="false">L25+Answers!$C$14/100*M24</f>
        <v>0.378536490696408</v>
      </c>
      <c r="N25" s="60" t="n">
        <v>37.11</v>
      </c>
      <c r="O25" s="60" t="n">
        <v>0</v>
      </c>
      <c r="P25" s="60" t="n">
        <v>0</v>
      </c>
      <c r="Q25" s="60" t="n">
        <v>0</v>
      </c>
      <c r="R25" s="60" t="n">
        <v>96.28</v>
      </c>
      <c r="S25" s="60" t="n">
        <f aca="false">N25+Answers!$C$16/100*S24</f>
        <v>395.5931654912</v>
      </c>
      <c r="T25" s="60" t="n">
        <f aca="false">O25+Answers!$C$17/100*T24</f>
        <v>214.5493966848</v>
      </c>
      <c r="U25" s="60" t="n">
        <f aca="false">P25+Answers!$C$18/100*U24</f>
        <v>132.407876984431</v>
      </c>
      <c r="V25" s="60" t="n">
        <f aca="false">Q25+Answers!$C$19/100*V24</f>
        <v>44.350701568</v>
      </c>
      <c r="W25" s="60" t="n">
        <f aca="false">R25+Answers!$C$20/100*W24</f>
        <v>547.617377500429</v>
      </c>
      <c r="X25" s="60" t="n">
        <f aca="false">IF('Level 1'!$C$11="",0,'Level 1'!$C$11)*E25</f>
        <v>0</v>
      </c>
      <c r="Y25" s="60" t="n">
        <f aca="false">-IF('Level 2'!$C$11="",0,'Level 2'!$C$11)*F25</f>
        <v>-0</v>
      </c>
      <c r="Z25" s="60" t="n">
        <f aca="false">IF('Level 3'!$C$11="",0,'Level 3'!$C$11)*G25</f>
        <v>0</v>
      </c>
      <c r="AA25" s="60" t="n">
        <f aca="false">IF('Level 4'!$C$11="",0,'Level 4'!$C$11)*(1-'Level 4'!$C$12/100)*I25</f>
        <v>0</v>
      </c>
      <c r="AB25" s="60" t="n">
        <f aca="false">IF('Level 5'!$C$11="",0,'Level 5'!$C$11)*J25</f>
        <v>0</v>
      </c>
      <c r="AC25" s="60" t="n">
        <f aca="false">IF('Level 5'!$C$12="",0,'Level 5'!$C$12)*K25</f>
        <v>0</v>
      </c>
      <c r="AD25" s="60" t="n">
        <f aca="false">IF('Level 5'!$C$13="",0,'Level 5'!$C$13)*(1-Answers!$C$14/100)*M25</f>
        <v>0</v>
      </c>
      <c r="AE25" s="60" t="n">
        <f aca="false">IF('Level 6'!$C$11="",0,'Level 6'!$C$11)*(1-Answers!$C$16/100)*S25</f>
        <v>0</v>
      </c>
      <c r="AF25" s="60" t="n">
        <f aca="false">IF('Level 6'!$C$12="",0,'Level 6'!$C$12)*(1-Answers!$C$17/100)*T25</f>
        <v>0</v>
      </c>
      <c r="AG25" s="60" t="n">
        <f aca="false">IF('Level 6'!$C$13="",0,'Level 6'!$C$13)*(1-Answers!$C$18/100)*U25</f>
        <v>0</v>
      </c>
      <c r="AH25" s="60" t="n">
        <f aca="false">IF('Level 6'!$C$14="",0,'Level 6'!$C$14)*(1-Answers!$C$19/100)*V25</f>
        <v>0</v>
      </c>
      <c r="AI25" s="60" t="n">
        <f aca="false">IF('Level 6'!$C$15="",0,'Level 6'!$C$15)*(1-Answers!$C$20/100)*W25</f>
        <v>0</v>
      </c>
      <c r="AJ25" s="60" t="n">
        <f aca="false">X25</f>
        <v>0</v>
      </c>
      <c r="AK25" s="60" t="n">
        <f aca="false">X25+Y25</f>
        <v>0</v>
      </c>
      <c r="AL25" s="60" t="n">
        <f aca="false">AK25+Z25</f>
        <v>0</v>
      </c>
      <c r="AM25" s="60" t="n">
        <f aca="false">AL25+AA25</f>
        <v>0</v>
      </c>
      <c r="AN25" s="60" t="n">
        <f aca="false">AM25+AB25+AC25+AD25</f>
        <v>0</v>
      </c>
      <c r="AO25" s="60" t="n">
        <f aca="false">AL25+AE25+AF25+AG25+AH25+AI25+AB25+AC25+AD25</f>
        <v>0</v>
      </c>
      <c r="AP25" s="60" t="n">
        <f aca="false">IF(Answers!$C$22="Yes",AO25,AN25)</f>
        <v>0</v>
      </c>
      <c r="AQ25" s="60" t="n">
        <v>823.8</v>
      </c>
      <c r="AR25" s="60" t="n">
        <v>-931</v>
      </c>
      <c r="AS25" s="60" t="n">
        <v>0</v>
      </c>
      <c r="AT25" s="60" t="n">
        <v>4647.2</v>
      </c>
      <c r="AU25" s="60" t="n">
        <v>188</v>
      </c>
      <c r="AV25" s="60" t="n">
        <v>80.6</v>
      </c>
      <c r="AW25" s="60" t="n">
        <v>0</v>
      </c>
      <c r="AX25" s="60" t="n">
        <v>1420.5</v>
      </c>
      <c r="AY25" s="60" t="n">
        <v>734.7</v>
      </c>
      <c r="AZ25" s="60" t="n">
        <v>475.4</v>
      </c>
      <c r="BA25" s="60" t="n">
        <v>80.6</v>
      </c>
      <c r="BB25" s="60" t="n">
        <v>1936</v>
      </c>
      <c r="BC25" s="60" t="n">
        <f aca="false">AQ25+AR25+AS25+AT25+AU25+AV25+AW25</f>
        <v>4808.6</v>
      </c>
      <c r="BD25" s="60" t="n">
        <f aca="false">AQ25</f>
        <v>823.8</v>
      </c>
      <c r="BE25" s="60" t="n">
        <f aca="false">AQ25+AR25</f>
        <v>-107.2</v>
      </c>
      <c r="BF25" s="60" t="n">
        <f aca="false">BE25+AS25</f>
        <v>-107.2</v>
      </c>
      <c r="BG25" s="60" t="n">
        <f aca="false">BF25+AT25</f>
        <v>4540</v>
      </c>
      <c r="BH25" s="60" t="n">
        <f aca="false">BG25+AU25+AV25+AW25</f>
        <v>4808.6</v>
      </c>
      <c r="BI25" s="60" t="n">
        <f aca="false">BC25</f>
        <v>4808.6</v>
      </c>
      <c r="BJ25" s="60" t="n">
        <f aca="false">IF('Level 1'!$C$31="Yes",BD25,AJ25)</f>
        <v>0</v>
      </c>
      <c r="BK25" s="60" t="n">
        <f aca="false">IF('Level 2'!$C$31="Yes",BE25,AK25)</f>
        <v>0</v>
      </c>
      <c r="BL25" s="60" t="n">
        <f aca="false">IF('Level 3'!$C$31="Yes",BF25,AL25)</f>
        <v>0</v>
      </c>
      <c r="BM25" s="60" t="n">
        <f aca="false">IF('Level 4'!$C$31="Yes",BG25,AM25)</f>
        <v>0</v>
      </c>
      <c r="BN25" s="60" t="n">
        <f aca="false">IF('Level 5'!$C$31="Yes",BH25,AN25)</f>
        <v>0</v>
      </c>
      <c r="BO25" s="60" t="n">
        <f aca="false">IF('Level 6'!$C$31="Yes",BI25,AO25)</f>
        <v>0</v>
      </c>
      <c r="BP25" s="60" t="n">
        <f aca="false">IF('Level 7'!$C$31="Yes",BC25,AP25)</f>
        <v>0</v>
      </c>
      <c r="BQ25" s="60" t="n">
        <f aca="false">D25-AP25</f>
        <v>7938</v>
      </c>
      <c r="BR25" s="60" t="n">
        <f aca="false">BQ25^2</f>
        <v>63011844</v>
      </c>
      <c r="BS25" s="60" t="n">
        <f aca="false">(BQ25-BQ24)^2</f>
        <v>456976</v>
      </c>
      <c r="BT25" s="60" t="n">
        <f aca="false">IF(D25&gt;2000,ABS(BQ25)/D25,"")</f>
        <v>1</v>
      </c>
      <c r="BU25" s="60" t="n">
        <v>139</v>
      </c>
      <c r="BV25" s="62" t="n">
        <v>0.5131</v>
      </c>
      <c r="BW25" s="60" t="n">
        <v>301.9</v>
      </c>
      <c r="BX25" s="60" t="n">
        <f aca="false">AA25</f>
        <v>0</v>
      </c>
      <c r="BY25" s="60" t="n">
        <f aca="false">H25</f>
        <v>141.33</v>
      </c>
      <c r="BZ25" s="60" t="n">
        <f aca="false">Z25</f>
        <v>0</v>
      </c>
      <c r="CA25" s="60" t="n">
        <f aca="false">AB25+AC25+AD25</f>
        <v>0</v>
      </c>
      <c r="CB25" s="60" t="n">
        <f aca="false">AE25+AF25+AG25+AH25+AI25</f>
        <v>0</v>
      </c>
    </row>
    <row r="26" customFormat="false" ht="15" hidden="false" customHeight="false" outlineLevel="0" collapsed="false">
      <c r="A26" s="58" t="n">
        <v>45074</v>
      </c>
      <c r="B26" s="59" t="n">
        <f aca="false">YEAR(A26)</f>
        <v>2023</v>
      </c>
      <c r="C26" s="59" t="n">
        <f aca="false">MONTH(A26)</f>
        <v>5</v>
      </c>
      <c r="D26" s="60" t="n">
        <v>6539</v>
      </c>
      <c r="E26" s="61" t="n">
        <v>1.085</v>
      </c>
      <c r="F26" s="61" t="n">
        <v>1.0426</v>
      </c>
      <c r="G26" s="61" t="n">
        <v>0</v>
      </c>
      <c r="H26" s="60" t="n">
        <v>163.55</v>
      </c>
      <c r="I26" s="60" t="n">
        <f aca="false">H26+'Level 4'!$C$12/100*I25</f>
        <v>163.55</v>
      </c>
      <c r="J26" s="60" t="n">
        <v>47.17</v>
      </c>
      <c r="K26" s="60" t="n">
        <v>15.04</v>
      </c>
      <c r="L26" s="60" t="n">
        <v>0</v>
      </c>
      <c r="M26" s="60" t="n">
        <f aca="false">L26+Answers!$C$14/100*M25</f>
        <v>0.227121894417845</v>
      </c>
      <c r="N26" s="60" t="n">
        <v>27.37</v>
      </c>
      <c r="O26" s="60" t="n">
        <v>0</v>
      </c>
      <c r="P26" s="60" t="n">
        <v>44.47</v>
      </c>
      <c r="Q26" s="60" t="n">
        <v>1.82</v>
      </c>
      <c r="R26" s="60" t="n">
        <v>83.35</v>
      </c>
      <c r="S26" s="60" t="n">
        <f aca="false">N26+Answers!$C$16/100*S25</f>
        <v>343.84453239296</v>
      </c>
      <c r="T26" s="60" t="n">
        <f aca="false">O26+Answers!$C$17/100*T25</f>
        <v>171.63951734784</v>
      </c>
      <c r="U26" s="60" t="n">
        <f aca="false">P26+Answers!$C$18/100*U25</f>
        <v>150.396301587545</v>
      </c>
      <c r="V26" s="60" t="n">
        <f aca="false">Q26+Answers!$C$19/100*V25</f>
        <v>37.3005612544</v>
      </c>
      <c r="W26" s="60" t="n">
        <f aca="false">R26+Answers!$C$20/100*W25</f>
        <v>521.443902000343</v>
      </c>
      <c r="X26" s="60" t="n">
        <f aca="false">IF('Level 1'!$C$11="",0,'Level 1'!$C$11)*E26</f>
        <v>0</v>
      </c>
      <c r="Y26" s="60" t="n">
        <f aca="false">-IF('Level 2'!$C$11="",0,'Level 2'!$C$11)*F26</f>
        <v>-0</v>
      </c>
      <c r="Z26" s="60" t="n">
        <f aca="false">IF('Level 3'!$C$11="",0,'Level 3'!$C$11)*G26</f>
        <v>0</v>
      </c>
      <c r="AA26" s="60" t="n">
        <f aca="false">IF('Level 4'!$C$11="",0,'Level 4'!$C$11)*(1-'Level 4'!$C$12/100)*I26</f>
        <v>0</v>
      </c>
      <c r="AB26" s="60" t="n">
        <f aca="false">IF('Level 5'!$C$11="",0,'Level 5'!$C$11)*J26</f>
        <v>0</v>
      </c>
      <c r="AC26" s="60" t="n">
        <f aca="false">IF('Level 5'!$C$12="",0,'Level 5'!$C$12)*K26</f>
        <v>0</v>
      </c>
      <c r="AD26" s="60" t="n">
        <f aca="false">IF('Level 5'!$C$13="",0,'Level 5'!$C$13)*(1-Answers!$C$14/100)*M26</f>
        <v>0</v>
      </c>
      <c r="AE26" s="60" t="n">
        <f aca="false">IF('Level 6'!$C$11="",0,'Level 6'!$C$11)*(1-Answers!$C$16/100)*S26</f>
        <v>0</v>
      </c>
      <c r="AF26" s="60" t="n">
        <f aca="false">IF('Level 6'!$C$12="",0,'Level 6'!$C$12)*(1-Answers!$C$17/100)*T26</f>
        <v>0</v>
      </c>
      <c r="AG26" s="60" t="n">
        <f aca="false">IF('Level 6'!$C$13="",0,'Level 6'!$C$13)*(1-Answers!$C$18/100)*U26</f>
        <v>0</v>
      </c>
      <c r="AH26" s="60" t="n">
        <f aca="false">IF('Level 6'!$C$14="",0,'Level 6'!$C$14)*(1-Answers!$C$19/100)*V26</f>
        <v>0</v>
      </c>
      <c r="AI26" s="60" t="n">
        <f aca="false">IF('Level 6'!$C$15="",0,'Level 6'!$C$15)*(1-Answers!$C$20/100)*W26</f>
        <v>0</v>
      </c>
      <c r="AJ26" s="60" t="n">
        <f aca="false">X26</f>
        <v>0</v>
      </c>
      <c r="AK26" s="60" t="n">
        <f aca="false">X26+Y26</f>
        <v>0</v>
      </c>
      <c r="AL26" s="60" t="n">
        <f aca="false">AK26+Z26</f>
        <v>0</v>
      </c>
      <c r="AM26" s="60" t="n">
        <f aca="false">AL26+AA26</f>
        <v>0</v>
      </c>
      <c r="AN26" s="60" t="n">
        <f aca="false">AM26+AB26+AC26+AD26</f>
        <v>0</v>
      </c>
      <c r="AO26" s="60" t="n">
        <f aca="false">AL26+AE26+AF26+AG26+AH26+AI26+AB26+AC26+AD26</f>
        <v>0</v>
      </c>
      <c r="AP26" s="60" t="n">
        <f aca="false">IF(Answers!$C$22="Yes",AO26,AN26)</f>
        <v>0</v>
      </c>
      <c r="AQ26" s="60" t="n">
        <v>950</v>
      </c>
      <c r="AR26" s="60" t="n">
        <v>-993</v>
      </c>
      <c r="AS26" s="60" t="n">
        <v>0</v>
      </c>
      <c r="AT26" s="60" t="n">
        <v>4390.8</v>
      </c>
      <c r="AU26" s="60" t="n">
        <v>166.3</v>
      </c>
      <c r="AV26" s="60" t="n">
        <v>55.5</v>
      </c>
      <c r="AW26" s="60" t="n">
        <v>0</v>
      </c>
      <c r="AX26" s="60" t="n">
        <v>1278.5</v>
      </c>
      <c r="AY26" s="60" t="n">
        <v>624.5</v>
      </c>
      <c r="AZ26" s="60" t="n">
        <v>520.7</v>
      </c>
      <c r="BA26" s="60" t="n">
        <v>70.8</v>
      </c>
      <c r="BB26" s="60" t="n">
        <v>1896.3</v>
      </c>
      <c r="BC26" s="60" t="n">
        <f aca="false">AQ26+AR26+AS26+AT26+AU26+AV26+AW26</f>
        <v>4569.6</v>
      </c>
      <c r="BD26" s="60" t="n">
        <f aca="false">AQ26</f>
        <v>950</v>
      </c>
      <c r="BE26" s="60" t="n">
        <f aca="false">AQ26+AR26</f>
        <v>-43</v>
      </c>
      <c r="BF26" s="60" t="n">
        <f aca="false">BE26+AS26</f>
        <v>-43</v>
      </c>
      <c r="BG26" s="60" t="n">
        <f aca="false">BF26+AT26</f>
        <v>4347.8</v>
      </c>
      <c r="BH26" s="60" t="n">
        <f aca="false">BG26+AU26+AV26+AW26</f>
        <v>4569.6</v>
      </c>
      <c r="BI26" s="60" t="n">
        <f aca="false">BC26</f>
        <v>4569.6</v>
      </c>
      <c r="BJ26" s="60" t="n">
        <f aca="false">IF('Level 1'!$C$31="Yes",BD26,AJ26)</f>
        <v>0</v>
      </c>
      <c r="BK26" s="60" t="n">
        <f aca="false">IF('Level 2'!$C$31="Yes",BE26,AK26)</f>
        <v>0</v>
      </c>
      <c r="BL26" s="60" t="n">
        <f aca="false">IF('Level 3'!$C$31="Yes",BF26,AL26)</f>
        <v>0</v>
      </c>
      <c r="BM26" s="60" t="n">
        <f aca="false">IF('Level 4'!$C$31="Yes",BG26,AM26)</f>
        <v>0</v>
      </c>
      <c r="BN26" s="60" t="n">
        <f aca="false">IF('Level 5'!$C$31="Yes",BH26,AN26)</f>
        <v>0</v>
      </c>
      <c r="BO26" s="60" t="n">
        <f aca="false">IF('Level 6'!$C$31="Yes",BI26,AO26)</f>
        <v>0</v>
      </c>
      <c r="BP26" s="60" t="n">
        <f aca="false">IF('Level 7'!$C$31="Yes",BC26,AP26)</f>
        <v>0</v>
      </c>
      <c r="BQ26" s="60" t="n">
        <f aca="false">D26-AP26</f>
        <v>6539</v>
      </c>
      <c r="BR26" s="60" t="n">
        <f aca="false">BQ26^2</f>
        <v>42758521</v>
      </c>
      <c r="BS26" s="60" t="n">
        <f aca="false">(BQ26-BQ25)^2</f>
        <v>1957201</v>
      </c>
      <c r="BT26" s="60" t="n">
        <f aca="false">IF(D26&gt;2000,ABS(BQ26)/D26,"")</f>
        <v>1</v>
      </c>
      <c r="BU26" s="60" t="n">
        <v>136</v>
      </c>
      <c r="BV26" s="62" t="n">
        <v>0.5201</v>
      </c>
      <c r="BW26" s="60" t="n">
        <v>307.1</v>
      </c>
      <c r="BX26" s="60" t="n">
        <f aca="false">AA26</f>
        <v>0</v>
      </c>
      <c r="BY26" s="60" t="n">
        <f aca="false">H26</f>
        <v>163.55</v>
      </c>
      <c r="BZ26" s="60" t="n">
        <f aca="false">Z26</f>
        <v>0</v>
      </c>
      <c r="CA26" s="60" t="n">
        <f aca="false">AB26+AC26+AD26</f>
        <v>0</v>
      </c>
      <c r="CB26" s="60" t="n">
        <f aca="false">AE26+AF26+AG26+AH26+AI26</f>
        <v>0</v>
      </c>
    </row>
    <row r="27" customFormat="false" ht="15" hidden="false" customHeight="false" outlineLevel="0" collapsed="false">
      <c r="A27" s="58" t="n">
        <v>45081</v>
      </c>
      <c r="B27" s="59" t="n">
        <f aca="false">YEAR(A27)</f>
        <v>2023</v>
      </c>
      <c r="C27" s="59" t="n">
        <f aca="false">MONTH(A27)</f>
        <v>6</v>
      </c>
      <c r="D27" s="60" t="n">
        <v>6488</v>
      </c>
      <c r="E27" s="61" t="n">
        <v>1.0715</v>
      </c>
      <c r="F27" s="61" t="n">
        <v>1.3227</v>
      </c>
      <c r="G27" s="61" t="n">
        <v>0</v>
      </c>
      <c r="H27" s="60" t="n">
        <v>114.94</v>
      </c>
      <c r="I27" s="60" t="n">
        <f aca="false">H27+'Level 4'!$C$12/100*I26</f>
        <v>114.94</v>
      </c>
      <c r="J27" s="60" t="n">
        <v>105.2</v>
      </c>
      <c r="K27" s="60" t="n">
        <v>34.86</v>
      </c>
      <c r="L27" s="60" t="n">
        <v>0</v>
      </c>
      <c r="M27" s="60" t="n">
        <f aca="false">L27+Answers!$C$14/100*M26</f>
        <v>0.136273136650707</v>
      </c>
      <c r="N27" s="60" t="n">
        <v>20.58</v>
      </c>
      <c r="O27" s="60" t="n">
        <v>0</v>
      </c>
      <c r="P27" s="60" t="n">
        <v>0</v>
      </c>
      <c r="Q27" s="60" t="n">
        <v>0.86</v>
      </c>
      <c r="R27" s="60" t="n">
        <v>87.01</v>
      </c>
      <c r="S27" s="60" t="n">
        <f aca="false">N27+Answers!$C$16/100*S26</f>
        <v>295.655625914368</v>
      </c>
      <c r="T27" s="60" t="n">
        <f aca="false">O27+Answers!$C$17/100*T26</f>
        <v>137.311613878272</v>
      </c>
      <c r="U27" s="60" t="n">
        <f aca="false">P27+Answers!$C$18/100*U26</f>
        <v>120.317041270036</v>
      </c>
      <c r="V27" s="60" t="n">
        <f aca="false">Q27+Answers!$C$19/100*V26</f>
        <v>30.70044900352</v>
      </c>
      <c r="W27" s="60" t="n">
        <f aca="false">R27+Answers!$C$20/100*W26</f>
        <v>504.165121600275</v>
      </c>
      <c r="X27" s="60" t="n">
        <f aca="false">IF('Level 1'!$C$11="",0,'Level 1'!$C$11)*E27</f>
        <v>0</v>
      </c>
      <c r="Y27" s="60" t="n">
        <f aca="false">-IF('Level 2'!$C$11="",0,'Level 2'!$C$11)*F27</f>
        <v>-0</v>
      </c>
      <c r="Z27" s="60" t="n">
        <f aca="false">IF('Level 3'!$C$11="",0,'Level 3'!$C$11)*G27</f>
        <v>0</v>
      </c>
      <c r="AA27" s="60" t="n">
        <f aca="false">IF('Level 4'!$C$11="",0,'Level 4'!$C$11)*(1-'Level 4'!$C$12/100)*I27</f>
        <v>0</v>
      </c>
      <c r="AB27" s="60" t="n">
        <f aca="false">IF('Level 5'!$C$11="",0,'Level 5'!$C$11)*J27</f>
        <v>0</v>
      </c>
      <c r="AC27" s="60" t="n">
        <f aca="false">IF('Level 5'!$C$12="",0,'Level 5'!$C$12)*K27</f>
        <v>0</v>
      </c>
      <c r="AD27" s="60" t="n">
        <f aca="false">IF('Level 5'!$C$13="",0,'Level 5'!$C$13)*(1-Answers!$C$14/100)*M27</f>
        <v>0</v>
      </c>
      <c r="AE27" s="60" t="n">
        <f aca="false">IF('Level 6'!$C$11="",0,'Level 6'!$C$11)*(1-Answers!$C$16/100)*S27</f>
        <v>0</v>
      </c>
      <c r="AF27" s="60" t="n">
        <f aca="false">IF('Level 6'!$C$12="",0,'Level 6'!$C$12)*(1-Answers!$C$17/100)*T27</f>
        <v>0</v>
      </c>
      <c r="AG27" s="60" t="n">
        <f aca="false">IF('Level 6'!$C$13="",0,'Level 6'!$C$13)*(1-Answers!$C$18/100)*U27</f>
        <v>0</v>
      </c>
      <c r="AH27" s="60" t="n">
        <f aca="false">IF('Level 6'!$C$14="",0,'Level 6'!$C$14)*(1-Answers!$C$19/100)*V27</f>
        <v>0</v>
      </c>
      <c r="AI27" s="60" t="n">
        <f aca="false">IF('Level 6'!$C$15="",0,'Level 6'!$C$15)*(1-Answers!$C$20/100)*W27</f>
        <v>0</v>
      </c>
      <c r="AJ27" s="60" t="n">
        <f aca="false">X27</f>
        <v>0</v>
      </c>
      <c r="AK27" s="60" t="n">
        <f aca="false">X27+Y27</f>
        <v>0</v>
      </c>
      <c r="AL27" s="60" t="n">
        <f aca="false">AK27+Z27</f>
        <v>0</v>
      </c>
      <c r="AM27" s="60" t="n">
        <f aca="false">AL27+AA27</f>
        <v>0</v>
      </c>
      <c r="AN27" s="60" t="n">
        <f aca="false">AM27+AB27+AC27+AD27</f>
        <v>0</v>
      </c>
      <c r="AO27" s="60" t="n">
        <f aca="false">AL27+AE27+AF27+AG27+AH27+AI27+AB27+AC27+AD27</f>
        <v>0</v>
      </c>
      <c r="AP27" s="60" t="n">
        <f aca="false">IF(Answers!$C$22="Yes",AO27,AN27)</f>
        <v>0</v>
      </c>
      <c r="AQ27" s="60" t="n">
        <v>938.2</v>
      </c>
      <c r="AR27" s="60" t="n">
        <v>-1259.7</v>
      </c>
      <c r="AS27" s="60" t="n">
        <v>0</v>
      </c>
      <c r="AT27" s="60" t="n">
        <v>4012.5</v>
      </c>
      <c r="AU27" s="60" t="n">
        <v>392.7</v>
      </c>
      <c r="AV27" s="60" t="n">
        <v>128.6</v>
      </c>
      <c r="AW27" s="60" t="n">
        <v>0</v>
      </c>
      <c r="AX27" s="60" t="n">
        <v>1140.1</v>
      </c>
      <c r="AY27" s="60" t="n">
        <v>530.8</v>
      </c>
      <c r="AZ27" s="60" t="n">
        <v>442.6</v>
      </c>
      <c r="BA27" s="60" t="n">
        <v>61.3</v>
      </c>
      <c r="BB27" s="60" t="n">
        <v>1837.7</v>
      </c>
      <c r="BC27" s="60" t="n">
        <f aca="false">AQ27+AR27+AS27+AT27+AU27+AV27+AW27</f>
        <v>4212.3</v>
      </c>
      <c r="BD27" s="60" t="n">
        <f aca="false">AQ27</f>
        <v>938.2</v>
      </c>
      <c r="BE27" s="60" t="n">
        <f aca="false">AQ27+AR27</f>
        <v>-321.5</v>
      </c>
      <c r="BF27" s="60" t="n">
        <f aca="false">BE27+AS27</f>
        <v>-321.5</v>
      </c>
      <c r="BG27" s="60" t="n">
        <f aca="false">BF27+AT27</f>
        <v>3691</v>
      </c>
      <c r="BH27" s="60" t="n">
        <f aca="false">BG27+AU27+AV27+AW27</f>
        <v>4212.3</v>
      </c>
      <c r="BI27" s="60" t="n">
        <f aca="false">BC27</f>
        <v>4212.3</v>
      </c>
      <c r="BJ27" s="60" t="n">
        <f aca="false">IF('Level 1'!$C$31="Yes",BD27,AJ27)</f>
        <v>0</v>
      </c>
      <c r="BK27" s="60" t="n">
        <f aca="false">IF('Level 2'!$C$31="Yes",BE27,AK27)</f>
        <v>0</v>
      </c>
      <c r="BL27" s="60" t="n">
        <f aca="false">IF('Level 3'!$C$31="Yes",BF27,AL27)</f>
        <v>0</v>
      </c>
      <c r="BM27" s="60" t="n">
        <f aca="false">IF('Level 4'!$C$31="Yes",BG27,AM27)</f>
        <v>0</v>
      </c>
      <c r="BN27" s="60" t="n">
        <f aca="false">IF('Level 5'!$C$31="Yes",BH27,AN27)</f>
        <v>0</v>
      </c>
      <c r="BO27" s="60" t="n">
        <f aca="false">IF('Level 6'!$C$31="Yes",BI27,AO27)</f>
        <v>0</v>
      </c>
      <c r="BP27" s="60" t="n">
        <f aca="false">IF('Level 7'!$C$31="Yes",BC27,AP27)</f>
        <v>0</v>
      </c>
      <c r="BQ27" s="60" t="n">
        <f aca="false">D27-AP27</f>
        <v>6488</v>
      </c>
      <c r="BR27" s="60" t="n">
        <f aca="false">BQ27^2</f>
        <v>42094144</v>
      </c>
      <c r="BS27" s="60" t="n">
        <f aca="false">(BQ27-BQ26)^2</f>
        <v>2601</v>
      </c>
      <c r="BT27" s="60" t="n">
        <f aca="false">IF(D27&gt;2000,ABS(BQ27)/D27,"")</f>
        <v>1</v>
      </c>
      <c r="BU27" s="60" t="n">
        <v>147</v>
      </c>
      <c r="BV27" s="62" t="n">
        <v>0.5254</v>
      </c>
      <c r="BW27" s="60" t="n">
        <v>299.3</v>
      </c>
      <c r="BX27" s="60" t="n">
        <f aca="false">AA27</f>
        <v>0</v>
      </c>
      <c r="BY27" s="60" t="n">
        <f aca="false">H27</f>
        <v>114.94</v>
      </c>
      <c r="BZ27" s="60" t="n">
        <f aca="false">Z27</f>
        <v>0</v>
      </c>
      <c r="CA27" s="60" t="n">
        <f aca="false">AB27+AC27+AD27</f>
        <v>0</v>
      </c>
      <c r="CB27" s="60" t="n">
        <f aca="false">AE27+AF27+AG27+AH27+AI27</f>
        <v>0</v>
      </c>
    </row>
    <row r="28" customFormat="false" ht="15" hidden="false" customHeight="false" outlineLevel="0" collapsed="false">
      <c r="A28" s="58" t="n">
        <v>45088</v>
      </c>
      <c r="B28" s="59" t="n">
        <f aca="false">YEAR(A28)</f>
        <v>2023</v>
      </c>
      <c r="C28" s="59" t="n">
        <f aca="false">MONTH(A28)</f>
        <v>6</v>
      </c>
      <c r="D28" s="60" t="n">
        <v>6624</v>
      </c>
      <c r="E28" s="61" t="n">
        <v>1.0647</v>
      </c>
      <c r="F28" s="61" t="n">
        <v>1.1634</v>
      </c>
      <c r="G28" s="61" t="n">
        <v>0</v>
      </c>
      <c r="H28" s="60" t="n">
        <v>189.79</v>
      </c>
      <c r="I28" s="60" t="n">
        <f aca="false">H28+'Level 4'!$C$12/100*I27</f>
        <v>189.79</v>
      </c>
      <c r="J28" s="60" t="n">
        <v>498.11</v>
      </c>
      <c r="K28" s="60" t="n">
        <v>34.11</v>
      </c>
      <c r="L28" s="60" t="n">
        <v>0</v>
      </c>
      <c r="M28" s="60" t="n">
        <f aca="false">L28+Answers!$C$14/100*M27</f>
        <v>0.081763881990424</v>
      </c>
      <c r="N28" s="60" t="n">
        <v>36.58</v>
      </c>
      <c r="O28" s="60" t="n">
        <v>0</v>
      </c>
      <c r="P28" s="60" t="n">
        <v>49.64</v>
      </c>
      <c r="Q28" s="60" t="n">
        <v>0</v>
      </c>
      <c r="R28" s="60" t="n">
        <v>96.95</v>
      </c>
      <c r="S28" s="60" t="n">
        <f aca="false">N28+Answers!$C$16/100*S27</f>
        <v>273.104500731495</v>
      </c>
      <c r="T28" s="60" t="n">
        <f aca="false">O28+Answers!$C$17/100*T27</f>
        <v>109.849291102618</v>
      </c>
      <c r="U28" s="60" t="n">
        <f aca="false">P28+Answers!$C$18/100*U27</f>
        <v>145.893633016029</v>
      </c>
      <c r="V28" s="60" t="n">
        <f aca="false">Q28+Answers!$C$19/100*V27</f>
        <v>24.560359202816</v>
      </c>
      <c r="W28" s="60" t="n">
        <f aca="false">R28+Answers!$C$20/100*W27</f>
        <v>500.28209728022</v>
      </c>
      <c r="X28" s="60" t="n">
        <f aca="false">IF('Level 1'!$C$11="",0,'Level 1'!$C$11)*E28</f>
        <v>0</v>
      </c>
      <c r="Y28" s="60" t="n">
        <f aca="false">-IF('Level 2'!$C$11="",0,'Level 2'!$C$11)*F28</f>
        <v>-0</v>
      </c>
      <c r="Z28" s="60" t="n">
        <f aca="false">IF('Level 3'!$C$11="",0,'Level 3'!$C$11)*G28</f>
        <v>0</v>
      </c>
      <c r="AA28" s="60" t="n">
        <f aca="false">IF('Level 4'!$C$11="",0,'Level 4'!$C$11)*(1-'Level 4'!$C$12/100)*I28</f>
        <v>0</v>
      </c>
      <c r="AB28" s="60" t="n">
        <f aca="false">IF('Level 5'!$C$11="",0,'Level 5'!$C$11)*J28</f>
        <v>0</v>
      </c>
      <c r="AC28" s="60" t="n">
        <f aca="false">IF('Level 5'!$C$12="",0,'Level 5'!$C$12)*K28</f>
        <v>0</v>
      </c>
      <c r="AD28" s="60" t="n">
        <f aca="false">IF('Level 5'!$C$13="",0,'Level 5'!$C$13)*(1-Answers!$C$14/100)*M28</f>
        <v>0</v>
      </c>
      <c r="AE28" s="60" t="n">
        <f aca="false">IF('Level 6'!$C$11="",0,'Level 6'!$C$11)*(1-Answers!$C$16/100)*S28</f>
        <v>0</v>
      </c>
      <c r="AF28" s="60" t="n">
        <f aca="false">IF('Level 6'!$C$12="",0,'Level 6'!$C$12)*(1-Answers!$C$17/100)*T28</f>
        <v>0</v>
      </c>
      <c r="AG28" s="60" t="n">
        <f aca="false">IF('Level 6'!$C$13="",0,'Level 6'!$C$13)*(1-Answers!$C$18/100)*U28</f>
        <v>0</v>
      </c>
      <c r="AH28" s="60" t="n">
        <f aca="false">IF('Level 6'!$C$14="",0,'Level 6'!$C$14)*(1-Answers!$C$19/100)*V28</f>
        <v>0</v>
      </c>
      <c r="AI28" s="60" t="n">
        <f aca="false">IF('Level 6'!$C$15="",0,'Level 6'!$C$15)*(1-Answers!$C$20/100)*W28</f>
        <v>0</v>
      </c>
      <c r="AJ28" s="60" t="n">
        <f aca="false">X28</f>
        <v>0</v>
      </c>
      <c r="AK28" s="60" t="n">
        <f aca="false">X28+Y28</f>
        <v>0</v>
      </c>
      <c r="AL28" s="60" t="n">
        <f aca="false">AK28+Z28</f>
        <v>0</v>
      </c>
      <c r="AM28" s="60" t="n">
        <f aca="false">AL28+AA28</f>
        <v>0</v>
      </c>
      <c r="AN28" s="60" t="n">
        <f aca="false">AM28+AB28+AC28+AD28</f>
        <v>0</v>
      </c>
      <c r="AO28" s="60" t="n">
        <f aca="false">AL28+AE28+AF28+AG28+AH28+AI28+AB28+AC28+AD28</f>
        <v>0</v>
      </c>
      <c r="AP28" s="60" t="n">
        <f aca="false">IF(Answers!$C$22="Yes",AO28,AN28)</f>
        <v>0</v>
      </c>
      <c r="AQ28" s="60" t="n">
        <v>932.3</v>
      </c>
      <c r="AR28" s="60" t="n">
        <v>-1108</v>
      </c>
      <c r="AS28" s="60" t="n">
        <v>0</v>
      </c>
      <c r="AT28" s="60" t="n">
        <v>3881.4</v>
      </c>
      <c r="AU28" s="60" t="n">
        <v>1931.9</v>
      </c>
      <c r="AV28" s="60" t="n">
        <v>125.9</v>
      </c>
      <c r="AW28" s="60" t="n">
        <v>0</v>
      </c>
      <c r="AX28" s="60" t="n">
        <v>1064</v>
      </c>
      <c r="AY28" s="60" t="n">
        <v>451.2</v>
      </c>
      <c r="AZ28" s="60" t="n">
        <v>506.4</v>
      </c>
      <c r="BA28" s="60" t="n">
        <v>52.1</v>
      </c>
      <c r="BB28" s="60" t="n">
        <v>1807.8</v>
      </c>
      <c r="BC28" s="60" t="n">
        <f aca="false">AQ28+AR28+AS28+AT28+AU28+AV28+AW28</f>
        <v>5763.5</v>
      </c>
      <c r="BD28" s="60" t="n">
        <f aca="false">AQ28</f>
        <v>932.3</v>
      </c>
      <c r="BE28" s="60" t="n">
        <f aca="false">AQ28+AR28</f>
        <v>-175.7</v>
      </c>
      <c r="BF28" s="60" t="n">
        <f aca="false">BE28+AS28</f>
        <v>-175.7</v>
      </c>
      <c r="BG28" s="60" t="n">
        <f aca="false">BF28+AT28</f>
        <v>3705.7</v>
      </c>
      <c r="BH28" s="60" t="n">
        <f aca="false">BG28+AU28+AV28+AW28</f>
        <v>5763.5</v>
      </c>
      <c r="BI28" s="60" t="n">
        <f aca="false">BC28</f>
        <v>5763.5</v>
      </c>
      <c r="BJ28" s="60" t="n">
        <f aca="false">IF('Level 1'!$C$31="Yes",BD28,AJ28)</f>
        <v>0</v>
      </c>
      <c r="BK28" s="60" t="n">
        <f aca="false">IF('Level 2'!$C$31="Yes",BE28,AK28)</f>
        <v>0</v>
      </c>
      <c r="BL28" s="60" t="n">
        <f aca="false">IF('Level 3'!$C$31="Yes",BF28,AL28)</f>
        <v>0</v>
      </c>
      <c r="BM28" s="60" t="n">
        <f aca="false">IF('Level 4'!$C$31="Yes",BG28,AM28)</f>
        <v>0</v>
      </c>
      <c r="BN28" s="60" t="n">
        <f aca="false">IF('Level 5'!$C$31="Yes",BH28,AN28)</f>
        <v>0</v>
      </c>
      <c r="BO28" s="60" t="n">
        <f aca="false">IF('Level 6'!$C$31="Yes",BI28,AO28)</f>
        <v>0</v>
      </c>
      <c r="BP28" s="60" t="n">
        <f aca="false">IF('Level 7'!$C$31="Yes",BC28,AP28)</f>
        <v>0</v>
      </c>
      <c r="BQ28" s="60" t="n">
        <f aca="false">D28-AP28</f>
        <v>6624</v>
      </c>
      <c r="BR28" s="60" t="n">
        <f aca="false">BQ28^2</f>
        <v>43877376</v>
      </c>
      <c r="BS28" s="60" t="n">
        <f aca="false">(BQ28-BQ27)^2</f>
        <v>18496</v>
      </c>
      <c r="BT28" s="60" t="n">
        <f aca="false">IF(D28&gt;2000,ABS(BQ28)/D28,"")</f>
        <v>1</v>
      </c>
      <c r="BU28" s="60" t="n">
        <v>280</v>
      </c>
      <c r="BV28" s="62" t="n">
        <v>0.5254</v>
      </c>
      <c r="BW28" s="60" t="n">
        <v>813.1</v>
      </c>
      <c r="BX28" s="60" t="n">
        <f aca="false">AA28</f>
        <v>0</v>
      </c>
      <c r="BY28" s="60" t="n">
        <f aca="false">H28</f>
        <v>189.79</v>
      </c>
      <c r="BZ28" s="60" t="n">
        <f aca="false">Z28</f>
        <v>0</v>
      </c>
      <c r="CA28" s="60" t="n">
        <f aca="false">AB28+AC28+AD28</f>
        <v>0</v>
      </c>
      <c r="CB28" s="60" t="n">
        <f aca="false">AE28+AF28+AG28+AH28+AI28</f>
        <v>0</v>
      </c>
    </row>
    <row r="29" customFormat="false" ht="15" hidden="false" customHeight="false" outlineLevel="0" collapsed="false">
      <c r="A29" s="58" t="n">
        <v>45095</v>
      </c>
      <c r="B29" s="59" t="n">
        <f aca="false">YEAR(A29)</f>
        <v>2023</v>
      </c>
      <c r="C29" s="59" t="n">
        <f aca="false">MONTH(A29)</f>
        <v>6</v>
      </c>
      <c r="D29" s="60" t="n">
        <v>4950</v>
      </c>
      <c r="E29" s="61" t="n">
        <v>1.0696</v>
      </c>
      <c r="F29" s="61" t="n">
        <v>1.0961</v>
      </c>
      <c r="G29" s="61" t="n">
        <v>0</v>
      </c>
      <c r="H29" s="60" t="n">
        <v>204.96</v>
      </c>
      <c r="I29" s="60" t="n">
        <f aca="false">H29+'Level 4'!$C$12/100*I28</f>
        <v>204.96</v>
      </c>
      <c r="J29" s="60" t="n">
        <v>81.35</v>
      </c>
      <c r="K29" s="60" t="n">
        <v>24.5</v>
      </c>
      <c r="L29" s="60" t="n">
        <v>0</v>
      </c>
      <c r="M29" s="60" t="n">
        <f aca="false">L29+Answers!$C$14/100*M28</f>
        <v>0.0490583291942544</v>
      </c>
      <c r="N29" s="60" t="n">
        <v>42.85</v>
      </c>
      <c r="O29" s="60" t="n">
        <v>0</v>
      </c>
      <c r="P29" s="60" t="n">
        <v>38.45</v>
      </c>
      <c r="Q29" s="60" t="n">
        <v>18.96</v>
      </c>
      <c r="R29" s="60" t="n">
        <v>99.76</v>
      </c>
      <c r="S29" s="60" t="n">
        <f aca="false">N29+Answers!$C$16/100*S28</f>
        <v>261.333600585196</v>
      </c>
      <c r="T29" s="60" t="n">
        <f aca="false">O29+Answers!$C$17/100*T28</f>
        <v>87.8794328820941</v>
      </c>
      <c r="U29" s="60" t="n">
        <f aca="false">P29+Answers!$C$18/100*U28</f>
        <v>155.164906412823</v>
      </c>
      <c r="V29" s="60" t="n">
        <f aca="false">Q29+Answers!$C$19/100*V28</f>
        <v>38.6082873622528</v>
      </c>
      <c r="W29" s="60" t="n">
        <f aca="false">R29+Answers!$C$20/100*W28</f>
        <v>499.985677824176</v>
      </c>
      <c r="X29" s="60" t="n">
        <f aca="false">IF('Level 1'!$C$11="",0,'Level 1'!$C$11)*E29</f>
        <v>0</v>
      </c>
      <c r="Y29" s="60" t="n">
        <f aca="false">-IF('Level 2'!$C$11="",0,'Level 2'!$C$11)*F29</f>
        <v>-0</v>
      </c>
      <c r="Z29" s="60" t="n">
        <f aca="false">IF('Level 3'!$C$11="",0,'Level 3'!$C$11)*G29</f>
        <v>0</v>
      </c>
      <c r="AA29" s="60" t="n">
        <f aca="false">IF('Level 4'!$C$11="",0,'Level 4'!$C$11)*(1-'Level 4'!$C$12/100)*I29</f>
        <v>0</v>
      </c>
      <c r="AB29" s="60" t="n">
        <f aca="false">IF('Level 5'!$C$11="",0,'Level 5'!$C$11)*J29</f>
        <v>0</v>
      </c>
      <c r="AC29" s="60" t="n">
        <f aca="false">IF('Level 5'!$C$12="",0,'Level 5'!$C$12)*K29</f>
        <v>0</v>
      </c>
      <c r="AD29" s="60" t="n">
        <f aca="false">IF('Level 5'!$C$13="",0,'Level 5'!$C$13)*(1-Answers!$C$14/100)*M29</f>
        <v>0</v>
      </c>
      <c r="AE29" s="60" t="n">
        <f aca="false">IF('Level 6'!$C$11="",0,'Level 6'!$C$11)*(1-Answers!$C$16/100)*S29</f>
        <v>0</v>
      </c>
      <c r="AF29" s="60" t="n">
        <f aca="false">IF('Level 6'!$C$12="",0,'Level 6'!$C$12)*(1-Answers!$C$17/100)*T29</f>
        <v>0</v>
      </c>
      <c r="AG29" s="60" t="n">
        <f aca="false">IF('Level 6'!$C$13="",0,'Level 6'!$C$13)*(1-Answers!$C$18/100)*U29</f>
        <v>0</v>
      </c>
      <c r="AH29" s="60" t="n">
        <f aca="false">IF('Level 6'!$C$14="",0,'Level 6'!$C$14)*(1-Answers!$C$19/100)*V29</f>
        <v>0</v>
      </c>
      <c r="AI29" s="60" t="n">
        <f aca="false">IF('Level 6'!$C$15="",0,'Level 6'!$C$15)*(1-Answers!$C$20/100)*W29</f>
        <v>0</v>
      </c>
      <c r="AJ29" s="60" t="n">
        <f aca="false">X29</f>
        <v>0</v>
      </c>
      <c r="AK29" s="60" t="n">
        <f aca="false">X29+Y29</f>
        <v>0</v>
      </c>
      <c r="AL29" s="60" t="n">
        <f aca="false">AK29+Z29</f>
        <v>0</v>
      </c>
      <c r="AM29" s="60" t="n">
        <f aca="false">AL29+AA29</f>
        <v>0</v>
      </c>
      <c r="AN29" s="60" t="n">
        <f aca="false">AM29+AB29+AC29+AD29</f>
        <v>0</v>
      </c>
      <c r="AO29" s="60" t="n">
        <f aca="false">AL29+AE29+AF29+AG29+AH29+AI29+AB29+AC29+AD29</f>
        <v>0</v>
      </c>
      <c r="AP29" s="60" t="n">
        <f aca="false">IF(Answers!$C$22="Yes",AO29,AN29)</f>
        <v>0</v>
      </c>
      <c r="AQ29" s="60" t="n">
        <v>936.5</v>
      </c>
      <c r="AR29" s="60" t="n">
        <v>-1044</v>
      </c>
      <c r="AS29" s="60" t="n">
        <v>0</v>
      </c>
      <c r="AT29" s="60" t="n">
        <v>3786</v>
      </c>
      <c r="AU29" s="60" t="n">
        <v>300.4</v>
      </c>
      <c r="AV29" s="60" t="n">
        <v>90.4</v>
      </c>
      <c r="AW29" s="60" t="n">
        <v>0</v>
      </c>
      <c r="AX29" s="60" t="n">
        <v>1015.5</v>
      </c>
      <c r="AY29" s="60" t="n">
        <v>383.5</v>
      </c>
      <c r="AZ29" s="60" t="n">
        <v>531.3</v>
      </c>
      <c r="BA29" s="60" t="n">
        <v>68.2</v>
      </c>
      <c r="BB29" s="60" t="n">
        <v>1787.4</v>
      </c>
      <c r="BC29" s="60" t="n">
        <f aca="false">AQ29+AR29+AS29+AT29+AU29+AV29+AW29</f>
        <v>4069.3</v>
      </c>
      <c r="BD29" s="60" t="n">
        <f aca="false">AQ29</f>
        <v>936.5</v>
      </c>
      <c r="BE29" s="60" t="n">
        <f aca="false">AQ29+AR29</f>
        <v>-107.5</v>
      </c>
      <c r="BF29" s="60" t="n">
        <f aca="false">BE29+AS29</f>
        <v>-107.5</v>
      </c>
      <c r="BG29" s="60" t="n">
        <f aca="false">BF29+AT29</f>
        <v>3678.5</v>
      </c>
      <c r="BH29" s="60" t="n">
        <f aca="false">BG29+AU29+AV29+AW29</f>
        <v>4069.3</v>
      </c>
      <c r="BI29" s="60" t="n">
        <f aca="false">BC29</f>
        <v>4069.3</v>
      </c>
      <c r="BJ29" s="60" t="n">
        <f aca="false">IF('Level 1'!$C$31="Yes",BD29,AJ29)</f>
        <v>0</v>
      </c>
      <c r="BK29" s="60" t="n">
        <f aca="false">IF('Level 2'!$C$31="Yes",BE29,AK29)</f>
        <v>0</v>
      </c>
      <c r="BL29" s="60" t="n">
        <f aca="false">IF('Level 3'!$C$31="Yes",BF29,AL29)</f>
        <v>0</v>
      </c>
      <c r="BM29" s="60" t="n">
        <f aca="false">IF('Level 4'!$C$31="Yes",BG29,AM29)</f>
        <v>0</v>
      </c>
      <c r="BN29" s="60" t="n">
        <f aca="false">IF('Level 5'!$C$31="Yes",BH29,AN29)</f>
        <v>0</v>
      </c>
      <c r="BO29" s="60" t="n">
        <f aca="false">IF('Level 6'!$C$31="Yes",BI29,AO29)</f>
        <v>0</v>
      </c>
      <c r="BP29" s="60" t="n">
        <f aca="false">IF('Level 7'!$C$31="Yes",BC29,AP29)</f>
        <v>0</v>
      </c>
      <c r="BQ29" s="60" t="n">
        <f aca="false">D29-AP29</f>
        <v>4950</v>
      </c>
      <c r="BR29" s="60" t="n">
        <f aca="false">BQ29^2</f>
        <v>24502500</v>
      </c>
      <c r="BS29" s="60" t="n">
        <f aca="false">(BQ29-BQ28)^2</f>
        <v>2802276</v>
      </c>
      <c r="BT29" s="60" t="n">
        <f aca="false">IF(D29&gt;2000,ABS(BQ29)/D29,"")</f>
        <v>1</v>
      </c>
      <c r="BU29" s="60" t="n">
        <v>166</v>
      </c>
      <c r="BV29" s="62" t="n">
        <v>0.5254</v>
      </c>
      <c r="BW29" s="60" t="n">
        <v>421.4</v>
      </c>
      <c r="BX29" s="60" t="n">
        <f aca="false">AA29</f>
        <v>0</v>
      </c>
      <c r="BY29" s="60" t="n">
        <f aca="false">H29</f>
        <v>204.96</v>
      </c>
      <c r="BZ29" s="60" t="n">
        <f aca="false">Z29</f>
        <v>0</v>
      </c>
      <c r="CA29" s="60" t="n">
        <f aca="false">AB29+AC29+AD29</f>
        <v>0</v>
      </c>
      <c r="CB29" s="60" t="n">
        <f aca="false">AE29+AF29+AG29+AH29+AI29</f>
        <v>0</v>
      </c>
    </row>
    <row r="30" customFormat="false" ht="15" hidden="false" customHeight="false" outlineLevel="0" collapsed="false">
      <c r="A30" s="58" t="n">
        <v>45102</v>
      </c>
      <c r="B30" s="59" t="n">
        <f aca="false">YEAR(A30)</f>
        <v>2023</v>
      </c>
      <c r="C30" s="59" t="n">
        <f aca="false">MONTH(A30)</f>
        <v>6</v>
      </c>
      <c r="D30" s="60" t="n">
        <v>4778</v>
      </c>
      <c r="E30" s="61" t="n">
        <v>1.167</v>
      </c>
      <c r="F30" s="61" t="n">
        <v>0.9978</v>
      </c>
      <c r="G30" s="61" t="n">
        <v>0</v>
      </c>
      <c r="H30" s="60" t="n">
        <v>120.52</v>
      </c>
      <c r="I30" s="60" t="n">
        <f aca="false">H30+'Level 4'!$C$12/100*I29</f>
        <v>120.52</v>
      </c>
      <c r="J30" s="60" t="n">
        <v>300.79</v>
      </c>
      <c r="K30" s="60" t="n">
        <v>34.19</v>
      </c>
      <c r="L30" s="60" t="n">
        <v>0</v>
      </c>
      <c r="M30" s="60" t="n">
        <f aca="false">L30+Answers!$C$14/100*M29</f>
        <v>0.0294349975165527</v>
      </c>
      <c r="N30" s="60" t="n">
        <v>0</v>
      </c>
      <c r="O30" s="60" t="n">
        <v>0</v>
      </c>
      <c r="P30" s="60" t="n">
        <v>0</v>
      </c>
      <c r="Q30" s="60" t="n">
        <v>22.07</v>
      </c>
      <c r="R30" s="60" t="n">
        <v>93.66</v>
      </c>
      <c r="S30" s="60" t="n">
        <f aca="false">N30+Answers!$C$16/100*S29</f>
        <v>209.066880468157</v>
      </c>
      <c r="T30" s="60" t="n">
        <f aca="false">O30+Answers!$C$17/100*T29</f>
        <v>70.3035463056753</v>
      </c>
      <c r="U30" s="60" t="n">
        <f aca="false">P30+Answers!$C$18/100*U29</f>
        <v>124.131925130258</v>
      </c>
      <c r="V30" s="60" t="n">
        <f aca="false">Q30+Answers!$C$19/100*V29</f>
        <v>52.9566298898023</v>
      </c>
      <c r="W30" s="60" t="n">
        <f aca="false">R30+Answers!$C$20/100*W29</f>
        <v>493.648542259341</v>
      </c>
      <c r="X30" s="60" t="n">
        <f aca="false">IF('Level 1'!$C$11="",0,'Level 1'!$C$11)*E30</f>
        <v>0</v>
      </c>
      <c r="Y30" s="60" t="n">
        <f aca="false">-IF('Level 2'!$C$11="",0,'Level 2'!$C$11)*F30</f>
        <v>-0</v>
      </c>
      <c r="Z30" s="60" t="n">
        <f aca="false">IF('Level 3'!$C$11="",0,'Level 3'!$C$11)*G30</f>
        <v>0</v>
      </c>
      <c r="AA30" s="60" t="n">
        <f aca="false">IF('Level 4'!$C$11="",0,'Level 4'!$C$11)*(1-'Level 4'!$C$12/100)*I30</f>
        <v>0</v>
      </c>
      <c r="AB30" s="60" t="n">
        <f aca="false">IF('Level 5'!$C$11="",0,'Level 5'!$C$11)*J30</f>
        <v>0</v>
      </c>
      <c r="AC30" s="60" t="n">
        <f aca="false">IF('Level 5'!$C$12="",0,'Level 5'!$C$12)*K30</f>
        <v>0</v>
      </c>
      <c r="AD30" s="60" t="n">
        <f aca="false">IF('Level 5'!$C$13="",0,'Level 5'!$C$13)*(1-Answers!$C$14/100)*M30</f>
        <v>0</v>
      </c>
      <c r="AE30" s="60" t="n">
        <f aca="false">IF('Level 6'!$C$11="",0,'Level 6'!$C$11)*(1-Answers!$C$16/100)*S30</f>
        <v>0</v>
      </c>
      <c r="AF30" s="60" t="n">
        <f aca="false">IF('Level 6'!$C$12="",0,'Level 6'!$C$12)*(1-Answers!$C$17/100)*T30</f>
        <v>0</v>
      </c>
      <c r="AG30" s="60" t="n">
        <f aca="false">IF('Level 6'!$C$13="",0,'Level 6'!$C$13)*(1-Answers!$C$18/100)*U30</f>
        <v>0</v>
      </c>
      <c r="AH30" s="60" t="n">
        <f aca="false">IF('Level 6'!$C$14="",0,'Level 6'!$C$14)*(1-Answers!$C$19/100)*V30</f>
        <v>0</v>
      </c>
      <c r="AI30" s="60" t="n">
        <f aca="false">IF('Level 6'!$C$15="",0,'Level 6'!$C$15)*(1-Answers!$C$20/100)*W30</f>
        <v>0</v>
      </c>
      <c r="AJ30" s="60" t="n">
        <f aca="false">X30</f>
        <v>0</v>
      </c>
      <c r="AK30" s="60" t="n">
        <f aca="false">X30+Y30</f>
        <v>0</v>
      </c>
      <c r="AL30" s="60" t="n">
        <f aca="false">AK30+Z30</f>
        <v>0</v>
      </c>
      <c r="AM30" s="60" t="n">
        <f aca="false">AL30+AA30</f>
        <v>0</v>
      </c>
      <c r="AN30" s="60" t="n">
        <f aca="false">AM30+AB30+AC30+AD30</f>
        <v>0</v>
      </c>
      <c r="AO30" s="60" t="n">
        <f aca="false">AL30+AE30+AF30+AG30+AH30+AI30+AB30+AC30+AD30</f>
        <v>0</v>
      </c>
      <c r="AP30" s="60" t="n">
        <f aca="false">IF(Answers!$C$22="Yes",AO30,AN30)</f>
        <v>0</v>
      </c>
      <c r="AQ30" s="60" t="n">
        <v>1021.8</v>
      </c>
      <c r="AR30" s="60" t="n">
        <v>-950.3</v>
      </c>
      <c r="AS30" s="60" t="n">
        <v>0</v>
      </c>
      <c r="AT30" s="60" t="n">
        <v>3483.7</v>
      </c>
      <c r="AU30" s="60" t="n">
        <v>1159.8</v>
      </c>
      <c r="AV30" s="60" t="n">
        <v>126.2</v>
      </c>
      <c r="AW30" s="60" t="n">
        <v>0</v>
      </c>
      <c r="AX30" s="60" t="n">
        <v>863.2</v>
      </c>
      <c r="AY30" s="60" t="n">
        <v>326</v>
      </c>
      <c r="AZ30" s="60" t="n">
        <v>451.6</v>
      </c>
      <c r="BA30" s="60" t="n">
        <v>85.9</v>
      </c>
      <c r="BB30" s="60" t="n">
        <v>1757.1</v>
      </c>
      <c r="BC30" s="60" t="n">
        <f aca="false">AQ30+AR30+AS30+AT30+AU30+AV30+AW30</f>
        <v>4841.2</v>
      </c>
      <c r="BD30" s="60" t="n">
        <f aca="false">AQ30</f>
        <v>1021.8</v>
      </c>
      <c r="BE30" s="60" t="n">
        <f aca="false">AQ30+AR30</f>
        <v>71.5</v>
      </c>
      <c r="BF30" s="60" t="n">
        <f aca="false">BE30+AS30</f>
        <v>71.5</v>
      </c>
      <c r="BG30" s="60" t="n">
        <f aca="false">BF30+AT30</f>
        <v>3555.2</v>
      </c>
      <c r="BH30" s="60" t="n">
        <f aca="false">BG30+AU30+AV30+AW30</f>
        <v>4841.2</v>
      </c>
      <c r="BI30" s="60" t="n">
        <f aca="false">BC30</f>
        <v>4841.2</v>
      </c>
      <c r="BJ30" s="60" t="n">
        <f aca="false">IF('Level 1'!$C$31="Yes",BD30,AJ30)</f>
        <v>0</v>
      </c>
      <c r="BK30" s="60" t="n">
        <f aca="false">IF('Level 2'!$C$31="Yes",BE30,AK30)</f>
        <v>0</v>
      </c>
      <c r="BL30" s="60" t="n">
        <f aca="false">IF('Level 3'!$C$31="Yes",BF30,AL30)</f>
        <v>0</v>
      </c>
      <c r="BM30" s="60" t="n">
        <f aca="false">IF('Level 4'!$C$31="Yes",BG30,AM30)</f>
        <v>0</v>
      </c>
      <c r="BN30" s="60" t="n">
        <f aca="false">IF('Level 5'!$C$31="Yes",BH30,AN30)</f>
        <v>0</v>
      </c>
      <c r="BO30" s="60" t="n">
        <f aca="false">IF('Level 6'!$C$31="Yes",BI30,AO30)</f>
        <v>0</v>
      </c>
      <c r="BP30" s="60" t="n">
        <f aca="false">IF('Level 7'!$C$31="Yes",BC30,AP30)</f>
        <v>0</v>
      </c>
      <c r="BQ30" s="60" t="n">
        <f aca="false">D30-AP30</f>
        <v>4778</v>
      </c>
      <c r="BR30" s="60" t="n">
        <f aca="false">BQ30^2</f>
        <v>22829284</v>
      </c>
      <c r="BS30" s="60" t="n">
        <f aca="false">(BQ30-BQ29)^2</f>
        <v>29584</v>
      </c>
      <c r="BT30" s="60" t="n">
        <f aca="false">IF(D30&gt;2000,ABS(BQ30)/D30,"")</f>
        <v>1</v>
      </c>
      <c r="BU30" s="60" t="n">
        <v>352</v>
      </c>
      <c r="BV30" s="62" t="n">
        <v>0.517</v>
      </c>
      <c r="BW30" s="60" t="n">
        <v>564.7</v>
      </c>
      <c r="BX30" s="60" t="n">
        <f aca="false">AA30</f>
        <v>0</v>
      </c>
      <c r="BY30" s="60" t="n">
        <f aca="false">H30</f>
        <v>120.52</v>
      </c>
      <c r="BZ30" s="60" t="n">
        <f aca="false">Z30</f>
        <v>0</v>
      </c>
      <c r="CA30" s="60" t="n">
        <f aca="false">AB30+AC30+AD30</f>
        <v>0</v>
      </c>
      <c r="CB30" s="60" t="n">
        <f aca="false">AE30+AF30+AG30+AH30+AI30</f>
        <v>0</v>
      </c>
    </row>
    <row r="31" customFormat="false" ht="15" hidden="false" customHeight="false" outlineLevel="0" collapsed="false">
      <c r="A31" s="58" t="n">
        <v>45109</v>
      </c>
      <c r="B31" s="59" t="n">
        <f aca="false">YEAR(A31)</f>
        <v>2023</v>
      </c>
      <c r="C31" s="59" t="n">
        <f aca="false">MONTH(A31)</f>
        <v>7</v>
      </c>
      <c r="D31" s="60" t="n">
        <v>4637</v>
      </c>
      <c r="E31" s="61" t="n">
        <v>1.093</v>
      </c>
      <c r="F31" s="61" t="n">
        <v>0.9835</v>
      </c>
      <c r="G31" s="61" t="n">
        <v>0</v>
      </c>
      <c r="H31" s="60" t="n">
        <v>119.55</v>
      </c>
      <c r="I31" s="60" t="n">
        <f aca="false">H31+'Level 4'!$C$12/100*I30</f>
        <v>119.55</v>
      </c>
      <c r="J31" s="60" t="n">
        <v>138.38</v>
      </c>
      <c r="K31" s="60" t="n">
        <v>43.66</v>
      </c>
      <c r="L31" s="60" t="n">
        <v>0</v>
      </c>
      <c r="M31" s="60" t="n">
        <f aca="false">L31+Answers!$C$14/100*M30</f>
        <v>0.0176609985099316</v>
      </c>
      <c r="N31" s="60" t="n">
        <v>0</v>
      </c>
      <c r="O31" s="60" t="n">
        <v>0</v>
      </c>
      <c r="P31" s="60" t="n">
        <v>33.24</v>
      </c>
      <c r="Q31" s="60" t="n">
        <v>0</v>
      </c>
      <c r="R31" s="60" t="n">
        <v>81.67</v>
      </c>
      <c r="S31" s="60" t="n">
        <f aca="false">N31+Answers!$C$16/100*S30</f>
        <v>167.253504374525</v>
      </c>
      <c r="T31" s="60" t="n">
        <f aca="false">O31+Answers!$C$17/100*T30</f>
        <v>56.2428370445403</v>
      </c>
      <c r="U31" s="60" t="n">
        <f aca="false">P31+Answers!$C$18/100*U30</f>
        <v>132.545540104207</v>
      </c>
      <c r="V31" s="60" t="n">
        <f aca="false">Q31+Answers!$C$19/100*V30</f>
        <v>42.3653039118418</v>
      </c>
      <c r="W31" s="60" t="n">
        <f aca="false">R31+Answers!$C$20/100*W30</f>
        <v>476.588833807473</v>
      </c>
      <c r="X31" s="60" t="n">
        <f aca="false">IF('Level 1'!$C$11="",0,'Level 1'!$C$11)*E31</f>
        <v>0</v>
      </c>
      <c r="Y31" s="60" t="n">
        <f aca="false">-IF('Level 2'!$C$11="",0,'Level 2'!$C$11)*F31</f>
        <v>-0</v>
      </c>
      <c r="Z31" s="60" t="n">
        <f aca="false">IF('Level 3'!$C$11="",0,'Level 3'!$C$11)*G31</f>
        <v>0</v>
      </c>
      <c r="AA31" s="60" t="n">
        <f aca="false">IF('Level 4'!$C$11="",0,'Level 4'!$C$11)*(1-'Level 4'!$C$12/100)*I31</f>
        <v>0</v>
      </c>
      <c r="AB31" s="60" t="n">
        <f aca="false">IF('Level 5'!$C$11="",0,'Level 5'!$C$11)*J31</f>
        <v>0</v>
      </c>
      <c r="AC31" s="60" t="n">
        <f aca="false">IF('Level 5'!$C$12="",0,'Level 5'!$C$12)*K31</f>
        <v>0</v>
      </c>
      <c r="AD31" s="60" t="n">
        <f aca="false">IF('Level 5'!$C$13="",0,'Level 5'!$C$13)*(1-Answers!$C$14/100)*M31</f>
        <v>0</v>
      </c>
      <c r="AE31" s="60" t="n">
        <f aca="false">IF('Level 6'!$C$11="",0,'Level 6'!$C$11)*(1-Answers!$C$16/100)*S31</f>
        <v>0</v>
      </c>
      <c r="AF31" s="60" t="n">
        <f aca="false">IF('Level 6'!$C$12="",0,'Level 6'!$C$12)*(1-Answers!$C$17/100)*T31</f>
        <v>0</v>
      </c>
      <c r="AG31" s="60" t="n">
        <f aca="false">IF('Level 6'!$C$13="",0,'Level 6'!$C$13)*(1-Answers!$C$18/100)*U31</f>
        <v>0</v>
      </c>
      <c r="AH31" s="60" t="n">
        <f aca="false">IF('Level 6'!$C$14="",0,'Level 6'!$C$14)*(1-Answers!$C$19/100)*V31</f>
        <v>0</v>
      </c>
      <c r="AI31" s="60" t="n">
        <f aca="false">IF('Level 6'!$C$15="",0,'Level 6'!$C$15)*(1-Answers!$C$20/100)*W31</f>
        <v>0</v>
      </c>
      <c r="AJ31" s="60" t="n">
        <f aca="false">X31</f>
        <v>0</v>
      </c>
      <c r="AK31" s="60" t="n">
        <f aca="false">X31+Y31</f>
        <v>0</v>
      </c>
      <c r="AL31" s="60" t="n">
        <f aca="false">AK31+Z31</f>
        <v>0</v>
      </c>
      <c r="AM31" s="60" t="n">
        <f aca="false">AL31+AA31</f>
        <v>0</v>
      </c>
      <c r="AN31" s="60" t="n">
        <f aca="false">AM31+AB31+AC31+AD31</f>
        <v>0</v>
      </c>
      <c r="AO31" s="60" t="n">
        <f aca="false">AL31+AE31+AF31+AG31+AH31+AI31+AB31+AC31+AD31</f>
        <v>0</v>
      </c>
      <c r="AP31" s="60" t="n">
        <f aca="false">IF(Answers!$C$22="Yes",AO31,AN31)</f>
        <v>0</v>
      </c>
      <c r="AQ31" s="60" t="n">
        <v>957</v>
      </c>
      <c r="AR31" s="60" t="n">
        <v>-936.7</v>
      </c>
      <c r="AS31" s="60" t="n">
        <v>0</v>
      </c>
      <c r="AT31" s="60" t="n">
        <v>3252.8</v>
      </c>
      <c r="AU31" s="60" t="n">
        <v>518.2</v>
      </c>
      <c r="AV31" s="60" t="n">
        <v>161.1</v>
      </c>
      <c r="AW31" s="60" t="n">
        <v>0</v>
      </c>
      <c r="AX31" s="60" t="n">
        <v>733.7</v>
      </c>
      <c r="AY31" s="60" t="n">
        <v>277.1</v>
      </c>
      <c r="AZ31" s="60" t="n">
        <v>471</v>
      </c>
      <c r="BA31" s="60" t="n">
        <v>73</v>
      </c>
      <c r="BB31" s="60" t="n">
        <v>1698</v>
      </c>
      <c r="BC31" s="60" t="n">
        <f aca="false">AQ31+AR31+AS31+AT31+AU31+AV31+AW31</f>
        <v>3952.4</v>
      </c>
      <c r="BD31" s="60" t="n">
        <f aca="false">AQ31</f>
        <v>957</v>
      </c>
      <c r="BE31" s="60" t="n">
        <f aca="false">AQ31+AR31</f>
        <v>20.3</v>
      </c>
      <c r="BF31" s="60" t="n">
        <f aca="false">BE31+AS31</f>
        <v>20.3</v>
      </c>
      <c r="BG31" s="60" t="n">
        <f aca="false">BF31+AT31</f>
        <v>3273.1</v>
      </c>
      <c r="BH31" s="60" t="n">
        <f aca="false">BG31+AU31+AV31+AW31</f>
        <v>3952.4</v>
      </c>
      <c r="BI31" s="60" t="n">
        <f aca="false">BC31</f>
        <v>3952.4</v>
      </c>
      <c r="BJ31" s="60" t="n">
        <f aca="false">IF('Level 1'!$C$31="Yes",BD31,AJ31)</f>
        <v>0</v>
      </c>
      <c r="BK31" s="60" t="n">
        <f aca="false">IF('Level 2'!$C$31="Yes",BE31,AK31)</f>
        <v>0</v>
      </c>
      <c r="BL31" s="60" t="n">
        <f aca="false">IF('Level 3'!$C$31="Yes",BF31,AL31)</f>
        <v>0</v>
      </c>
      <c r="BM31" s="60" t="n">
        <f aca="false">IF('Level 4'!$C$31="Yes",BG31,AM31)</f>
        <v>0</v>
      </c>
      <c r="BN31" s="60" t="n">
        <f aca="false">IF('Level 5'!$C$31="Yes",BH31,AN31)</f>
        <v>0</v>
      </c>
      <c r="BO31" s="60" t="n">
        <f aca="false">IF('Level 6'!$C$31="Yes",BI31,AO31)</f>
        <v>0</v>
      </c>
      <c r="BP31" s="60" t="n">
        <f aca="false">IF('Level 7'!$C$31="Yes",BC31,AP31)</f>
        <v>0</v>
      </c>
      <c r="BQ31" s="60" t="n">
        <f aca="false">D31-AP31</f>
        <v>4637</v>
      </c>
      <c r="BR31" s="60" t="n">
        <f aca="false">BQ31^2</f>
        <v>21501769</v>
      </c>
      <c r="BS31" s="60" t="n">
        <f aca="false">(BQ31-BQ30)^2</f>
        <v>19881</v>
      </c>
      <c r="BT31" s="60" t="n">
        <f aca="false">IF(D31&gt;2000,ABS(BQ31)/D31,"")</f>
        <v>1</v>
      </c>
      <c r="BU31" s="60" t="n">
        <v>245</v>
      </c>
      <c r="BV31" s="62" t="n">
        <v>0.4961</v>
      </c>
      <c r="BW31" s="60" t="n">
        <v>362.2</v>
      </c>
      <c r="BX31" s="60" t="n">
        <f aca="false">AA31</f>
        <v>0</v>
      </c>
      <c r="BY31" s="60" t="n">
        <f aca="false">H31</f>
        <v>119.55</v>
      </c>
      <c r="BZ31" s="60" t="n">
        <f aca="false">Z31</f>
        <v>0</v>
      </c>
      <c r="CA31" s="60" t="n">
        <f aca="false">AB31+AC31+AD31</f>
        <v>0</v>
      </c>
      <c r="CB31" s="60" t="n">
        <f aca="false">AE31+AF31+AG31+AH31+AI31</f>
        <v>0</v>
      </c>
    </row>
    <row r="32" customFormat="false" ht="15" hidden="false" customHeight="false" outlineLevel="0" collapsed="false">
      <c r="A32" s="58" t="n">
        <v>45116</v>
      </c>
      <c r="B32" s="59" t="n">
        <f aca="false">YEAR(A32)</f>
        <v>2023</v>
      </c>
      <c r="C32" s="59" t="n">
        <f aca="false">MONTH(A32)</f>
        <v>7</v>
      </c>
      <c r="D32" s="60" t="n">
        <v>3851</v>
      </c>
      <c r="E32" s="61" t="n">
        <v>1.0804</v>
      </c>
      <c r="F32" s="61" t="n">
        <v>0.9245</v>
      </c>
      <c r="G32" s="61" t="n">
        <v>0</v>
      </c>
      <c r="H32" s="60" t="n">
        <v>135.6</v>
      </c>
      <c r="I32" s="60" t="n">
        <f aca="false">H32+'Level 4'!$C$12/100*I31</f>
        <v>135.6</v>
      </c>
      <c r="J32" s="60" t="n">
        <v>122.66</v>
      </c>
      <c r="K32" s="60" t="n">
        <v>27.16</v>
      </c>
      <c r="L32" s="60" t="n">
        <v>0</v>
      </c>
      <c r="M32" s="60" t="n">
        <f aca="false">L32+Answers!$C$14/100*M31</f>
        <v>0.010596599105959</v>
      </c>
      <c r="N32" s="60" t="n">
        <v>41.61</v>
      </c>
      <c r="O32" s="60" t="n">
        <v>0</v>
      </c>
      <c r="P32" s="60" t="n">
        <v>0</v>
      </c>
      <c r="Q32" s="60" t="n">
        <v>0</v>
      </c>
      <c r="R32" s="60" t="n">
        <v>90.15</v>
      </c>
      <c r="S32" s="60" t="n">
        <f aca="false">N32+Answers!$C$16/100*S31</f>
        <v>175.41280349962</v>
      </c>
      <c r="T32" s="60" t="n">
        <f aca="false">O32+Answers!$C$17/100*T31</f>
        <v>44.9942696356322</v>
      </c>
      <c r="U32" s="60" t="n">
        <f aca="false">P32+Answers!$C$18/100*U31</f>
        <v>106.036432083365</v>
      </c>
      <c r="V32" s="60" t="n">
        <f aca="false">Q32+Answers!$C$19/100*V31</f>
        <v>33.8922431294735</v>
      </c>
      <c r="W32" s="60" t="n">
        <f aca="false">R32+Answers!$C$20/100*W31</f>
        <v>471.421067045978</v>
      </c>
      <c r="X32" s="60" t="n">
        <f aca="false">IF('Level 1'!$C$11="",0,'Level 1'!$C$11)*E32</f>
        <v>0</v>
      </c>
      <c r="Y32" s="60" t="n">
        <f aca="false">-IF('Level 2'!$C$11="",0,'Level 2'!$C$11)*F32</f>
        <v>-0</v>
      </c>
      <c r="Z32" s="60" t="n">
        <f aca="false">IF('Level 3'!$C$11="",0,'Level 3'!$C$11)*G32</f>
        <v>0</v>
      </c>
      <c r="AA32" s="60" t="n">
        <f aca="false">IF('Level 4'!$C$11="",0,'Level 4'!$C$11)*(1-'Level 4'!$C$12/100)*I32</f>
        <v>0</v>
      </c>
      <c r="AB32" s="60" t="n">
        <f aca="false">IF('Level 5'!$C$11="",0,'Level 5'!$C$11)*J32</f>
        <v>0</v>
      </c>
      <c r="AC32" s="60" t="n">
        <f aca="false">IF('Level 5'!$C$12="",0,'Level 5'!$C$12)*K32</f>
        <v>0</v>
      </c>
      <c r="AD32" s="60" t="n">
        <f aca="false">IF('Level 5'!$C$13="",0,'Level 5'!$C$13)*(1-Answers!$C$14/100)*M32</f>
        <v>0</v>
      </c>
      <c r="AE32" s="60" t="n">
        <f aca="false">IF('Level 6'!$C$11="",0,'Level 6'!$C$11)*(1-Answers!$C$16/100)*S32</f>
        <v>0</v>
      </c>
      <c r="AF32" s="60" t="n">
        <f aca="false">IF('Level 6'!$C$12="",0,'Level 6'!$C$12)*(1-Answers!$C$17/100)*T32</f>
        <v>0</v>
      </c>
      <c r="AG32" s="60" t="n">
        <f aca="false">IF('Level 6'!$C$13="",0,'Level 6'!$C$13)*(1-Answers!$C$18/100)*U32</f>
        <v>0</v>
      </c>
      <c r="AH32" s="60" t="n">
        <f aca="false">IF('Level 6'!$C$14="",0,'Level 6'!$C$14)*(1-Answers!$C$19/100)*V32</f>
        <v>0</v>
      </c>
      <c r="AI32" s="60" t="n">
        <f aca="false">IF('Level 6'!$C$15="",0,'Level 6'!$C$15)*(1-Answers!$C$20/100)*W32</f>
        <v>0</v>
      </c>
      <c r="AJ32" s="60" t="n">
        <f aca="false">X32</f>
        <v>0</v>
      </c>
      <c r="AK32" s="60" t="n">
        <f aca="false">X32+Y32</f>
        <v>0</v>
      </c>
      <c r="AL32" s="60" t="n">
        <f aca="false">AK32+Z32</f>
        <v>0</v>
      </c>
      <c r="AM32" s="60" t="n">
        <f aca="false">AL32+AA32</f>
        <v>0</v>
      </c>
      <c r="AN32" s="60" t="n">
        <f aca="false">AM32+AB32+AC32+AD32</f>
        <v>0</v>
      </c>
      <c r="AO32" s="60" t="n">
        <f aca="false">AL32+AE32+AF32+AG32+AH32+AI32+AB32+AC32+AD32</f>
        <v>0</v>
      </c>
      <c r="AP32" s="60" t="n">
        <f aca="false">IF(Answers!$C$22="Yes",AO32,AN32)</f>
        <v>0</v>
      </c>
      <c r="AQ32" s="60" t="n">
        <v>946</v>
      </c>
      <c r="AR32" s="60" t="n">
        <v>-880.5</v>
      </c>
      <c r="AS32" s="60" t="n">
        <v>0</v>
      </c>
      <c r="AT32" s="60" t="n">
        <v>3097.8</v>
      </c>
      <c r="AU32" s="60" t="n">
        <v>461.2</v>
      </c>
      <c r="AV32" s="60" t="n">
        <v>100.2</v>
      </c>
      <c r="AW32" s="60" t="n">
        <v>0</v>
      </c>
      <c r="AX32" s="60" t="n">
        <v>731.6</v>
      </c>
      <c r="AY32" s="60" t="n">
        <v>235.5</v>
      </c>
      <c r="AZ32" s="60" t="n">
        <v>400.3</v>
      </c>
      <c r="BA32" s="60" t="n">
        <v>62.1</v>
      </c>
      <c r="BB32" s="60" t="n">
        <v>1668.3</v>
      </c>
      <c r="BC32" s="60" t="n">
        <f aca="false">AQ32+AR32+AS32+AT32+AU32+AV32+AW32</f>
        <v>3724.7</v>
      </c>
      <c r="BD32" s="60" t="n">
        <f aca="false">AQ32</f>
        <v>946</v>
      </c>
      <c r="BE32" s="60" t="n">
        <f aca="false">AQ32+AR32</f>
        <v>65.5</v>
      </c>
      <c r="BF32" s="60" t="n">
        <f aca="false">BE32+AS32</f>
        <v>65.5</v>
      </c>
      <c r="BG32" s="60" t="n">
        <f aca="false">BF32+AT32</f>
        <v>3163.3</v>
      </c>
      <c r="BH32" s="60" t="n">
        <f aca="false">BG32+AU32+AV32+AW32</f>
        <v>3724.7</v>
      </c>
      <c r="BI32" s="60" t="n">
        <f aca="false">BC32</f>
        <v>3724.7</v>
      </c>
      <c r="BJ32" s="60" t="n">
        <f aca="false">IF('Level 1'!$C$31="Yes",BD32,AJ32)</f>
        <v>0</v>
      </c>
      <c r="BK32" s="60" t="n">
        <f aca="false">IF('Level 2'!$C$31="Yes",BE32,AK32)</f>
        <v>0</v>
      </c>
      <c r="BL32" s="60" t="n">
        <f aca="false">IF('Level 3'!$C$31="Yes",BF32,AL32)</f>
        <v>0</v>
      </c>
      <c r="BM32" s="60" t="n">
        <f aca="false">IF('Level 4'!$C$31="Yes",BG32,AM32)</f>
        <v>0</v>
      </c>
      <c r="BN32" s="60" t="n">
        <f aca="false">IF('Level 5'!$C$31="Yes",BH32,AN32)</f>
        <v>0</v>
      </c>
      <c r="BO32" s="60" t="n">
        <f aca="false">IF('Level 6'!$C$31="Yes",BI32,AO32)</f>
        <v>0</v>
      </c>
      <c r="BP32" s="60" t="n">
        <f aca="false">IF('Level 7'!$C$31="Yes",BC32,AP32)</f>
        <v>0</v>
      </c>
      <c r="BQ32" s="60" t="n">
        <f aca="false">D32-AP32</f>
        <v>3851</v>
      </c>
      <c r="BR32" s="60" t="n">
        <f aca="false">BQ32^2</f>
        <v>14830201</v>
      </c>
      <c r="BS32" s="60" t="n">
        <f aca="false">(BQ32-BQ31)^2</f>
        <v>617796</v>
      </c>
      <c r="BT32" s="60" t="n">
        <f aca="false">IF(D32&gt;2000,ABS(BQ32)/D32,"")</f>
        <v>1</v>
      </c>
      <c r="BU32" s="60" t="n">
        <v>195</v>
      </c>
      <c r="BV32" s="62" t="n">
        <v>0.4961</v>
      </c>
      <c r="BW32" s="60" t="n">
        <v>329.1</v>
      </c>
      <c r="BX32" s="60" t="n">
        <f aca="false">AA32</f>
        <v>0</v>
      </c>
      <c r="BY32" s="60" t="n">
        <f aca="false">H32</f>
        <v>135.6</v>
      </c>
      <c r="BZ32" s="60" t="n">
        <f aca="false">Z32</f>
        <v>0</v>
      </c>
      <c r="CA32" s="60" t="n">
        <f aca="false">AB32+AC32+AD32</f>
        <v>0</v>
      </c>
      <c r="CB32" s="60" t="n">
        <f aca="false">AE32+AF32+AG32+AH32+AI32</f>
        <v>0</v>
      </c>
    </row>
    <row r="33" customFormat="false" ht="15" hidden="false" customHeight="false" outlineLevel="0" collapsed="false">
      <c r="A33" s="58" t="n">
        <v>45123</v>
      </c>
      <c r="B33" s="59" t="n">
        <f aca="false">YEAR(A33)</f>
        <v>2023</v>
      </c>
      <c r="C33" s="59" t="n">
        <f aca="false">MONTH(A33)</f>
        <v>7</v>
      </c>
      <c r="D33" s="60" t="n">
        <v>2277</v>
      </c>
      <c r="E33" s="61" t="n">
        <v>1.227</v>
      </c>
      <c r="F33" s="61" t="n">
        <v>1.0277</v>
      </c>
      <c r="G33" s="61" t="n">
        <v>0</v>
      </c>
      <c r="H33" s="60" t="n">
        <v>149.81</v>
      </c>
      <c r="I33" s="60" t="n">
        <f aca="false">H33+'Level 4'!$C$12/100*I32</f>
        <v>149.81</v>
      </c>
      <c r="J33" s="60" t="n">
        <v>102.72</v>
      </c>
      <c r="K33" s="60" t="n">
        <v>18.87</v>
      </c>
      <c r="L33" s="60" t="n">
        <v>0</v>
      </c>
      <c r="M33" s="60" t="n">
        <f aca="false">L33+Answers!$C$14/100*M32</f>
        <v>0.00635795946357537</v>
      </c>
      <c r="N33" s="60" t="n">
        <v>58.39</v>
      </c>
      <c r="O33" s="60" t="n">
        <v>0</v>
      </c>
      <c r="P33" s="60" t="n">
        <v>0</v>
      </c>
      <c r="Q33" s="60" t="n">
        <v>4.02</v>
      </c>
      <c r="R33" s="60" t="n">
        <v>85.13</v>
      </c>
      <c r="S33" s="60" t="n">
        <f aca="false">N33+Answers!$C$16/100*S32</f>
        <v>198.720242799696</v>
      </c>
      <c r="T33" s="60" t="n">
        <f aca="false">O33+Answers!$C$17/100*T32</f>
        <v>35.9954157085058</v>
      </c>
      <c r="U33" s="60" t="n">
        <f aca="false">P33+Answers!$C$18/100*U32</f>
        <v>84.8291456666923</v>
      </c>
      <c r="V33" s="60" t="n">
        <f aca="false">Q33+Answers!$C$19/100*V32</f>
        <v>31.1337945035788</v>
      </c>
      <c r="W33" s="60" t="n">
        <f aca="false">R33+Answers!$C$20/100*W32</f>
        <v>462.266853636783</v>
      </c>
      <c r="X33" s="60" t="n">
        <f aca="false">IF('Level 1'!$C$11="",0,'Level 1'!$C$11)*E33</f>
        <v>0</v>
      </c>
      <c r="Y33" s="60" t="n">
        <f aca="false">-IF('Level 2'!$C$11="",0,'Level 2'!$C$11)*F33</f>
        <v>-0</v>
      </c>
      <c r="Z33" s="60" t="n">
        <f aca="false">IF('Level 3'!$C$11="",0,'Level 3'!$C$11)*G33</f>
        <v>0</v>
      </c>
      <c r="AA33" s="60" t="n">
        <f aca="false">IF('Level 4'!$C$11="",0,'Level 4'!$C$11)*(1-'Level 4'!$C$12/100)*I33</f>
        <v>0</v>
      </c>
      <c r="AB33" s="60" t="n">
        <f aca="false">IF('Level 5'!$C$11="",0,'Level 5'!$C$11)*J33</f>
        <v>0</v>
      </c>
      <c r="AC33" s="60" t="n">
        <f aca="false">IF('Level 5'!$C$12="",0,'Level 5'!$C$12)*K33</f>
        <v>0</v>
      </c>
      <c r="AD33" s="60" t="n">
        <f aca="false">IF('Level 5'!$C$13="",0,'Level 5'!$C$13)*(1-Answers!$C$14/100)*M33</f>
        <v>0</v>
      </c>
      <c r="AE33" s="60" t="n">
        <f aca="false">IF('Level 6'!$C$11="",0,'Level 6'!$C$11)*(1-Answers!$C$16/100)*S33</f>
        <v>0</v>
      </c>
      <c r="AF33" s="60" t="n">
        <f aca="false">IF('Level 6'!$C$12="",0,'Level 6'!$C$12)*(1-Answers!$C$17/100)*T33</f>
        <v>0</v>
      </c>
      <c r="AG33" s="60" t="n">
        <f aca="false">IF('Level 6'!$C$13="",0,'Level 6'!$C$13)*(1-Answers!$C$18/100)*U33</f>
        <v>0</v>
      </c>
      <c r="AH33" s="60" t="n">
        <f aca="false">IF('Level 6'!$C$14="",0,'Level 6'!$C$14)*(1-Answers!$C$19/100)*V33</f>
        <v>0</v>
      </c>
      <c r="AI33" s="60" t="n">
        <f aca="false">IF('Level 6'!$C$15="",0,'Level 6'!$C$15)*(1-Answers!$C$20/100)*W33</f>
        <v>0</v>
      </c>
      <c r="AJ33" s="60" t="n">
        <f aca="false">X33</f>
        <v>0</v>
      </c>
      <c r="AK33" s="60" t="n">
        <f aca="false">X33+Y33</f>
        <v>0</v>
      </c>
      <c r="AL33" s="60" t="n">
        <f aca="false">AK33+Z33</f>
        <v>0</v>
      </c>
      <c r="AM33" s="60" t="n">
        <f aca="false">AL33+AA33</f>
        <v>0</v>
      </c>
      <c r="AN33" s="60" t="n">
        <f aca="false">AM33+AB33+AC33+AD33</f>
        <v>0</v>
      </c>
      <c r="AO33" s="60" t="n">
        <f aca="false">AL33+AE33+AF33+AG33+AH33+AI33+AB33+AC33+AD33</f>
        <v>0</v>
      </c>
      <c r="AP33" s="60" t="n">
        <f aca="false">IF(Answers!$C$22="Yes",AO33,AN33)</f>
        <v>0</v>
      </c>
      <c r="AQ33" s="60" t="n">
        <v>1074.4</v>
      </c>
      <c r="AR33" s="60" t="n">
        <v>-978.8</v>
      </c>
      <c r="AS33" s="60" t="n">
        <v>0</v>
      </c>
      <c r="AT33" s="60" t="n">
        <v>3006.7</v>
      </c>
      <c r="AU33" s="60" t="n">
        <v>375.8</v>
      </c>
      <c r="AV33" s="60" t="n">
        <v>69.6</v>
      </c>
      <c r="AW33" s="60" t="n">
        <v>0</v>
      </c>
      <c r="AX33" s="60" t="n">
        <v>773.4</v>
      </c>
      <c r="AY33" s="60" t="n">
        <v>200.2</v>
      </c>
      <c r="AZ33" s="60" t="n">
        <v>340.3</v>
      </c>
      <c r="BA33" s="60" t="n">
        <v>57.8</v>
      </c>
      <c r="BB33" s="60" t="n">
        <v>1635</v>
      </c>
      <c r="BC33" s="60" t="n">
        <f aca="false">AQ33+AR33+AS33+AT33+AU33+AV33+AW33</f>
        <v>3547.7</v>
      </c>
      <c r="BD33" s="60" t="n">
        <f aca="false">AQ33</f>
        <v>1074.4</v>
      </c>
      <c r="BE33" s="60" t="n">
        <f aca="false">AQ33+AR33</f>
        <v>95.6000000000001</v>
      </c>
      <c r="BF33" s="60" t="n">
        <f aca="false">BE33+AS33</f>
        <v>95.6000000000001</v>
      </c>
      <c r="BG33" s="60" t="n">
        <f aca="false">BF33+AT33</f>
        <v>3102.3</v>
      </c>
      <c r="BH33" s="60" t="n">
        <f aca="false">BG33+AU33+AV33+AW33</f>
        <v>3547.7</v>
      </c>
      <c r="BI33" s="60" t="n">
        <f aca="false">BC33</f>
        <v>3547.7</v>
      </c>
      <c r="BJ33" s="60" t="n">
        <f aca="false">IF('Level 1'!$C$31="Yes",BD33,AJ33)</f>
        <v>0</v>
      </c>
      <c r="BK33" s="60" t="n">
        <f aca="false">IF('Level 2'!$C$31="Yes",BE33,AK33)</f>
        <v>0</v>
      </c>
      <c r="BL33" s="60" t="n">
        <f aca="false">IF('Level 3'!$C$31="Yes",BF33,AL33)</f>
        <v>0</v>
      </c>
      <c r="BM33" s="60" t="n">
        <f aca="false">IF('Level 4'!$C$31="Yes",BG33,AM33)</f>
        <v>0</v>
      </c>
      <c r="BN33" s="60" t="n">
        <f aca="false">IF('Level 5'!$C$31="Yes",BH33,AN33)</f>
        <v>0</v>
      </c>
      <c r="BO33" s="60" t="n">
        <f aca="false">IF('Level 6'!$C$31="Yes",BI33,AO33)</f>
        <v>0</v>
      </c>
      <c r="BP33" s="60" t="n">
        <f aca="false">IF('Level 7'!$C$31="Yes",BC33,AP33)</f>
        <v>0</v>
      </c>
      <c r="BQ33" s="60" t="n">
        <f aca="false">D33-AP33</f>
        <v>2277</v>
      </c>
      <c r="BR33" s="60" t="n">
        <f aca="false">BQ33^2</f>
        <v>5184729</v>
      </c>
      <c r="BS33" s="60" t="n">
        <f aca="false">(BQ33-BQ32)^2</f>
        <v>2477476</v>
      </c>
      <c r="BT33" s="60" t="n">
        <f aca="false">IF(D33&gt;2000,ABS(BQ33)/D33,"")</f>
        <v>1</v>
      </c>
      <c r="BU33" s="60" t="n">
        <v>209</v>
      </c>
      <c r="BV33" s="62" t="n">
        <v>0.4961</v>
      </c>
      <c r="BW33" s="60" t="n">
        <v>326.6</v>
      </c>
      <c r="BX33" s="60" t="n">
        <f aca="false">AA33</f>
        <v>0</v>
      </c>
      <c r="BY33" s="60" t="n">
        <f aca="false">H33</f>
        <v>149.81</v>
      </c>
      <c r="BZ33" s="60" t="n">
        <f aca="false">Z33</f>
        <v>0</v>
      </c>
      <c r="CA33" s="60" t="n">
        <f aca="false">AB33+AC33+AD33</f>
        <v>0</v>
      </c>
      <c r="CB33" s="60" t="n">
        <f aca="false">AE33+AF33+AG33+AH33+AI33</f>
        <v>0</v>
      </c>
    </row>
    <row r="34" customFormat="false" ht="15" hidden="false" customHeight="false" outlineLevel="0" collapsed="false">
      <c r="A34" s="58" t="n">
        <v>45130</v>
      </c>
      <c r="B34" s="59" t="n">
        <f aca="false">YEAR(A34)</f>
        <v>2023</v>
      </c>
      <c r="C34" s="59" t="n">
        <f aca="false">MONTH(A34)</f>
        <v>7</v>
      </c>
      <c r="D34" s="60" t="n">
        <v>1511</v>
      </c>
      <c r="E34" s="61" t="n">
        <v>1.082</v>
      </c>
      <c r="F34" s="61" t="n">
        <v>1.0246</v>
      </c>
      <c r="G34" s="61" t="n">
        <v>0</v>
      </c>
      <c r="H34" s="60" t="n">
        <v>108.73</v>
      </c>
      <c r="I34" s="60" t="n">
        <f aca="false">H34+'Level 4'!$C$12/100*I33</f>
        <v>108.73</v>
      </c>
      <c r="J34" s="60" t="n">
        <v>106.94</v>
      </c>
      <c r="K34" s="60" t="n">
        <v>21.74</v>
      </c>
      <c r="L34" s="60" t="n">
        <v>0</v>
      </c>
      <c r="M34" s="60" t="n">
        <f aca="false">L34+Answers!$C$14/100*M33</f>
        <v>0.00381477567814522</v>
      </c>
      <c r="N34" s="60" t="n">
        <v>0</v>
      </c>
      <c r="O34" s="60" t="n">
        <v>0</v>
      </c>
      <c r="P34" s="60" t="n">
        <v>33.21</v>
      </c>
      <c r="Q34" s="60" t="n">
        <v>2.95</v>
      </c>
      <c r="R34" s="60" t="n">
        <v>71.06</v>
      </c>
      <c r="S34" s="60" t="n">
        <f aca="false">N34+Answers!$C$16/100*S33</f>
        <v>158.976194239757</v>
      </c>
      <c r="T34" s="60" t="n">
        <f aca="false">O34+Answers!$C$17/100*T33</f>
        <v>28.7963325668046</v>
      </c>
      <c r="U34" s="60" t="n">
        <f aca="false">P34+Answers!$C$18/100*U33</f>
        <v>101.073316533354</v>
      </c>
      <c r="V34" s="60" t="n">
        <f aca="false">Q34+Answers!$C$19/100*V33</f>
        <v>27.857035602863</v>
      </c>
      <c r="W34" s="60" t="n">
        <f aca="false">R34+Answers!$C$20/100*W33</f>
        <v>440.873482909426</v>
      </c>
      <c r="X34" s="60" t="n">
        <f aca="false">IF('Level 1'!$C$11="",0,'Level 1'!$C$11)*E34</f>
        <v>0</v>
      </c>
      <c r="Y34" s="60" t="n">
        <f aca="false">-IF('Level 2'!$C$11="",0,'Level 2'!$C$11)*F34</f>
        <v>-0</v>
      </c>
      <c r="Z34" s="60" t="n">
        <f aca="false">IF('Level 3'!$C$11="",0,'Level 3'!$C$11)*G34</f>
        <v>0</v>
      </c>
      <c r="AA34" s="60" t="n">
        <f aca="false">IF('Level 4'!$C$11="",0,'Level 4'!$C$11)*(1-'Level 4'!$C$12/100)*I34</f>
        <v>0</v>
      </c>
      <c r="AB34" s="60" t="n">
        <f aca="false">IF('Level 5'!$C$11="",0,'Level 5'!$C$11)*J34</f>
        <v>0</v>
      </c>
      <c r="AC34" s="60" t="n">
        <f aca="false">IF('Level 5'!$C$12="",0,'Level 5'!$C$12)*K34</f>
        <v>0</v>
      </c>
      <c r="AD34" s="60" t="n">
        <f aca="false">IF('Level 5'!$C$13="",0,'Level 5'!$C$13)*(1-Answers!$C$14/100)*M34</f>
        <v>0</v>
      </c>
      <c r="AE34" s="60" t="n">
        <f aca="false">IF('Level 6'!$C$11="",0,'Level 6'!$C$11)*(1-Answers!$C$16/100)*S34</f>
        <v>0</v>
      </c>
      <c r="AF34" s="60" t="n">
        <f aca="false">IF('Level 6'!$C$12="",0,'Level 6'!$C$12)*(1-Answers!$C$17/100)*T34</f>
        <v>0</v>
      </c>
      <c r="AG34" s="60" t="n">
        <f aca="false">IF('Level 6'!$C$13="",0,'Level 6'!$C$13)*(1-Answers!$C$18/100)*U34</f>
        <v>0</v>
      </c>
      <c r="AH34" s="60" t="n">
        <f aca="false">IF('Level 6'!$C$14="",0,'Level 6'!$C$14)*(1-Answers!$C$19/100)*V34</f>
        <v>0</v>
      </c>
      <c r="AI34" s="60" t="n">
        <f aca="false">IF('Level 6'!$C$15="",0,'Level 6'!$C$15)*(1-Answers!$C$20/100)*W34</f>
        <v>0</v>
      </c>
      <c r="AJ34" s="60" t="n">
        <f aca="false">X34</f>
        <v>0</v>
      </c>
      <c r="AK34" s="60" t="n">
        <f aca="false">X34+Y34</f>
        <v>0</v>
      </c>
      <c r="AL34" s="60" t="n">
        <f aca="false">AK34+Z34</f>
        <v>0</v>
      </c>
      <c r="AM34" s="60" t="n">
        <f aca="false">AL34+AA34</f>
        <v>0</v>
      </c>
      <c r="AN34" s="60" t="n">
        <f aca="false">AM34+AB34+AC34+AD34</f>
        <v>0</v>
      </c>
      <c r="AO34" s="60" t="n">
        <f aca="false">AL34+AE34+AF34+AG34+AH34+AI34+AB34+AC34+AD34</f>
        <v>0</v>
      </c>
      <c r="AP34" s="60" t="n">
        <f aca="false">IF(Answers!$C$22="Yes",AO34,AN34)</f>
        <v>0</v>
      </c>
      <c r="AQ34" s="60" t="n">
        <v>947.4</v>
      </c>
      <c r="AR34" s="60" t="n">
        <v>-975.9</v>
      </c>
      <c r="AS34" s="60" t="n">
        <v>0</v>
      </c>
      <c r="AT34" s="60" t="n">
        <v>2823.2</v>
      </c>
      <c r="AU34" s="60" t="n">
        <v>392.7</v>
      </c>
      <c r="AV34" s="60" t="n">
        <v>80.2</v>
      </c>
      <c r="AW34" s="60" t="n">
        <v>0</v>
      </c>
      <c r="AX34" s="60" t="n">
        <v>657.4</v>
      </c>
      <c r="AY34" s="60" t="n">
        <v>170.2</v>
      </c>
      <c r="AZ34" s="60" t="n">
        <v>376.3</v>
      </c>
      <c r="BA34" s="60" t="n">
        <v>52.9</v>
      </c>
      <c r="BB34" s="60" t="n">
        <v>1566.5</v>
      </c>
      <c r="BC34" s="60" t="n">
        <f aca="false">AQ34+AR34+AS34+AT34+AU34+AV34+AW34</f>
        <v>3267.6</v>
      </c>
      <c r="BD34" s="60" t="n">
        <f aca="false">AQ34</f>
        <v>947.4</v>
      </c>
      <c r="BE34" s="60" t="n">
        <f aca="false">AQ34+AR34</f>
        <v>-28.5</v>
      </c>
      <c r="BF34" s="60" t="n">
        <f aca="false">BE34+AS34</f>
        <v>-28.5</v>
      </c>
      <c r="BG34" s="60" t="n">
        <f aca="false">BF34+AT34</f>
        <v>2794.7</v>
      </c>
      <c r="BH34" s="60" t="n">
        <f aca="false">BG34+AU34+AV34+AW34</f>
        <v>3267.6</v>
      </c>
      <c r="BI34" s="60" t="n">
        <f aca="false">BC34</f>
        <v>3267.6</v>
      </c>
      <c r="BJ34" s="60" t="n">
        <f aca="false">IF('Level 1'!$C$31="Yes",BD34,AJ34)</f>
        <v>0</v>
      </c>
      <c r="BK34" s="60" t="n">
        <f aca="false">IF('Level 2'!$C$31="Yes",BE34,AK34)</f>
        <v>0</v>
      </c>
      <c r="BL34" s="60" t="n">
        <f aca="false">IF('Level 3'!$C$31="Yes",BF34,AL34)</f>
        <v>0</v>
      </c>
      <c r="BM34" s="60" t="n">
        <f aca="false">IF('Level 4'!$C$31="Yes",BG34,AM34)</f>
        <v>0</v>
      </c>
      <c r="BN34" s="60" t="n">
        <f aca="false">IF('Level 5'!$C$31="Yes",BH34,AN34)</f>
        <v>0</v>
      </c>
      <c r="BO34" s="60" t="n">
        <f aca="false">IF('Level 6'!$C$31="Yes",BI34,AO34)</f>
        <v>0</v>
      </c>
      <c r="BP34" s="60" t="n">
        <f aca="false">IF('Level 7'!$C$31="Yes",BC34,AP34)</f>
        <v>0</v>
      </c>
      <c r="BQ34" s="60" t="n">
        <f aca="false">D34-AP34</f>
        <v>1511</v>
      </c>
      <c r="BR34" s="60" t="n">
        <f aca="false">BQ34^2</f>
        <v>2283121</v>
      </c>
      <c r="BS34" s="60" t="n">
        <f aca="false">(BQ34-BQ33)^2</f>
        <v>586756</v>
      </c>
      <c r="BT34" s="60" t="str">
        <f aca="false">IF(D34&gt;2000,ABS(BQ34)/D34,"")</f>
        <v/>
      </c>
      <c r="BU34" s="60" t="n">
        <v>201</v>
      </c>
      <c r="BV34" s="62" t="n">
        <v>0.4961</v>
      </c>
      <c r="BW34" s="60" t="n">
        <v>289.9</v>
      </c>
      <c r="BX34" s="60" t="n">
        <f aca="false">AA34</f>
        <v>0</v>
      </c>
      <c r="BY34" s="60" t="n">
        <f aca="false">H34</f>
        <v>108.73</v>
      </c>
      <c r="BZ34" s="60" t="n">
        <f aca="false">Z34</f>
        <v>0</v>
      </c>
      <c r="CA34" s="60" t="n">
        <f aca="false">AB34+AC34+AD34</f>
        <v>0</v>
      </c>
      <c r="CB34" s="60" t="n">
        <f aca="false">AE34+AF34+AG34+AH34+AI34</f>
        <v>0</v>
      </c>
    </row>
    <row r="35" customFormat="false" ht="15" hidden="false" customHeight="false" outlineLevel="0" collapsed="false">
      <c r="A35" s="58" t="n">
        <v>45137</v>
      </c>
      <c r="B35" s="59" t="n">
        <f aca="false">YEAR(A35)</f>
        <v>2023</v>
      </c>
      <c r="C35" s="59" t="n">
        <f aca="false">MONTH(A35)</f>
        <v>7</v>
      </c>
      <c r="D35" s="60" t="n">
        <v>969</v>
      </c>
      <c r="E35" s="61" t="n">
        <v>1.149</v>
      </c>
      <c r="F35" s="61" t="n">
        <v>1.0282</v>
      </c>
      <c r="G35" s="61" t="n">
        <v>0</v>
      </c>
      <c r="H35" s="60" t="n">
        <v>93.64</v>
      </c>
      <c r="I35" s="60" t="n">
        <f aca="false">H35+'Level 4'!$C$12/100*I34</f>
        <v>93.64</v>
      </c>
      <c r="J35" s="60" t="n">
        <v>110.74</v>
      </c>
      <c r="K35" s="60" t="n">
        <v>42.44</v>
      </c>
      <c r="L35" s="60" t="n">
        <v>0</v>
      </c>
      <c r="M35" s="60" t="n">
        <f aca="false">L35+Answers!$C$14/100*M34</f>
        <v>0.00228886540688713</v>
      </c>
      <c r="N35" s="60" t="n">
        <v>0</v>
      </c>
      <c r="O35" s="60" t="n">
        <v>0</v>
      </c>
      <c r="P35" s="60" t="n">
        <v>36.61</v>
      </c>
      <c r="Q35" s="60" t="n">
        <v>0</v>
      </c>
      <c r="R35" s="60" t="n">
        <v>56.06</v>
      </c>
      <c r="S35" s="60" t="n">
        <f aca="false">N35+Answers!$C$16/100*S34</f>
        <v>127.180955391806</v>
      </c>
      <c r="T35" s="60" t="n">
        <f aca="false">O35+Answers!$C$17/100*T34</f>
        <v>23.0370660534437</v>
      </c>
      <c r="U35" s="60" t="n">
        <f aca="false">P35+Answers!$C$18/100*U34</f>
        <v>117.468653226683</v>
      </c>
      <c r="V35" s="60" t="n">
        <f aca="false">Q35+Answers!$C$19/100*V34</f>
        <v>22.2856284822904</v>
      </c>
      <c r="W35" s="60" t="n">
        <f aca="false">R35+Answers!$C$20/100*W34</f>
        <v>408.758786327541</v>
      </c>
      <c r="X35" s="60" t="n">
        <f aca="false">IF('Level 1'!$C$11="",0,'Level 1'!$C$11)*E35</f>
        <v>0</v>
      </c>
      <c r="Y35" s="60" t="n">
        <f aca="false">-IF('Level 2'!$C$11="",0,'Level 2'!$C$11)*F35</f>
        <v>-0</v>
      </c>
      <c r="Z35" s="60" t="n">
        <f aca="false">IF('Level 3'!$C$11="",0,'Level 3'!$C$11)*G35</f>
        <v>0</v>
      </c>
      <c r="AA35" s="60" t="n">
        <f aca="false">IF('Level 4'!$C$11="",0,'Level 4'!$C$11)*(1-'Level 4'!$C$12/100)*I35</f>
        <v>0</v>
      </c>
      <c r="AB35" s="60" t="n">
        <f aca="false">IF('Level 5'!$C$11="",0,'Level 5'!$C$11)*J35</f>
        <v>0</v>
      </c>
      <c r="AC35" s="60" t="n">
        <f aca="false">IF('Level 5'!$C$12="",0,'Level 5'!$C$12)*K35</f>
        <v>0</v>
      </c>
      <c r="AD35" s="60" t="n">
        <f aca="false">IF('Level 5'!$C$13="",0,'Level 5'!$C$13)*(1-Answers!$C$14/100)*M35</f>
        <v>0</v>
      </c>
      <c r="AE35" s="60" t="n">
        <f aca="false">IF('Level 6'!$C$11="",0,'Level 6'!$C$11)*(1-Answers!$C$16/100)*S35</f>
        <v>0</v>
      </c>
      <c r="AF35" s="60" t="n">
        <f aca="false">IF('Level 6'!$C$12="",0,'Level 6'!$C$12)*(1-Answers!$C$17/100)*T35</f>
        <v>0</v>
      </c>
      <c r="AG35" s="60" t="n">
        <f aca="false">IF('Level 6'!$C$13="",0,'Level 6'!$C$13)*(1-Answers!$C$18/100)*U35</f>
        <v>0</v>
      </c>
      <c r="AH35" s="60" t="n">
        <f aca="false">IF('Level 6'!$C$14="",0,'Level 6'!$C$14)*(1-Answers!$C$19/100)*V35</f>
        <v>0</v>
      </c>
      <c r="AI35" s="60" t="n">
        <f aca="false">IF('Level 6'!$C$15="",0,'Level 6'!$C$15)*(1-Answers!$C$20/100)*W35</f>
        <v>0</v>
      </c>
      <c r="AJ35" s="60" t="n">
        <f aca="false">X35</f>
        <v>0</v>
      </c>
      <c r="AK35" s="60" t="n">
        <f aca="false">X35+Y35</f>
        <v>0</v>
      </c>
      <c r="AL35" s="60" t="n">
        <f aca="false">AK35+Z35</f>
        <v>0</v>
      </c>
      <c r="AM35" s="60" t="n">
        <f aca="false">AL35+AA35</f>
        <v>0</v>
      </c>
      <c r="AN35" s="60" t="n">
        <f aca="false">AM35+AB35+AC35+AD35</f>
        <v>0</v>
      </c>
      <c r="AO35" s="60" t="n">
        <f aca="false">AL35+AE35+AF35+AG35+AH35+AI35+AB35+AC35+AD35</f>
        <v>0</v>
      </c>
      <c r="AP35" s="60" t="n">
        <f aca="false">IF(Answers!$C$22="Yes",AO35,AN35)</f>
        <v>0</v>
      </c>
      <c r="AQ35" s="60" t="n">
        <v>1006.1</v>
      </c>
      <c r="AR35" s="60" t="n">
        <v>-979.3</v>
      </c>
      <c r="AS35" s="60" t="n">
        <v>0</v>
      </c>
      <c r="AT35" s="60" t="n">
        <v>2645.8</v>
      </c>
      <c r="AU35" s="60" t="n">
        <v>410.6</v>
      </c>
      <c r="AV35" s="60" t="n">
        <v>156.6</v>
      </c>
      <c r="AW35" s="60" t="n">
        <v>0</v>
      </c>
      <c r="AX35" s="60" t="n">
        <v>558.8</v>
      </c>
      <c r="AY35" s="60" t="n">
        <v>144.6</v>
      </c>
      <c r="AZ35" s="60" t="n">
        <v>415.9</v>
      </c>
      <c r="BA35" s="60" t="n">
        <v>44.9</v>
      </c>
      <c r="BB35" s="60" t="n">
        <v>1481.6</v>
      </c>
      <c r="BC35" s="60" t="n">
        <f aca="false">AQ35+AR35+AS35+AT35+AU35+AV35+AW35</f>
        <v>3239.8</v>
      </c>
      <c r="BD35" s="60" t="n">
        <f aca="false">AQ35</f>
        <v>1006.1</v>
      </c>
      <c r="BE35" s="60" t="n">
        <f aca="false">AQ35+AR35</f>
        <v>26.8000000000001</v>
      </c>
      <c r="BF35" s="60" t="n">
        <f aca="false">BE35+AS35</f>
        <v>26.8000000000001</v>
      </c>
      <c r="BG35" s="60" t="n">
        <f aca="false">BF35+AT35</f>
        <v>2672.6</v>
      </c>
      <c r="BH35" s="60" t="n">
        <f aca="false">BG35+AU35+AV35+AW35</f>
        <v>3239.8</v>
      </c>
      <c r="BI35" s="60" t="n">
        <f aca="false">BC35</f>
        <v>3239.8</v>
      </c>
      <c r="BJ35" s="60" t="n">
        <f aca="false">IF('Level 1'!$C$31="Yes",BD35,AJ35)</f>
        <v>0</v>
      </c>
      <c r="BK35" s="60" t="n">
        <f aca="false">IF('Level 2'!$C$31="Yes",BE35,AK35)</f>
        <v>0</v>
      </c>
      <c r="BL35" s="60" t="n">
        <f aca="false">IF('Level 3'!$C$31="Yes",BF35,AL35)</f>
        <v>0</v>
      </c>
      <c r="BM35" s="60" t="n">
        <f aca="false">IF('Level 4'!$C$31="Yes",BG35,AM35)</f>
        <v>0</v>
      </c>
      <c r="BN35" s="60" t="n">
        <f aca="false">IF('Level 5'!$C$31="Yes",BH35,AN35)</f>
        <v>0</v>
      </c>
      <c r="BO35" s="60" t="n">
        <f aca="false">IF('Level 6'!$C$31="Yes",BI35,AO35)</f>
        <v>0</v>
      </c>
      <c r="BP35" s="60" t="n">
        <f aca="false">IF('Level 7'!$C$31="Yes",BC35,AP35)</f>
        <v>0</v>
      </c>
      <c r="BQ35" s="60" t="n">
        <f aca="false">D35-AP35</f>
        <v>969</v>
      </c>
      <c r="BR35" s="60" t="n">
        <f aca="false">BQ35^2</f>
        <v>938961</v>
      </c>
      <c r="BS35" s="60" t="n">
        <f aca="false">(BQ35-BQ34)^2</f>
        <v>293764</v>
      </c>
      <c r="BT35" s="60" t="str">
        <f aca="false">IF(D35&gt;2000,ABS(BQ35)/D35,"")</f>
        <v/>
      </c>
      <c r="BU35" s="60" t="n">
        <v>175</v>
      </c>
      <c r="BV35" s="62" t="n">
        <v>0.4943</v>
      </c>
      <c r="BW35" s="60" t="n">
        <v>300.4</v>
      </c>
      <c r="BX35" s="60" t="n">
        <f aca="false">AA35</f>
        <v>0</v>
      </c>
      <c r="BY35" s="60" t="n">
        <f aca="false">H35</f>
        <v>93.64</v>
      </c>
      <c r="BZ35" s="60" t="n">
        <f aca="false">Z35</f>
        <v>0</v>
      </c>
      <c r="CA35" s="60" t="n">
        <f aca="false">AB35+AC35+AD35</f>
        <v>0</v>
      </c>
      <c r="CB35" s="60" t="n">
        <f aca="false">AE35+AF35+AG35+AH35+AI35</f>
        <v>0</v>
      </c>
    </row>
    <row r="36" customFormat="false" ht="15" hidden="false" customHeight="false" outlineLevel="0" collapsed="false">
      <c r="A36" s="58" t="n">
        <v>45144</v>
      </c>
      <c r="B36" s="59" t="n">
        <f aca="false">YEAR(A36)</f>
        <v>2023</v>
      </c>
      <c r="C36" s="59" t="n">
        <f aca="false">MONTH(A36)</f>
        <v>8</v>
      </c>
      <c r="D36" s="60" t="n">
        <v>422</v>
      </c>
      <c r="E36" s="61" t="n">
        <v>1.1629</v>
      </c>
      <c r="F36" s="61" t="n">
        <v>2.5857</v>
      </c>
      <c r="G36" s="61" t="n">
        <v>0</v>
      </c>
      <c r="H36" s="60" t="n">
        <v>8.21</v>
      </c>
      <c r="I36" s="60" t="n">
        <f aca="false">H36+'Level 4'!$C$12/100*I35</f>
        <v>8.21</v>
      </c>
      <c r="J36" s="60" t="n">
        <v>110.82</v>
      </c>
      <c r="K36" s="60" t="n">
        <v>32.23</v>
      </c>
      <c r="L36" s="60" t="n">
        <v>0</v>
      </c>
      <c r="M36" s="60" t="n">
        <f aca="false">L36+Answers!$C$14/100*M35</f>
        <v>0.00137331924413228</v>
      </c>
      <c r="N36" s="60" t="n">
        <v>0</v>
      </c>
      <c r="O36" s="60" t="n">
        <v>0</v>
      </c>
      <c r="P36" s="60" t="n">
        <v>5.1</v>
      </c>
      <c r="Q36" s="60" t="n">
        <v>0</v>
      </c>
      <c r="R36" s="60" t="n">
        <v>2.69</v>
      </c>
      <c r="S36" s="60" t="n">
        <f aca="false">N36+Answers!$C$16/100*S35</f>
        <v>101.744764313444</v>
      </c>
      <c r="T36" s="60" t="n">
        <f aca="false">O36+Answers!$C$17/100*T35</f>
        <v>18.429652842755</v>
      </c>
      <c r="U36" s="60" t="n">
        <f aca="false">P36+Answers!$C$18/100*U35</f>
        <v>99.0749225813465</v>
      </c>
      <c r="V36" s="60" t="n">
        <f aca="false">Q36+Answers!$C$19/100*V35</f>
        <v>17.8285027858323</v>
      </c>
      <c r="W36" s="60" t="n">
        <f aca="false">R36+Answers!$C$20/100*W35</f>
        <v>329.697029062033</v>
      </c>
      <c r="X36" s="60" t="n">
        <f aca="false">IF('Level 1'!$C$11="",0,'Level 1'!$C$11)*E36</f>
        <v>0</v>
      </c>
      <c r="Y36" s="60" t="n">
        <f aca="false">-IF('Level 2'!$C$11="",0,'Level 2'!$C$11)*F36</f>
        <v>-0</v>
      </c>
      <c r="Z36" s="60" t="n">
        <f aca="false">IF('Level 3'!$C$11="",0,'Level 3'!$C$11)*G36</f>
        <v>0</v>
      </c>
      <c r="AA36" s="60" t="n">
        <f aca="false">IF('Level 4'!$C$11="",0,'Level 4'!$C$11)*(1-'Level 4'!$C$12/100)*I36</f>
        <v>0</v>
      </c>
      <c r="AB36" s="60" t="n">
        <f aca="false">IF('Level 5'!$C$11="",0,'Level 5'!$C$11)*J36</f>
        <v>0</v>
      </c>
      <c r="AC36" s="60" t="n">
        <f aca="false">IF('Level 5'!$C$12="",0,'Level 5'!$C$12)*K36</f>
        <v>0</v>
      </c>
      <c r="AD36" s="60" t="n">
        <f aca="false">IF('Level 5'!$C$13="",0,'Level 5'!$C$13)*(1-Answers!$C$14/100)*M36</f>
        <v>0</v>
      </c>
      <c r="AE36" s="60" t="n">
        <f aca="false">IF('Level 6'!$C$11="",0,'Level 6'!$C$11)*(1-Answers!$C$16/100)*S36</f>
        <v>0</v>
      </c>
      <c r="AF36" s="60" t="n">
        <f aca="false">IF('Level 6'!$C$12="",0,'Level 6'!$C$12)*(1-Answers!$C$17/100)*T36</f>
        <v>0</v>
      </c>
      <c r="AG36" s="60" t="n">
        <f aca="false">IF('Level 6'!$C$13="",0,'Level 6'!$C$13)*(1-Answers!$C$18/100)*U36</f>
        <v>0</v>
      </c>
      <c r="AH36" s="60" t="n">
        <f aca="false">IF('Level 6'!$C$14="",0,'Level 6'!$C$14)*(1-Answers!$C$19/100)*V36</f>
        <v>0</v>
      </c>
      <c r="AI36" s="60" t="n">
        <f aca="false">IF('Level 6'!$C$15="",0,'Level 6'!$C$15)*(1-Answers!$C$20/100)*W36</f>
        <v>0</v>
      </c>
      <c r="AJ36" s="60" t="n">
        <f aca="false">X36</f>
        <v>0</v>
      </c>
      <c r="AK36" s="60" t="n">
        <f aca="false">X36+Y36</f>
        <v>0</v>
      </c>
      <c r="AL36" s="60" t="n">
        <f aca="false">AK36+Z36</f>
        <v>0</v>
      </c>
      <c r="AM36" s="60" t="n">
        <f aca="false">AL36+AA36</f>
        <v>0</v>
      </c>
      <c r="AN36" s="60" t="n">
        <f aca="false">AM36+AB36+AC36+AD36</f>
        <v>0</v>
      </c>
      <c r="AO36" s="60" t="n">
        <f aca="false">AL36+AE36+AF36+AG36+AH36+AI36+AB36+AC36+AD36</f>
        <v>0</v>
      </c>
      <c r="AP36" s="60" t="n">
        <f aca="false">IF(Answers!$C$22="Yes",AO36,AN36)</f>
        <v>0</v>
      </c>
      <c r="AQ36" s="60" t="n">
        <v>1018.3</v>
      </c>
      <c r="AR36" s="60" t="n">
        <v>-2462.7</v>
      </c>
      <c r="AS36" s="60" t="n">
        <v>0</v>
      </c>
      <c r="AT36" s="60" t="n">
        <v>2270</v>
      </c>
      <c r="AU36" s="60" t="n">
        <v>399.6</v>
      </c>
      <c r="AV36" s="60" t="n">
        <v>118.9</v>
      </c>
      <c r="AW36" s="60" t="n">
        <v>0</v>
      </c>
      <c r="AX36" s="60" t="n">
        <v>474.9</v>
      </c>
      <c r="AY36" s="60" t="n">
        <v>122.9</v>
      </c>
      <c r="AZ36" s="60" t="n">
        <v>366.9</v>
      </c>
      <c r="BA36" s="60" t="n">
        <v>38.2</v>
      </c>
      <c r="BB36" s="60" t="n">
        <v>1267</v>
      </c>
      <c r="BC36" s="60" t="n">
        <f aca="false">AQ36+AR36+AS36+AT36+AU36+AV36+AW36</f>
        <v>1344.1</v>
      </c>
      <c r="BD36" s="60" t="n">
        <f aca="false">AQ36</f>
        <v>1018.3</v>
      </c>
      <c r="BE36" s="60" t="n">
        <f aca="false">AQ36+AR36</f>
        <v>-1444.4</v>
      </c>
      <c r="BF36" s="60" t="n">
        <f aca="false">BE36+AS36</f>
        <v>-1444.4</v>
      </c>
      <c r="BG36" s="60" t="n">
        <f aca="false">BF36+AT36</f>
        <v>825.6</v>
      </c>
      <c r="BH36" s="60" t="n">
        <f aca="false">BG36+AU36+AV36+AW36</f>
        <v>1344.1</v>
      </c>
      <c r="BI36" s="60" t="n">
        <f aca="false">BC36</f>
        <v>1344.1</v>
      </c>
      <c r="BJ36" s="60" t="n">
        <f aca="false">IF('Level 1'!$C$31="Yes",BD36,AJ36)</f>
        <v>0</v>
      </c>
      <c r="BK36" s="60" t="n">
        <f aca="false">IF('Level 2'!$C$31="Yes",BE36,AK36)</f>
        <v>0</v>
      </c>
      <c r="BL36" s="60" t="n">
        <f aca="false">IF('Level 3'!$C$31="Yes",BF36,AL36)</f>
        <v>0</v>
      </c>
      <c r="BM36" s="60" t="n">
        <f aca="false">IF('Level 4'!$C$31="Yes",BG36,AM36)</f>
        <v>0</v>
      </c>
      <c r="BN36" s="60" t="n">
        <f aca="false">IF('Level 5'!$C$31="Yes",BH36,AN36)</f>
        <v>0</v>
      </c>
      <c r="BO36" s="60" t="n">
        <f aca="false">IF('Level 6'!$C$31="Yes",BI36,AO36)</f>
        <v>0</v>
      </c>
      <c r="BP36" s="60" t="n">
        <f aca="false">IF('Level 7'!$C$31="Yes",BC36,AP36)</f>
        <v>0</v>
      </c>
      <c r="BQ36" s="60" t="n">
        <f aca="false">D36-AP36</f>
        <v>422</v>
      </c>
      <c r="BR36" s="60" t="n">
        <f aca="false">BQ36^2</f>
        <v>178084</v>
      </c>
      <c r="BS36" s="60" t="n">
        <f aca="false">(BQ36-BQ35)^2</f>
        <v>299209</v>
      </c>
      <c r="BT36" s="60" t="str">
        <f aca="false">IF(D36&gt;2000,ABS(BQ36)/D36,"")</f>
        <v/>
      </c>
      <c r="BU36" s="60" t="n">
        <v>192</v>
      </c>
      <c r="BV36" s="62" t="n">
        <v>0.494</v>
      </c>
      <c r="BW36" s="60" t="n">
        <v>198.2</v>
      </c>
      <c r="BX36" s="60" t="n">
        <f aca="false">AA36</f>
        <v>0</v>
      </c>
      <c r="BY36" s="60" t="n">
        <f aca="false">H36</f>
        <v>8.21</v>
      </c>
      <c r="BZ36" s="60" t="n">
        <f aca="false">Z36</f>
        <v>0</v>
      </c>
      <c r="CA36" s="60" t="n">
        <f aca="false">AB36+AC36+AD36</f>
        <v>0</v>
      </c>
      <c r="CB36" s="60" t="n">
        <f aca="false">AE36+AF36+AG36+AH36+AI36</f>
        <v>0</v>
      </c>
    </row>
    <row r="37" customFormat="false" ht="15" hidden="false" customHeight="false" outlineLevel="0" collapsed="false">
      <c r="A37" s="58" t="n">
        <v>45151</v>
      </c>
      <c r="B37" s="59" t="n">
        <f aca="false">YEAR(A37)</f>
        <v>2023</v>
      </c>
      <c r="C37" s="59" t="n">
        <f aca="false">MONTH(A37)</f>
        <v>8</v>
      </c>
      <c r="D37" s="60" t="n">
        <v>233</v>
      </c>
      <c r="E37" s="61" t="n">
        <v>1.0464</v>
      </c>
      <c r="F37" s="61" t="n">
        <v>2.5857</v>
      </c>
      <c r="G37" s="61" t="n">
        <v>0</v>
      </c>
      <c r="H37" s="60" t="n">
        <v>0.95</v>
      </c>
      <c r="I37" s="60" t="n">
        <f aca="false">H37+'Level 4'!$C$12/100*I36</f>
        <v>0.95</v>
      </c>
      <c r="J37" s="60" t="n">
        <v>93.8</v>
      </c>
      <c r="K37" s="60" t="n">
        <v>26.25</v>
      </c>
      <c r="L37" s="60" t="n">
        <v>0</v>
      </c>
      <c r="M37" s="60" t="n">
        <f aca="false">L37+Answers!$C$14/100*M36</f>
        <v>0.000823991546479368</v>
      </c>
      <c r="N37" s="60" t="n">
        <v>0</v>
      </c>
      <c r="O37" s="60" t="n">
        <v>0</v>
      </c>
      <c r="P37" s="60" t="n">
        <v>0</v>
      </c>
      <c r="Q37" s="60" t="n">
        <v>0</v>
      </c>
      <c r="R37" s="60" t="n">
        <v>0.71</v>
      </c>
      <c r="S37" s="60" t="n">
        <f aca="false">N37+Answers!$C$16/100*S36</f>
        <v>81.3958114507556</v>
      </c>
      <c r="T37" s="60" t="n">
        <f aca="false">O37+Answers!$C$17/100*T36</f>
        <v>14.743722274204</v>
      </c>
      <c r="U37" s="60" t="n">
        <f aca="false">P37+Answers!$C$18/100*U36</f>
        <v>79.2599380650772</v>
      </c>
      <c r="V37" s="60" t="n">
        <f aca="false">Q37+Answers!$C$19/100*V36</f>
        <v>14.2628022286659</v>
      </c>
      <c r="W37" s="60" t="n">
        <f aca="false">R37+Answers!$C$20/100*W36</f>
        <v>264.467623249626</v>
      </c>
      <c r="X37" s="60" t="n">
        <f aca="false">IF('Level 1'!$C$11="",0,'Level 1'!$C$11)*E37</f>
        <v>0</v>
      </c>
      <c r="Y37" s="60" t="n">
        <f aca="false">-IF('Level 2'!$C$11="",0,'Level 2'!$C$11)*F37</f>
        <v>-0</v>
      </c>
      <c r="Z37" s="60" t="n">
        <f aca="false">IF('Level 3'!$C$11="",0,'Level 3'!$C$11)*G37</f>
        <v>0</v>
      </c>
      <c r="AA37" s="60" t="n">
        <f aca="false">IF('Level 4'!$C$11="",0,'Level 4'!$C$11)*(1-'Level 4'!$C$12/100)*I37</f>
        <v>0</v>
      </c>
      <c r="AB37" s="60" t="n">
        <f aca="false">IF('Level 5'!$C$11="",0,'Level 5'!$C$11)*J37</f>
        <v>0</v>
      </c>
      <c r="AC37" s="60" t="n">
        <f aca="false">IF('Level 5'!$C$12="",0,'Level 5'!$C$12)*K37</f>
        <v>0</v>
      </c>
      <c r="AD37" s="60" t="n">
        <f aca="false">IF('Level 5'!$C$13="",0,'Level 5'!$C$13)*(1-Answers!$C$14/100)*M37</f>
        <v>0</v>
      </c>
      <c r="AE37" s="60" t="n">
        <f aca="false">IF('Level 6'!$C$11="",0,'Level 6'!$C$11)*(1-Answers!$C$16/100)*S37</f>
        <v>0</v>
      </c>
      <c r="AF37" s="60" t="n">
        <f aca="false">IF('Level 6'!$C$12="",0,'Level 6'!$C$12)*(1-Answers!$C$17/100)*T37</f>
        <v>0</v>
      </c>
      <c r="AG37" s="60" t="n">
        <f aca="false">IF('Level 6'!$C$13="",0,'Level 6'!$C$13)*(1-Answers!$C$18/100)*U37</f>
        <v>0</v>
      </c>
      <c r="AH37" s="60" t="n">
        <f aca="false">IF('Level 6'!$C$14="",0,'Level 6'!$C$14)*(1-Answers!$C$19/100)*V37</f>
        <v>0</v>
      </c>
      <c r="AI37" s="60" t="n">
        <f aca="false">IF('Level 6'!$C$15="",0,'Level 6'!$C$15)*(1-Answers!$C$20/100)*W37</f>
        <v>0</v>
      </c>
      <c r="AJ37" s="60" t="n">
        <f aca="false">X37</f>
        <v>0</v>
      </c>
      <c r="AK37" s="60" t="n">
        <f aca="false">X37+Y37</f>
        <v>0</v>
      </c>
      <c r="AL37" s="60" t="n">
        <f aca="false">AK37+Z37</f>
        <v>0</v>
      </c>
      <c r="AM37" s="60" t="n">
        <f aca="false">AL37+AA37</f>
        <v>0</v>
      </c>
      <c r="AN37" s="60" t="n">
        <f aca="false">AM37+AB37+AC37+AD37</f>
        <v>0</v>
      </c>
      <c r="AO37" s="60" t="n">
        <f aca="false">AL37+AE37+AF37+AG37+AH37+AI37+AB37+AC37+AD37</f>
        <v>0</v>
      </c>
      <c r="AP37" s="60" t="n">
        <f aca="false">IF(Answers!$C$22="Yes",AO37,AN37)</f>
        <v>0</v>
      </c>
      <c r="AQ37" s="60" t="n">
        <v>916.2</v>
      </c>
      <c r="AR37" s="60" t="n">
        <v>-2462.7</v>
      </c>
      <c r="AS37" s="60" t="n">
        <v>0</v>
      </c>
      <c r="AT37" s="60" t="n">
        <v>1935.1</v>
      </c>
      <c r="AU37" s="60" t="n">
        <v>334.4</v>
      </c>
      <c r="AV37" s="60" t="n">
        <v>96.9</v>
      </c>
      <c r="AW37" s="60" t="n">
        <v>0</v>
      </c>
      <c r="AX37" s="60" t="n">
        <v>403.7</v>
      </c>
      <c r="AY37" s="60" t="n">
        <v>104.5</v>
      </c>
      <c r="AZ37" s="60" t="n">
        <v>311.9</v>
      </c>
      <c r="BA37" s="60" t="n">
        <v>32.5</v>
      </c>
      <c r="BB37" s="60" t="n">
        <v>1082.5</v>
      </c>
      <c r="BC37" s="60" t="n">
        <f aca="false">AQ37+AR37+AS37+AT37+AU37+AV37+AW37</f>
        <v>819.9</v>
      </c>
      <c r="BD37" s="60" t="n">
        <f aca="false">AQ37</f>
        <v>916.2</v>
      </c>
      <c r="BE37" s="60" t="n">
        <f aca="false">AQ37+AR37</f>
        <v>-1546.5</v>
      </c>
      <c r="BF37" s="60" t="n">
        <f aca="false">BE37+AS37</f>
        <v>-1546.5</v>
      </c>
      <c r="BG37" s="60" t="n">
        <f aca="false">BF37+AT37</f>
        <v>388.6</v>
      </c>
      <c r="BH37" s="60" t="n">
        <f aca="false">BG37+AU37+AV37+AW37</f>
        <v>819.9</v>
      </c>
      <c r="BI37" s="60" t="n">
        <f aca="false">BC37</f>
        <v>819.9</v>
      </c>
      <c r="BJ37" s="60" t="n">
        <f aca="false">IF('Level 1'!$C$31="Yes",BD37,AJ37)</f>
        <v>0</v>
      </c>
      <c r="BK37" s="60" t="n">
        <f aca="false">IF('Level 2'!$C$31="Yes",BE37,AK37)</f>
        <v>0</v>
      </c>
      <c r="BL37" s="60" t="n">
        <f aca="false">IF('Level 3'!$C$31="Yes",BF37,AL37)</f>
        <v>0</v>
      </c>
      <c r="BM37" s="60" t="n">
        <f aca="false">IF('Level 4'!$C$31="Yes",BG37,AM37)</f>
        <v>0</v>
      </c>
      <c r="BN37" s="60" t="n">
        <f aca="false">IF('Level 5'!$C$31="Yes",BH37,AN37)</f>
        <v>0</v>
      </c>
      <c r="BO37" s="60" t="n">
        <f aca="false">IF('Level 6'!$C$31="Yes",BI37,AO37)</f>
        <v>0</v>
      </c>
      <c r="BP37" s="60" t="n">
        <f aca="false">IF('Level 7'!$C$31="Yes",BC37,AP37)</f>
        <v>0</v>
      </c>
      <c r="BQ37" s="60" t="n">
        <f aca="false">D37-AP37</f>
        <v>233</v>
      </c>
      <c r="BR37" s="60" t="n">
        <f aca="false">BQ37^2</f>
        <v>54289</v>
      </c>
      <c r="BS37" s="60" t="n">
        <f aca="false">(BQ37-BQ36)^2</f>
        <v>35721</v>
      </c>
      <c r="BT37" s="60" t="str">
        <f aca="false">IF(D37&gt;2000,ABS(BQ37)/D37,"")</f>
        <v/>
      </c>
      <c r="BU37" s="60" t="n">
        <v>153</v>
      </c>
      <c r="BV37" s="62" t="n">
        <v>0.494</v>
      </c>
      <c r="BW37" s="60" t="n">
        <v>178.1</v>
      </c>
      <c r="BX37" s="60" t="n">
        <f aca="false">AA37</f>
        <v>0</v>
      </c>
      <c r="BY37" s="60" t="n">
        <f aca="false">H37</f>
        <v>0.95</v>
      </c>
      <c r="BZ37" s="60" t="n">
        <f aca="false">Z37</f>
        <v>0</v>
      </c>
      <c r="CA37" s="60" t="n">
        <f aca="false">AB37+AC37+AD37</f>
        <v>0</v>
      </c>
      <c r="CB37" s="60" t="n">
        <f aca="false">AE37+AF37+AG37+AH37+AI37</f>
        <v>0</v>
      </c>
    </row>
    <row r="38" customFormat="false" ht="15" hidden="false" customHeight="false" outlineLevel="0" collapsed="false">
      <c r="A38" s="58" t="n">
        <v>45158</v>
      </c>
      <c r="B38" s="59" t="n">
        <f aca="false">YEAR(A38)</f>
        <v>2023</v>
      </c>
      <c r="C38" s="59" t="n">
        <f aca="false">MONTH(A38)</f>
        <v>8</v>
      </c>
      <c r="D38" s="60" t="n">
        <v>182</v>
      </c>
      <c r="E38" s="61" t="n">
        <v>0.945</v>
      </c>
      <c r="F38" s="61" t="n">
        <v>2.5857</v>
      </c>
      <c r="G38" s="61" t="n">
        <v>0</v>
      </c>
      <c r="H38" s="60" t="n">
        <v>0.92</v>
      </c>
      <c r="I38" s="60" t="n">
        <f aca="false">H38+'Level 4'!$C$12/100*I37</f>
        <v>0.92</v>
      </c>
      <c r="J38" s="60" t="n">
        <v>83.44</v>
      </c>
      <c r="K38" s="60" t="n">
        <v>25.01</v>
      </c>
      <c r="L38" s="60" t="n">
        <v>0</v>
      </c>
      <c r="M38" s="60" t="n">
        <f aca="false">L38+Answers!$C$14/100*M37</f>
        <v>0.000494394927887621</v>
      </c>
      <c r="N38" s="60" t="n">
        <v>0</v>
      </c>
      <c r="O38" s="60" t="n">
        <v>0</v>
      </c>
      <c r="P38" s="60" t="n">
        <v>0</v>
      </c>
      <c r="Q38" s="60" t="n">
        <v>0</v>
      </c>
      <c r="R38" s="60" t="n">
        <v>0.74</v>
      </c>
      <c r="S38" s="60" t="n">
        <f aca="false">N38+Answers!$C$16/100*S37</f>
        <v>65.1166491606045</v>
      </c>
      <c r="T38" s="60" t="n">
        <f aca="false">O38+Answers!$C$17/100*T37</f>
        <v>11.7949778193632</v>
      </c>
      <c r="U38" s="60" t="n">
        <f aca="false">P38+Answers!$C$18/100*U37</f>
        <v>63.4079504520618</v>
      </c>
      <c r="V38" s="60" t="n">
        <f aca="false">Q38+Answers!$C$19/100*V37</f>
        <v>11.4102417829327</v>
      </c>
      <c r="W38" s="60" t="n">
        <f aca="false">R38+Answers!$C$20/100*W37</f>
        <v>212.314098599701</v>
      </c>
      <c r="X38" s="60" t="n">
        <f aca="false">IF('Level 1'!$C$11="",0,'Level 1'!$C$11)*E38</f>
        <v>0</v>
      </c>
      <c r="Y38" s="60" t="n">
        <f aca="false">-IF('Level 2'!$C$11="",0,'Level 2'!$C$11)*F38</f>
        <v>-0</v>
      </c>
      <c r="Z38" s="60" t="n">
        <f aca="false">IF('Level 3'!$C$11="",0,'Level 3'!$C$11)*G38</f>
        <v>0</v>
      </c>
      <c r="AA38" s="60" t="n">
        <f aca="false">IF('Level 4'!$C$11="",0,'Level 4'!$C$11)*(1-'Level 4'!$C$12/100)*I38</f>
        <v>0</v>
      </c>
      <c r="AB38" s="60" t="n">
        <f aca="false">IF('Level 5'!$C$11="",0,'Level 5'!$C$11)*J38</f>
        <v>0</v>
      </c>
      <c r="AC38" s="60" t="n">
        <f aca="false">IF('Level 5'!$C$12="",0,'Level 5'!$C$12)*K38</f>
        <v>0</v>
      </c>
      <c r="AD38" s="60" t="n">
        <f aca="false">IF('Level 5'!$C$13="",0,'Level 5'!$C$13)*(1-Answers!$C$14/100)*M38</f>
        <v>0</v>
      </c>
      <c r="AE38" s="60" t="n">
        <f aca="false">IF('Level 6'!$C$11="",0,'Level 6'!$C$11)*(1-Answers!$C$16/100)*S38</f>
        <v>0</v>
      </c>
      <c r="AF38" s="60" t="n">
        <f aca="false">IF('Level 6'!$C$12="",0,'Level 6'!$C$12)*(1-Answers!$C$17/100)*T38</f>
        <v>0</v>
      </c>
      <c r="AG38" s="60" t="n">
        <f aca="false">IF('Level 6'!$C$13="",0,'Level 6'!$C$13)*(1-Answers!$C$18/100)*U38</f>
        <v>0</v>
      </c>
      <c r="AH38" s="60" t="n">
        <f aca="false">IF('Level 6'!$C$14="",0,'Level 6'!$C$14)*(1-Answers!$C$19/100)*V38</f>
        <v>0</v>
      </c>
      <c r="AI38" s="60" t="n">
        <f aca="false">IF('Level 6'!$C$15="",0,'Level 6'!$C$15)*(1-Answers!$C$20/100)*W38</f>
        <v>0</v>
      </c>
      <c r="AJ38" s="60" t="n">
        <f aca="false">X38</f>
        <v>0</v>
      </c>
      <c r="AK38" s="60" t="n">
        <f aca="false">X38+Y38</f>
        <v>0</v>
      </c>
      <c r="AL38" s="60" t="n">
        <f aca="false">AK38+Z38</f>
        <v>0</v>
      </c>
      <c r="AM38" s="60" t="n">
        <f aca="false">AL38+AA38</f>
        <v>0</v>
      </c>
      <c r="AN38" s="60" t="n">
        <f aca="false">AM38+AB38+AC38+AD38</f>
        <v>0</v>
      </c>
      <c r="AO38" s="60" t="n">
        <f aca="false">AL38+AE38+AF38+AG38+AH38+AI38+AB38+AC38+AD38</f>
        <v>0</v>
      </c>
      <c r="AP38" s="60" t="n">
        <f aca="false">IF(Answers!$C$22="Yes",AO38,AN38)</f>
        <v>0</v>
      </c>
      <c r="AQ38" s="60" t="n">
        <v>827.4</v>
      </c>
      <c r="AR38" s="60" t="n">
        <v>-2462.7</v>
      </c>
      <c r="AS38" s="60" t="n">
        <v>0</v>
      </c>
      <c r="AT38" s="60" t="n">
        <v>1652.5</v>
      </c>
      <c r="AU38" s="60" t="n">
        <v>294.4</v>
      </c>
      <c r="AV38" s="60" t="n">
        <v>92.3</v>
      </c>
      <c r="AW38" s="60" t="n">
        <v>0</v>
      </c>
      <c r="AX38" s="60" t="n">
        <v>343.2</v>
      </c>
      <c r="AY38" s="60" t="n">
        <v>88.8</v>
      </c>
      <c r="AZ38" s="60" t="n">
        <v>265.1</v>
      </c>
      <c r="BA38" s="60" t="n">
        <v>27.6</v>
      </c>
      <c r="BB38" s="60" t="n">
        <v>927.8</v>
      </c>
      <c r="BC38" s="60" t="n">
        <f aca="false">AQ38+AR38+AS38+AT38+AU38+AV38+AW38</f>
        <v>403.9</v>
      </c>
      <c r="BD38" s="60" t="n">
        <f aca="false">AQ38</f>
        <v>827.4</v>
      </c>
      <c r="BE38" s="60" t="n">
        <f aca="false">AQ38+AR38</f>
        <v>-1635.3</v>
      </c>
      <c r="BF38" s="60" t="n">
        <f aca="false">BE38+AS38</f>
        <v>-1635.3</v>
      </c>
      <c r="BG38" s="60" t="n">
        <f aca="false">BF38+AT38</f>
        <v>17.2000000000003</v>
      </c>
      <c r="BH38" s="60" t="n">
        <f aca="false">BG38+AU38+AV38+AW38</f>
        <v>403.9</v>
      </c>
      <c r="BI38" s="60" t="n">
        <f aca="false">BC38</f>
        <v>403.9</v>
      </c>
      <c r="BJ38" s="60" t="n">
        <f aca="false">IF('Level 1'!$C$31="Yes",BD38,AJ38)</f>
        <v>0</v>
      </c>
      <c r="BK38" s="60" t="n">
        <f aca="false">IF('Level 2'!$C$31="Yes",BE38,AK38)</f>
        <v>0</v>
      </c>
      <c r="BL38" s="60" t="n">
        <f aca="false">IF('Level 3'!$C$31="Yes",BF38,AL38)</f>
        <v>0</v>
      </c>
      <c r="BM38" s="60" t="n">
        <f aca="false">IF('Level 4'!$C$31="Yes",BG38,AM38)</f>
        <v>0</v>
      </c>
      <c r="BN38" s="60" t="n">
        <f aca="false">IF('Level 5'!$C$31="Yes",BH38,AN38)</f>
        <v>0</v>
      </c>
      <c r="BO38" s="60" t="n">
        <f aca="false">IF('Level 6'!$C$31="Yes",BI38,AO38)</f>
        <v>0</v>
      </c>
      <c r="BP38" s="60" t="n">
        <f aca="false">IF('Level 7'!$C$31="Yes",BC38,AP38)</f>
        <v>0</v>
      </c>
      <c r="BQ38" s="60" t="n">
        <f aca="false">D38-AP38</f>
        <v>182</v>
      </c>
      <c r="BR38" s="60" t="n">
        <f aca="false">BQ38^2</f>
        <v>33124</v>
      </c>
      <c r="BS38" s="60" t="n">
        <f aca="false">(BQ38-BQ37)^2</f>
        <v>2601</v>
      </c>
      <c r="BT38" s="60" t="str">
        <f aca="false">IF(D38&gt;2000,ABS(BQ38)/D38,"")</f>
        <v/>
      </c>
      <c r="BU38" s="60" t="n">
        <v>177</v>
      </c>
      <c r="BV38" s="62" t="n">
        <v>0.494</v>
      </c>
      <c r="BW38" s="60" t="n">
        <v>194.6</v>
      </c>
      <c r="BX38" s="60" t="n">
        <f aca="false">AA38</f>
        <v>0</v>
      </c>
      <c r="BY38" s="60" t="n">
        <f aca="false">H38</f>
        <v>0.92</v>
      </c>
      <c r="BZ38" s="60" t="n">
        <f aca="false">Z38</f>
        <v>0</v>
      </c>
      <c r="CA38" s="60" t="n">
        <f aca="false">AB38+AC38+AD38</f>
        <v>0</v>
      </c>
      <c r="CB38" s="60" t="n">
        <f aca="false">AE38+AF38+AG38+AH38+AI38</f>
        <v>0</v>
      </c>
    </row>
    <row r="39" customFormat="false" ht="15" hidden="false" customHeight="false" outlineLevel="0" collapsed="false">
      <c r="A39" s="58" t="n">
        <v>45165</v>
      </c>
      <c r="B39" s="59" t="n">
        <f aca="false">YEAR(A39)</f>
        <v>2023</v>
      </c>
      <c r="C39" s="59" t="n">
        <f aca="false">MONTH(A39)</f>
        <v>8</v>
      </c>
      <c r="D39" s="60" t="n">
        <v>129</v>
      </c>
      <c r="E39" s="61" t="n">
        <v>0.8599</v>
      </c>
      <c r="F39" s="61" t="n">
        <v>2.5857</v>
      </c>
      <c r="G39" s="61" t="n">
        <v>0</v>
      </c>
      <c r="H39" s="60" t="n">
        <v>0.87</v>
      </c>
      <c r="I39" s="60" t="n">
        <f aca="false">H39+'Level 4'!$C$12/100*I38</f>
        <v>0.87</v>
      </c>
      <c r="J39" s="60" t="n">
        <v>73.1</v>
      </c>
      <c r="K39" s="60" t="n">
        <v>18.18</v>
      </c>
      <c r="L39" s="60" t="n">
        <v>5.76</v>
      </c>
      <c r="M39" s="60" t="n">
        <f aca="false">L39+Answers!$C$14/100*M38</f>
        <v>5.76029663695673</v>
      </c>
      <c r="N39" s="60" t="n">
        <v>0</v>
      </c>
      <c r="O39" s="60" t="n">
        <v>0</v>
      </c>
      <c r="P39" s="60" t="n">
        <v>0</v>
      </c>
      <c r="Q39" s="60" t="n">
        <v>0</v>
      </c>
      <c r="R39" s="60" t="n">
        <v>0.75</v>
      </c>
      <c r="S39" s="60" t="n">
        <f aca="false">N39+Answers!$C$16/100*S38</f>
        <v>52.0933193284836</v>
      </c>
      <c r="T39" s="60" t="n">
        <f aca="false">O39+Answers!$C$17/100*T38</f>
        <v>9.43598225549054</v>
      </c>
      <c r="U39" s="60" t="n">
        <f aca="false">P39+Answers!$C$18/100*U38</f>
        <v>50.7263603616494</v>
      </c>
      <c r="V39" s="60" t="n">
        <f aca="false">Q39+Answers!$C$19/100*V38</f>
        <v>9.12819342634615</v>
      </c>
      <c r="W39" s="60" t="n">
        <f aca="false">R39+Answers!$C$20/100*W38</f>
        <v>170.601278879761</v>
      </c>
      <c r="X39" s="60" t="n">
        <f aca="false">IF('Level 1'!$C$11="",0,'Level 1'!$C$11)*E39</f>
        <v>0</v>
      </c>
      <c r="Y39" s="60" t="n">
        <f aca="false">-IF('Level 2'!$C$11="",0,'Level 2'!$C$11)*F39</f>
        <v>-0</v>
      </c>
      <c r="Z39" s="60" t="n">
        <f aca="false">IF('Level 3'!$C$11="",0,'Level 3'!$C$11)*G39</f>
        <v>0</v>
      </c>
      <c r="AA39" s="60" t="n">
        <f aca="false">IF('Level 4'!$C$11="",0,'Level 4'!$C$11)*(1-'Level 4'!$C$12/100)*I39</f>
        <v>0</v>
      </c>
      <c r="AB39" s="60" t="n">
        <f aca="false">IF('Level 5'!$C$11="",0,'Level 5'!$C$11)*J39</f>
        <v>0</v>
      </c>
      <c r="AC39" s="60" t="n">
        <f aca="false">IF('Level 5'!$C$12="",0,'Level 5'!$C$12)*K39</f>
        <v>0</v>
      </c>
      <c r="AD39" s="60" t="n">
        <f aca="false">IF('Level 5'!$C$13="",0,'Level 5'!$C$13)*(1-Answers!$C$14/100)*M39</f>
        <v>0</v>
      </c>
      <c r="AE39" s="60" t="n">
        <f aca="false">IF('Level 6'!$C$11="",0,'Level 6'!$C$11)*(1-Answers!$C$16/100)*S39</f>
        <v>0</v>
      </c>
      <c r="AF39" s="60" t="n">
        <f aca="false">IF('Level 6'!$C$12="",0,'Level 6'!$C$12)*(1-Answers!$C$17/100)*T39</f>
        <v>0</v>
      </c>
      <c r="AG39" s="60" t="n">
        <f aca="false">IF('Level 6'!$C$13="",0,'Level 6'!$C$13)*(1-Answers!$C$18/100)*U39</f>
        <v>0</v>
      </c>
      <c r="AH39" s="60" t="n">
        <f aca="false">IF('Level 6'!$C$14="",0,'Level 6'!$C$14)*(1-Answers!$C$19/100)*V39</f>
        <v>0</v>
      </c>
      <c r="AI39" s="60" t="n">
        <f aca="false">IF('Level 6'!$C$15="",0,'Level 6'!$C$15)*(1-Answers!$C$20/100)*W39</f>
        <v>0</v>
      </c>
      <c r="AJ39" s="60" t="n">
        <f aca="false">X39</f>
        <v>0</v>
      </c>
      <c r="AK39" s="60" t="n">
        <f aca="false">X39+Y39</f>
        <v>0</v>
      </c>
      <c r="AL39" s="60" t="n">
        <f aca="false">AK39+Z39</f>
        <v>0</v>
      </c>
      <c r="AM39" s="60" t="n">
        <f aca="false">AL39+AA39</f>
        <v>0</v>
      </c>
      <c r="AN39" s="60" t="n">
        <f aca="false">AM39+AB39+AC39+AD39</f>
        <v>0</v>
      </c>
      <c r="AO39" s="60" t="n">
        <f aca="false">AL39+AE39+AF39+AG39+AH39+AI39+AB39+AC39+AD39</f>
        <v>0</v>
      </c>
      <c r="AP39" s="60" t="n">
        <f aca="false">IF(Answers!$C$22="Yes",AO39,AN39)</f>
        <v>0</v>
      </c>
      <c r="AQ39" s="60" t="n">
        <v>752.9</v>
      </c>
      <c r="AR39" s="60" t="n">
        <v>-2462.7</v>
      </c>
      <c r="AS39" s="60" t="n">
        <v>0</v>
      </c>
      <c r="AT39" s="60" t="n">
        <v>1415.2</v>
      </c>
      <c r="AU39" s="60" t="n">
        <v>255.3</v>
      </c>
      <c r="AV39" s="60" t="n">
        <v>67.1</v>
      </c>
      <c r="AW39" s="60" t="n">
        <v>0</v>
      </c>
      <c r="AX39" s="60" t="n">
        <v>291.7</v>
      </c>
      <c r="AY39" s="60" t="n">
        <v>75.5</v>
      </c>
      <c r="AZ39" s="60" t="n">
        <v>225.3</v>
      </c>
      <c r="BA39" s="60" t="n">
        <v>23.5</v>
      </c>
      <c r="BB39" s="60" t="n">
        <v>799.2</v>
      </c>
      <c r="BC39" s="60" t="n">
        <f aca="false">AQ39+AR39+AS39+AT39+AU39+AV39+AW39</f>
        <v>27.8000000000003</v>
      </c>
      <c r="BD39" s="60" t="n">
        <f aca="false">AQ39</f>
        <v>752.9</v>
      </c>
      <c r="BE39" s="60" t="n">
        <f aca="false">AQ39+AR39</f>
        <v>-1709.8</v>
      </c>
      <c r="BF39" s="60" t="n">
        <f aca="false">BE39+AS39</f>
        <v>-1709.8</v>
      </c>
      <c r="BG39" s="60" t="n">
        <f aca="false">BF39+AT39</f>
        <v>-294.6</v>
      </c>
      <c r="BH39" s="60" t="n">
        <f aca="false">BG39+AU39+AV39+AW39</f>
        <v>27.8000000000003</v>
      </c>
      <c r="BI39" s="60" t="n">
        <f aca="false">BC39</f>
        <v>27.8000000000003</v>
      </c>
      <c r="BJ39" s="60" t="n">
        <f aca="false">IF('Level 1'!$C$31="Yes",BD39,AJ39)</f>
        <v>0</v>
      </c>
      <c r="BK39" s="60" t="n">
        <f aca="false">IF('Level 2'!$C$31="Yes",BE39,AK39)</f>
        <v>0</v>
      </c>
      <c r="BL39" s="60" t="n">
        <f aca="false">IF('Level 3'!$C$31="Yes",BF39,AL39)</f>
        <v>0</v>
      </c>
      <c r="BM39" s="60" t="n">
        <f aca="false">IF('Level 4'!$C$31="Yes",BG39,AM39)</f>
        <v>0</v>
      </c>
      <c r="BN39" s="60" t="n">
        <f aca="false">IF('Level 5'!$C$31="Yes",BH39,AN39)</f>
        <v>0</v>
      </c>
      <c r="BO39" s="60" t="n">
        <f aca="false">IF('Level 6'!$C$31="Yes",BI39,AO39)</f>
        <v>0</v>
      </c>
      <c r="BP39" s="60" t="n">
        <f aca="false">IF('Level 7'!$C$31="Yes",BC39,AP39)</f>
        <v>0</v>
      </c>
      <c r="BQ39" s="60" t="n">
        <f aca="false">D39-AP39</f>
        <v>129</v>
      </c>
      <c r="BR39" s="60" t="n">
        <f aca="false">BQ39^2</f>
        <v>16641</v>
      </c>
      <c r="BS39" s="60" t="n">
        <f aca="false">(BQ39-BQ38)^2</f>
        <v>2809</v>
      </c>
      <c r="BT39" s="60" t="str">
        <f aca="false">IF(D39&gt;2000,ABS(BQ39)/D39,"")</f>
        <v/>
      </c>
      <c r="BU39" s="60" t="n">
        <v>107</v>
      </c>
      <c r="BV39" s="62" t="n">
        <v>0.5005</v>
      </c>
      <c r="BW39" s="60" t="n">
        <v>324.9</v>
      </c>
      <c r="BX39" s="60" t="n">
        <f aca="false">AA39</f>
        <v>0</v>
      </c>
      <c r="BY39" s="60" t="n">
        <f aca="false">H39</f>
        <v>0.87</v>
      </c>
      <c r="BZ39" s="60" t="n">
        <f aca="false">Z39</f>
        <v>0</v>
      </c>
      <c r="CA39" s="60" t="n">
        <f aca="false">AB39+AC39+AD39</f>
        <v>0</v>
      </c>
      <c r="CB39" s="60" t="n">
        <f aca="false">AE39+AF39+AG39+AH39+AI39</f>
        <v>0</v>
      </c>
    </row>
    <row r="40" customFormat="false" ht="15" hidden="false" customHeight="false" outlineLevel="0" collapsed="false">
      <c r="A40" s="58" t="n">
        <v>45172</v>
      </c>
      <c r="B40" s="59" t="n">
        <f aca="false">YEAR(A40)</f>
        <v>2023</v>
      </c>
      <c r="C40" s="59" t="n">
        <f aca="false">MONTH(A40)</f>
        <v>9</v>
      </c>
      <c r="D40" s="60" t="n">
        <v>169</v>
      </c>
      <c r="E40" s="61" t="n">
        <v>0.7918</v>
      </c>
      <c r="F40" s="61" t="n">
        <v>1.0282</v>
      </c>
      <c r="G40" s="61" t="n">
        <v>0</v>
      </c>
      <c r="H40" s="60" t="n">
        <v>1.02</v>
      </c>
      <c r="I40" s="60" t="n">
        <f aca="false">H40+'Level 4'!$C$12/100*I39</f>
        <v>1.02</v>
      </c>
      <c r="J40" s="60" t="n">
        <v>64.39</v>
      </c>
      <c r="K40" s="60" t="n">
        <v>26.04</v>
      </c>
      <c r="L40" s="60" t="n">
        <v>505.9</v>
      </c>
      <c r="M40" s="60" t="n">
        <f aca="false">L40+Answers!$C$14/100*M39</f>
        <v>509.356177982174</v>
      </c>
      <c r="N40" s="60" t="n">
        <v>0</v>
      </c>
      <c r="O40" s="60" t="n">
        <v>0</v>
      </c>
      <c r="P40" s="60" t="n">
        <v>0</v>
      </c>
      <c r="Q40" s="60" t="n">
        <v>0</v>
      </c>
      <c r="R40" s="60" t="n">
        <v>0.85</v>
      </c>
      <c r="S40" s="60" t="n">
        <f aca="false">N40+Answers!$C$16/100*S39</f>
        <v>41.6746554627869</v>
      </c>
      <c r="T40" s="60" t="n">
        <f aca="false">O40+Answers!$C$17/100*T39</f>
        <v>7.54878580439243</v>
      </c>
      <c r="U40" s="60" t="n">
        <f aca="false">P40+Answers!$C$18/100*U39</f>
        <v>40.5810882893195</v>
      </c>
      <c r="V40" s="60" t="n">
        <f aca="false">Q40+Answers!$C$19/100*V39</f>
        <v>7.30255474107692</v>
      </c>
      <c r="W40" s="60" t="n">
        <f aca="false">R40+Answers!$C$20/100*W39</f>
        <v>137.331023103809</v>
      </c>
      <c r="X40" s="60" t="n">
        <f aca="false">IF('Level 1'!$C$11="",0,'Level 1'!$C$11)*E40</f>
        <v>0</v>
      </c>
      <c r="Y40" s="60" t="n">
        <f aca="false">-IF('Level 2'!$C$11="",0,'Level 2'!$C$11)*F40</f>
        <v>-0</v>
      </c>
      <c r="Z40" s="60" t="n">
        <f aca="false">IF('Level 3'!$C$11="",0,'Level 3'!$C$11)*G40</f>
        <v>0</v>
      </c>
      <c r="AA40" s="60" t="n">
        <f aca="false">IF('Level 4'!$C$11="",0,'Level 4'!$C$11)*(1-'Level 4'!$C$12/100)*I40</f>
        <v>0</v>
      </c>
      <c r="AB40" s="60" t="n">
        <f aca="false">IF('Level 5'!$C$11="",0,'Level 5'!$C$11)*J40</f>
        <v>0</v>
      </c>
      <c r="AC40" s="60" t="n">
        <f aca="false">IF('Level 5'!$C$12="",0,'Level 5'!$C$12)*K40</f>
        <v>0</v>
      </c>
      <c r="AD40" s="60" t="n">
        <f aca="false">IF('Level 5'!$C$13="",0,'Level 5'!$C$13)*(1-Answers!$C$14/100)*M40</f>
        <v>0</v>
      </c>
      <c r="AE40" s="60" t="n">
        <f aca="false">IF('Level 6'!$C$11="",0,'Level 6'!$C$11)*(1-Answers!$C$16/100)*S40</f>
        <v>0</v>
      </c>
      <c r="AF40" s="60" t="n">
        <f aca="false">IF('Level 6'!$C$12="",0,'Level 6'!$C$12)*(1-Answers!$C$17/100)*T40</f>
        <v>0</v>
      </c>
      <c r="AG40" s="60" t="n">
        <f aca="false">IF('Level 6'!$C$13="",0,'Level 6'!$C$13)*(1-Answers!$C$18/100)*U40</f>
        <v>0</v>
      </c>
      <c r="AH40" s="60" t="n">
        <f aca="false">IF('Level 6'!$C$14="",0,'Level 6'!$C$14)*(1-Answers!$C$19/100)*V40</f>
        <v>0</v>
      </c>
      <c r="AI40" s="60" t="n">
        <f aca="false">IF('Level 6'!$C$15="",0,'Level 6'!$C$15)*(1-Answers!$C$20/100)*W40</f>
        <v>0</v>
      </c>
      <c r="AJ40" s="60" t="n">
        <f aca="false">X40</f>
        <v>0</v>
      </c>
      <c r="AK40" s="60" t="n">
        <f aca="false">X40+Y40</f>
        <v>0</v>
      </c>
      <c r="AL40" s="60" t="n">
        <f aca="false">AK40+Z40</f>
        <v>0</v>
      </c>
      <c r="AM40" s="60" t="n">
        <f aca="false">AL40+AA40</f>
        <v>0</v>
      </c>
      <c r="AN40" s="60" t="n">
        <f aca="false">AM40+AB40+AC40+AD40</f>
        <v>0</v>
      </c>
      <c r="AO40" s="60" t="n">
        <f aca="false">AL40+AE40+AF40+AG40+AH40+AI40+AB40+AC40+AD40</f>
        <v>0</v>
      </c>
      <c r="AP40" s="60" t="n">
        <f aca="false">IF(Answers!$C$22="Yes",AO40,AN40)</f>
        <v>0</v>
      </c>
      <c r="AQ40" s="60" t="n">
        <v>693.3</v>
      </c>
      <c r="AR40" s="60" t="n">
        <v>-979.3</v>
      </c>
      <c r="AS40" s="60" t="n">
        <v>0</v>
      </c>
      <c r="AT40" s="60" t="n">
        <v>1213.8</v>
      </c>
      <c r="AU40" s="60" t="n">
        <v>213</v>
      </c>
      <c r="AV40" s="60" t="n">
        <v>96.1</v>
      </c>
      <c r="AW40" s="60" t="n">
        <v>63.8</v>
      </c>
      <c r="AX40" s="60" t="n">
        <v>247.9</v>
      </c>
      <c r="AY40" s="60" t="n">
        <v>64.2</v>
      </c>
      <c r="AZ40" s="60" t="n">
        <v>191.5</v>
      </c>
      <c r="BA40" s="60" t="n">
        <v>19.9</v>
      </c>
      <c r="BB40" s="60" t="n">
        <v>690.2</v>
      </c>
      <c r="BC40" s="60" t="n">
        <f aca="false">AQ40+AR40+AS40+AT40+AU40+AV40+AW40</f>
        <v>1300.7</v>
      </c>
      <c r="BD40" s="60" t="n">
        <f aca="false">AQ40</f>
        <v>693.3</v>
      </c>
      <c r="BE40" s="60" t="n">
        <f aca="false">AQ40+AR40</f>
        <v>-286</v>
      </c>
      <c r="BF40" s="60" t="n">
        <f aca="false">BE40+AS40</f>
        <v>-286</v>
      </c>
      <c r="BG40" s="60" t="n">
        <f aca="false">BF40+AT40</f>
        <v>927.8</v>
      </c>
      <c r="BH40" s="60" t="n">
        <f aca="false">BG40+AU40+AV40+AW40</f>
        <v>1300.7</v>
      </c>
      <c r="BI40" s="60" t="n">
        <f aca="false">BC40</f>
        <v>1300.7</v>
      </c>
      <c r="BJ40" s="60" t="n">
        <f aca="false">IF('Level 1'!$C$31="Yes",BD40,AJ40)</f>
        <v>0</v>
      </c>
      <c r="BK40" s="60" t="n">
        <f aca="false">IF('Level 2'!$C$31="Yes",BE40,AK40)</f>
        <v>0</v>
      </c>
      <c r="BL40" s="60" t="n">
        <f aca="false">IF('Level 3'!$C$31="Yes",BF40,AL40)</f>
        <v>0</v>
      </c>
      <c r="BM40" s="60" t="n">
        <f aca="false">IF('Level 4'!$C$31="Yes",BG40,AM40)</f>
        <v>0</v>
      </c>
      <c r="BN40" s="60" t="n">
        <f aca="false">IF('Level 5'!$C$31="Yes",BH40,AN40)</f>
        <v>0</v>
      </c>
      <c r="BO40" s="60" t="n">
        <f aca="false">IF('Level 6'!$C$31="Yes",BI40,AO40)</f>
        <v>0</v>
      </c>
      <c r="BP40" s="60" t="n">
        <f aca="false">IF('Level 7'!$C$31="Yes",BC40,AP40)</f>
        <v>0</v>
      </c>
      <c r="BQ40" s="60" t="n">
        <f aca="false">D40-AP40</f>
        <v>169</v>
      </c>
      <c r="BR40" s="60" t="n">
        <f aca="false">BQ40^2</f>
        <v>28561</v>
      </c>
      <c r="BS40" s="60" t="n">
        <f aca="false">(BQ40-BQ39)^2</f>
        <v>1600</v>
      </c>
      <c r="BT40" s="60" t="str">
        <f aca="false">IF(D40&gt;2000,ABS(BQ40)/D40,"")</f>
        <v/>
      </c>
      <c r="BU40" s="60" t="n">
        <v>150</v>
      </c>
      <c r="BV40" s="62" t="n">
        <v>0.5092</v>
      </c>
      <c r="BW40" s="60" t="n">
        <v>782</v>
      </c>
      <c r="BX40" s="60" t="n">
        <f aca="false">AA40</f>
        <v>0</v>
      </c>
      <c r="BY40" s="60" t="n">
        <f aca="false">H40</f>
        <v>1.02</v>
      </c>
      <c r="BZ40" s="60" t="n">
        <f aca="false">Z40</f>
        <v>0</v>
      </c>
      <c r="CA40" s="60" t="n">
        <f aca="false">AB40+AC40+AD40</f>
        <v>0</v>
      </c>
      <c r="CB40" s="60" t="n">
        <f aca="false">AE40+AF40+AG40+AH40+AI40</f>
        <v>0</v>
      </c>
    </row>
    <row r="41" customFormat="false" ht="15" hidden="false" customHeight="false" outlineLevel="0" collapsed="false">
      <c r="A41" s="58" t="n">
        <v>45179</v>
      </c>
      <c r="B41" s="59" t="n">
        <f aca="false">YEAR(A41)</f>
        <v>2023</v>
      </c>
      <c r="C41" s="59" t="n">
        <f aca="false">MONTH(A41)</f>
        <v>9</v>
      </c>
      <c r="D41" s="60" t="n">
        <v>249</v>
      </c>
      <c r="E41" s="61" t="n">
        <v>0.6656</v>
      </c>
      <c r="F41" s="61" t="n">
        <v>1.0282</v>
      </c>
      <c r="G41" s="61" t="n">
        <v>0</v>
      </c>
      <c r="H41" s="60" t="n">
        <v>1.21</v>
      </c>
      <c r="I41" s="60" t="n">
        <f aca="false">H41+'Level 4'!$C$12/100*I40</f>
        <v>1.21</v>
      </c>
      <c r="J41" s="60" t="n">
        <v>87.97</v>
      </c>
      <c r="K41" s="60" t="n">
        <v>54.78</v>
      </c>
      <c r="L41" s="60" t="n">
        <v>835.87</v>
      </c>
      <c r="M41" s="60" t="n">
        <f aca="false">L41+Answers!$C$14/100*M40</f>
        <v>1141.4837067893</v>
      </c>
      <c r="N41" s="60" t="n">
        <v>0</v>
      </c>
      <c r="O41" s="60" t="n">
        <v>0</v>
      </c>
      <c r="P41" s="60" t="n">
        <v>0</v>
      </c>
      <c r="Q41" s="60" t="n">
        <v>0</v>
      </c>
      <c r="R41" s="60" t="n">
        <v>0.97</v>
      </c>
      <c r="S41" s="60" t="n">
        <f aca="false">N41+Answers!$C$16/100*S40</f>
        <v>33.3397243702295</v>
      </c>
      <c r="T41" s="60" t="n">
        <f aca="false">O41+Answers!$C$17/100*T40</f>
        <v>6.03902864351395</v>
      </c>
      <c r="U41" s="60" t="n">
        <f aca="false">P41+Answers!$C$18/100*U40</f>
        <v>32.4648706314556</v>
      </c>
      <c r="V41" s="60" t="n">
        <f aca="false">Q41+Answers!$C$19/100*V40</f>
        <v>5.84204379286154</v>
      </c>
      <c r="W41" s="60" t="n">
        <f aca="false">R41+Answers!$C$20/100*W40</f>
        <v>110.834818483047</v>
      </c>
      <c r="X41" s="60" t="n">
        <f aca="false">IF('Level 1'!$C$11="",0,'Level 1'!$C$11)*E41</f>
        <v>0</v>
      </c>
      <c r="Y41" s="60" t="n">
        <f aca="false">-IF('Level 2'!$C$11="",0,'Level 2'!$C$11)*F41</f>
        <v>-0</v>
      </c>
      <c r="Z41" s="60" t="n">
        <f aca="false">IF('Level 3'!$C$11="",0,'Level 3'!$C$11)*G41</f>
        <v>0</v>
      </c>
      <c r="AA41" s="60" t="n">
        <f aca="false">IF('Level 4'!$C$11="",0,'Level 4'!$C$11)*(1-'Level 4'!$C$12/100)*I41</f>
        <v>0</v>
      </c>
      <c r="AB41" s="60" t="n">
        <f aca="false">IF('Level 5'!$C$11="",0,'Level 5'!$C$11)*J41</f>
        <v>0</v>
      </c>
      <c r="AC41" s="60" t="n">
        <f aca="false">IF('Level 5'!$C$12="",0,'Level 5'!$C$12)*K41</f>
        <v>0</v>
      </c>
      <c r="AD41" s="60" t="n">
        <f aca="false">IF('Level 5'!$C$13="",0,'Level 5'!$C$13)*(1-Answers!$C$14/100)*M41</f>
        <v>0</v>
      </c>
      <c r="AE41" s="60" t="n">
        <f aca="false">IF('Level 6'!$C$11="",0,'Level 6'!$C$11)*(1-Answers!$C$16/100)*S41</f>
        <v>0</v>
      </c>
      <c r="AF41" s="60" t="n">
        <f aca="false">IF('Level 6'!$C$12="",0,'Level 6'!$C$12)*(1-Answers!$C$17/100)*T41</f>
        <v>0</v>
      </c>
      <c r="AG41" s="60" t="n">
        <f aca="false">IF('Level 6'!$C$13="",0,'Level 6'!$C$13)*(1-Answers!$C$18/100)*U41</f>
        <v>0</v>
      </c>
      <c r="AH41" s="60" t="n">
        <f aca="false">IF('Level 6'!$C$14="",0,'Level 6'!$C$14)*(1-Answers!$C$19/100)*V41</f>
        <v>0</v>
      </c>
      <c r="AI41" s="60" t="n">
        <f aca="false">IF('Level 6'!$C$15="",0,'Level 6'!$C$15)*(1-Answers!$C$20/100)*W41</f>
        <v>0</v>
      </c>
      <c r="AJ41" s="60" t="n">
        <f aca="false">X41</f>
        <v>0</v>
      </c>
      <c r="AK41" s="60" t="n">
        <f aca="false">X41+Y41</f>
        <v>0</v>
      </c>
      <c r="AL41" s="60" t="n">
        <f aca="false">AK41+Z41</f>
        <v>0</v>
      </c>
      <c r="AM41" s="60" t="n">
        <f aca="false">AL41+AA41</f>
        <v>0</v>
      </c>
      <c r="AN41" s="60" t="n">
        <f aca="false">AM41+AB41+AC41+AD41</f>
        <v>0</v>
      </c>
      <c r="AO41" s="60" t="n">
        <f aca="false">AL41+AE41+AF41+AG41+AH41+AI41+AB41+AC41+AD41</f>
        <v>0</v>
      </c>
      <c r="AP41" s="60" t="n">
        <f aca="false">IF(Answers!$C$22="Yes",AO41,AN41)</f>
        <v>0</v>
      </c>
      <c r="AQ41" s="60" t="n">
        <v>582.8</v>
      </c>
      <c r="AR41" s="60" t="n">
        <v>-979.3</v>
      </c>
      <c r="AS41" s="60" t="n">
        <v>0</v>
      </c>
      <c r="AT41" s="60" t="n">
        <v>1043.6</v>
      </c>
      <c r="AU41" s="60" t="n">
        <v>304.5</v>
      </c>
      <c r="AV41" s="60" t="n">
        <v>202.2</v>
      </c>
      <c r="AW41" s="60" t="n">
        <v>173.3</v>
      </c>
      <c r="AX41" s="60" t="n">
        <v>210.7</v>
      </c>
      <c r="AY41" s="60" t="n">
        <v>54.6</v>
      </c>
      <c r="AZ41" s="60" t="n">
        <v>162.8</v>
      </c>
      <c r="BA41" s="60" t="n">
        <v>17</v>
      </c>
      <c r="BB41" s="60" t="n">
        <v>598.5</v>
      </c>
      <c r="BC41" s="60" t="n">
        <f aca="false">AQ41+AR41+AS41+AT41+AU41+AV41+AW41</f>
        <v>1327.1</v>
      </c>
      <c r="BD41" s="60" t="n">
        <f aca="false">AQ41</f>
        <v>582.8</v>
      </c>
      <c r="BE41" s="60" t="n">
        <f aca="false">AQ41+AR41</f>
        <v>-396.5</v>
      </c>
      <c r="BF41" s="60" t="n">
        <f aca="false">BE41+AS41</f>
        <v>-396.5</v>
      </c>
      <c r="BG41" s="60" t="n">
        <f aca="false">BF41+AT41</f>
        <v>647.1</v>
      </c>
      <c r="BH41" s="60" t="n">
        <f aca="false">BG41+AU41+AV41+AW41</f>
        <v>1327.1</v>
      </c>
      <c r="BI41" s="60" t="n">
        <f aca="false">BC41</f>
        <v>1327.1</v>
      </c>
      <c r="BJ41" s="60" t="n">
        <f aca="false">IF('Level 1'!$C$31="Yes",BD41,AJ41)</f>
        <v>0</v>
      </c>
      <c r="BK41" s="60" t="n">
        <f aca="false">IF('Level 2'!$C$31="Yes",BE41,AK41)</f>
        <v>0</v>
      </c>
      <c r="BL41" s="60" t="n">
        <f aca="false">IF('Level 3'!$C$31="Yes",BF41,AL41)</f>
        <v>0</v>
      </c>
      <c r="BM41" s="60" t="n">
        <f aca="false">IF('Level 4'!$C$31="Yes",BG41,AM41)</f>
        <v>0</v>
      </c>
      <c r="BN41" s="60" t="n">
        <f aca="false">IF('Level 5'!$C$31="Yes",BH41,AN41)</f>
        <v>0</v>
      </c>
      <c r="BO41" s="60" t="n">
        <f aca="false">IF('Level 6'!$C$31="Yes",BI41,AO41)</f>
        <v>0</v>
      </c>
      <c r="BP41" s="60" t="n">
        <f aca="false">IF('Level 7'!$C$31="Yes",BC41,AP41)</f>
        <v>0</v>
      </c>
      <c r="BQ41" s="60" t="n">
        <f aca="false">D41-AP41</f>
        <v>249</v>
      </c>
      <c r="BR41" s="60" t="n">
        <f aca="false">BQ41^2</f>
        <v>62001</v>
      </c>
      <c r="BS41" s="60" t="n">
        <f aca="false">(BQ41-BQ40)^2</f>
        <v>6400</v>
      </c>
      <c r="BT41" s="60" t="str">
        <f aca="false">IF(D41&gt;2000,ABS(BQ41)/D41,"")</f>
        <v/>
      </c>
      <c r="BU41" s="60" t="n">
        <v>151</v>
      </c>
      <c r="BV41" s="62" t="n">
        <v>0.5092</v>
      </c>
      <c r="BW41" s="60" t="n">
        <v>1104.7</v>
      </c>
      <c r="BX41" s="60" t="n">
        <f aca="false">AA41</f>
        <v>0</v>
      </c>
      <c r="BY41" s="60" t="n">
        <f aca="false">H41</f>
        <v>1.21</v>
      </c>
      <c r="BZ41" s="60" t="n">
        <f aca="false">Z41</f>
        <v>0</v>
      </c>
      <c r="CA41" s="60" t="n">
        <f aca="false">AB41+AC41+AD41</f>
        <v>0</v>
      </c>
      <c r="CB41" s="60" t="n">
        <f aca="false">AE41+AF41+AG41+AH41+AI41</f>
        <v>0</v>
      </c>
    </row>
    <row r="42" customFormat="false" ht="15" hidden="false" customHeight="false" outlineLevel="0" collapsed="false">
      <c r="A42" s="58" t="n">
        <v>45186</v>
      </c>
      <c r="B42" s="59" t="n">
        <f aca="false">YEAR(A42)</f>
        <v>2023</v>
      </c>
      <c r="C42" s="59" t="n">
        <f aca="false">MONTH(A42)</f>
        <v>9</v>
      </c>
      <c r="D42" s="60" t="n">
        <v>312</v>
      </c>
      <c r="E42" s="61" t="n">
        <v>0.6502</v>
      </c>
      <c r="F42" s="61" t="n">
        <v>1.0282</v>
      </c>
      <c r="G42" s="61" t="n">
        <v>0</v>
      </c>
      <c r="H42" s="60" t="n">
        <v>1.18</v>
      </c>
      <c r="I42" s="60" t="n">
        <f aca="false">H42+'Level 4'!$C$12/100*I41</f>
        <v>1.18</v>
      </c>
      <c r="J42" s="60" t="n">
        <v>121.87</v>
      </c>
      <c r="K42" s="60" t="n">
        <v>60.66</v>
      </c>
      <c r="L42" s="60" t="n">
        <v>1010.81</v>
      </c>
      <c r="M42" s="60" t="n">
        <f aca="false">L42+Answers!$C$14/100*M41</f>
        <v>1695.70022407358</v>
      </c>
      <c r="N42" s="60" t="n">
        <v>0</v>
      </c>
      <c r="O42" s="60" t="n">
        <v>0</v>
      </c>
      <c r="P42" s="60" t="n">
        <v>0</v>
      </c>
      <c r="Q42" s="60" t="n">
        <v>0</v>
      </c>
      <c r="R42" s="60" t="n">
        <v>0.87</v>
      </c>
      <c r="S42" s="60" t="n">
        <f aca="false">N42+Answers!$C$16/100*S41</f>
        <v>26.6717794961836</v>
      </c>
      <c r="T42" s="60" t="n">
        <f aca="false">O42+Answers!$C$17/100*T41</f>
        <v>4.83122291481116</v>
      </c>
      <c r="U42" s="60" t="n">
        <f aca="false">P42+Answers!$C$18/100*U41</f>
        <v>25.9718965051645</v>
      </c>
      <c r="V42" s="60" t="n">
        <f aca="false">Q42+Answers!$C$19/100*V41</f>
        <v>4.67363503428923</v>
      </c>
      <c r="W42" s="60" t="n">
        <f aca="false">R42+Answers!$C$20/100*W41</f>
        <v>89.5378547864376</v>
      </c>
      <c r="X42" s="60" t="n">
        <f aca="false">IF('Level 1'!$C$11="",0,'Level 1'!$C$11)*E42</f>
        <v>0</v>
      </c>
      <c r="Y42" s="60" t="n">
        <f aca="false">-IF('Level 2'!$C$11="",0,'Level 2'!$C$11)*F42</f>
        <v>-0</v>
      </c>
      <c r="Z42" s="60" t="n">
        <f aca="false">IF('Level 3'!$C$11="",0,'Level 3'!$C$11)*G42</f>
        <v>0</v>
      </c>
      <c r="AA42" s="60" t="n">
        <f aca="false">IF('Level 4'!$C$11="",0,'Level 4'!$C$11)*(1-'Level 4'!$C$12/100)*I42</f>
        <v>0</v>
      </c>
      <c r="AB42" s="60" t="n">
        <f aca="false">IF('Level 5'!$C$11="",0,'Level 5'!$C$11)*J42</f>
        <v>0</v>
      </c>
      <c r="AC42" s="60" t="n">
        <f aca="false">IF('Level 5'!$C$12="",0,'Level 5'!$C$12)*K42</f>
        <v>0</v>
      </c>
      <c r="AD42" s="60" t="n">
        <f aca="false">IF('Level 5'!$C$13="",0,'Level 5'!$C$13)*(1-Answers!$C$14/100)*M42</f>
        <v>0</v>
      </c>
      <c r="AE42" s="60" t="n">
        <f aca="false">IF('Level 6'!$C$11="",0,'Level 6'!$C$11)*(1-Answers!$C$16/100)*S42</f>
        <v>0</v>
      </c>
      <c r="AF42" s="60" t="n">
        <f aca="false">IF('Level 6'!$C$12="",0,'Level 6'!$C$12)*(1-Answers!$C$17/100)*T42</f>
        <v>0</v>
      </c>
      <c r="AG42" s="60" t="n">
        <f aca="false">IF('Level 6'!$C$13="",0,'Level 6'!$C$13)*(1-Answers!$C$18/100)*U42</f>
        <v>0</v>
      </c>
      <c r="AH42" s="60" t="n">
        <f aca="false">IF('Level 6'!$C$14="",0,'Level 6'!$C$14)*(1-Answers!$C$19/100)*V42</f>
        <v>0</v>
      </c>
      <c r="AI42" s="60" t="n">
        <f aca="false">IF('Level 6'!$C$15="",0,'Level 6'!$C$15)*(1-Answers!$C$20/100)*W42</f>
        <v>0</v>
      </c>
      <c r="AJ42" s="60" t="n">
        <f aca="false">X42</f>
        <v>0</v>
      </c>
      <c r="AK42" s="60" t="n">
        <f aca="false">X42+Y42</f>
        <v>0</v>
      </c>
      <c r="AL42" s="60" t="n">
        <f aca="false">AK42+Z42</f>
        <v>0</v>
      </c>
      <c r="AM42" s="60" t="n">
        <f aca="false">AL42+AA42</f>
        <v>0</v>
      </c>
      <c r="AN42" s="60" t="n">
        <f aca="false">AM42+AB42+AC42+AD42</f>
        <v>0</v>
      </c>
      <c r="AO42" s="60" t="n">
        <f aca="false">AL42+AE42+AF42+AG42+AH42+AI42+AB42+AC42+AD42</f>
        <v>0</v>
      </c>
      <c r="AP42" s="60" t="n">
        <f aca="false">IF(Answers!$C$22="Yes",AO42,AN42)</f>
        <v>0</v>
      </c>
      <c r="AQ42" s="60" t="n">
        <v>569.3</v>
      </c>
      <c r="AR42" s="60" t="n">
        <v>-979.3</v>
      </c>
      <c r="AS42" s="60" t="n">
        <v>0</v>
      </c>
      <c r="AT42" s="60" t="n">
        <v>909.7</v>
      </c>
      <c r="AU42" s="60" t="n">
        <v>438.5</v>
      </c>
      <c r="AV42" s="60" t="n">
        <v>223.8</v>
      </c>
      <c r="AW42" s="60" t="n">
        <v>485</v>
      </c>
      <c r="AX42" s="60" t="n">
        <v>179.1</v>
      </c>
      <c r="AY42" s="60" t="n">
        <v>46.4</v>
      </c>
      <c r="AZ42" s="60" t="n">
        <v>138.4</v>
      </c>
      <c r="BA42" s="60" t="n">
        <v>14.4</v>
      </c>
      <c r="BB42" s="60" t="n">
        <v>531.4</v>
      </c>
      <c r="BC42" s="60" t="n">
        <f aca="false">AQ42+AR42+AS42+AT42+AU42+AV42+AW42</f>
        <v>1647</v>
      </c>
      <c r="BD42" s="60" t="n">
        <f aca="false">AQ42</f>
        <v>569.3</v>
      </c>
      <c r="BE42" s="60" t="n">
        <f aca="false">AQ42+AR42</f>
        <v>-410</v>
      </c>
      <c r="BF42" s="60" t="n">
        <f aca="false">BE42+AS42</f>
        <v>-410</v>
      </c>
      <c r="BG42" s="60" t="n">
        <f aca="false">BF42+AT42</f>
        <v>499.7</v>
      </c>
      <c r="BH42" s="60" t="n">
        <f aca="false">BG42+AU42+AV42+AW42</f>
        <v>1647</v>
      </c>
      <c r="BI42" s="60" t="n">
        <f aca="false">BC42</f>
        <v>1647</v>
      </c>
      <c r="BJ42" s="60" t="n">
        <f aca="false">IF('Level 1'!$C$31="Yes",BD42,AJ42)</f>
        <v>0</v>
      </c>
      <c r="BK42" s="60" t="n">
        <f aca="false">IF('Level 2'!$C$31="Yes",BE42,AK42)</f>
        <v>0</v>
      </c>
      <c r="BL42" s="60" t="n">
        <f aca="false">IF('Level 3'!$C$31="Yes",BF42,AL42)</f>
        <v>0</v>
      </c>
      <c r="BM42" s="60" t="n">
        <f aca="false">IF('Level 4'!$C$31="Yes",BG42,AM42)</f>
        <v>0</v>
      </c>
      <c r="BN42" s="60" t="n">
        <f aca="false">IF('Level 5'!$C$31="Yes",BH42,AN42)</f>
        <v>0</v>
      </c>
      <c r="BO42" s="60" t="n">
        <f aca="false">IF('Level 6'!$C$31="Yes",BI42,AO42)</f>
        <v>0</v>
      </c>
      <c r="BP42" s="60" t="n">
        <f aca="false">IF('Level 7'!$C$31="Yes",BC42,AP42)</f>
        <v>0</v>
      </c>
      <c r="BQ42" s="60" t="n">
        <f aca="false">D42-AP42</f>
        <v>312</v>
      </c>
      <c r="BR42" s="60" t="n">
        <f aca="false">BQ42^2</f>
        <v>97344</v>
      </c>
      <c r="BS42" s="60" t="n">
        <f aca="false">(BQ42-BQ41)^2</f>
        <v>3969</v>
      </c>
      <c r="BT42" s="60" t="str">
        <f aca="false">IF(D42&gt;2000,ABS(BQ42)/D42,"")</f>
        <v/>
      </c>
      <c r="BU42" s="60" t="n">
        <v>196</v>
      </c>
      <c r="BV42" s="62" t="n">
        <v>0.5092</v>
      </c>
      <c r="BW42" s="60" t="n">
        <v>1331.3</v>
      </c>
      <c r="BX42" s="60" t="n">
        <f aca="false">AA42</f>
        <v>0</v>
      </c>
      <c r="BY42" s="60" t="n">
        <f aca="false">H42</f>
        <v>1.18</v>
      </c>
      <c r="BZ42" s="60" t="n">
        <f aca="false">Z42</f>
        <v>0</v>
      </c>
      <c r="CA42" s="60" t="n">
        <f aca="false">AB42+AC42+AD42</f>
        <v>0</v>
      </c>
      <c r="CB42" s="60" t="n">
        <f aca="false">AE42+AF42+AG42+AH42+AI42</f>
        <v>0</v>
      </c>
    </row>
    <row r="43" customFormat="false" ht="15" hidden="false" customHeight="false" outlineLevel="0" collapsed="false">
      <c r="A43" s="58" t="n">
        <v>45193</v>
      </c>
      <c r="B43" s="59" t="n">
        <f aca="false">YEAR(A43)</f>
        <v>2023</v>
      </c>
      <c r="C43" s="59" t="n">
        <f aca="false">MONTH(A43)</f>
        <v>9</v>
      </c>
      <c r="D43" s="60" t="n">
        <v>285</v>
      </c>
      <c r="E43" s="61" t="n">
        <v>0.6414</v>
      </c>
      <c r="F43" s="61" t="n">
        <v>1.0282</v>
      </c>
      <c r="G43" s="61" t="n">
        <v>0</v>
      </c>
      <c r="H43" s="60" t="n">
        <v>1.2</v>
      </c>
      <c r="I43" s="60" t="n">
        <f aca="false">H43+'Level 4'!$C$12/100*I42</f>
        <v>1.2</v>
      </c>
      <c r="J43" s="60" t="n">
        <v>111.73</v>
      </c>
      <c r="K43" s="60" t="n">
        <v>70.56</v>
      </c>
      <c r="L43" s="60" t="n">
        <v>766.9</v>
      </c>
      <c r="M43" s="60" t="n">
        <f aca="false">L43+Answers!$C$14/100*M42</f>
        <v>1784.32013444415</v>
      </c>
      <c r="N43" s="60" t="n">
        <v>0</v>
      </c>
      <c r="O43" s="60" t="n">
        <v>0</v>
      </c>
      <c r="P43" s="60" t="n">
        <v>0</v>
      </c>
      <c r="Q43" s="60" t="n">
        <v>0</v>
      </c>
      <c r="R43" s="60" t="n">
        <v>0.92</v>
      </c>
      <c r="S43" s="60" t="n">
        <f aca="false">N43+Answers!$C$16/100*S42</f>
        <v>21.3374235969469</v>
      </c>
      <c r="T43" s="60" t="n">
        <f aca="false">O43+Answers!$C$17/100*T42</f>
        <v>3.86497833184893</v>
      </c>
      <c r="U43" s="60" t="n">
        <f aca="false">P43+Answers!$C$18/100*U42</f>
        <v>20.7775172041316</v>
      </c>
      <c r="V43" s="60" t="n">
        <f aca="false">Q43+Answers!$C$19/100*V42</f>
        <v>3.73890802743138</v>
      </c>
      <c r="W43" s="60" t="n">
        <f aca="false">R43+Answers!$C$20/100*W42</f>
        <v>72.5502838291501</v>
      </c>
      <c r="X43" s="60" t="n">
        <f aca="false">IF('Level 1'!$C$11="",0,'Level 1'!$C$11)*E43</f>
        <v>0</v>
      </c>
      <c r="Y43" s="60" t="n">
        <f aca="false">-IF('Level 2'!$C$11="",0,'Level 2'!$C$11)*F43</f>
        <v>-0</v>
      </c>
      <c r="Z43" s="60" t="n">
        <f aca="false">IF('Level 3'!$C$11="",0,'Level 3'!$C$11)*G43</f>
        <v>0</v>
      </c>
      <c r="AA43" s="60" t="n">
        <f aca="false">IF('Level 4'!$C$11="",0,'Level 4'!$C$11)*(1-'Level 4'!$C$12/100)*I43</f>
        <v>0</v>
      </c>
      <c r="AB43" s="60" t="n">
        <f aca="false">IF('Level 5'!$C$11="",0,'Level 5'!$C$11)*J43</f>
        <v>0</v>
      </c>
      <c r="AC43" s="60" t="n">
        <f aca="false">IF('Level 5'!$C$12="",0,'Level 5'!$C$12)*K43</f>
        <v>0</v>
      </c>
      <c r="AD43" s="60" t="n">
        <f aca="false">IF('Level 5'!$C$13="",0,'Level 5'!$C$13)*(1-Answers!$C$14/100)*M43</f>
        <v>0</v>
      </c>
      <c r="AE43" s="60" t="n">
        <f aca="false">IF('Level 6'!$C$11="",0,'Level 6'!$C$11)*(1-Answers!$C$16/100)*S43</f>
        <v>0</v>
      </c>
      <c r="AF43" s="60" t="n">
        <f aca="false">IF('Level 6'!$C$12="",0,'Level 6'!$C$12)*(1-Answers!$C$17/100)*T43</f>
        <v>0</v>
      </c>
      <c r="AG43" s="60" t="n">
        <f aca="false">IF('Level 6'!$C$13="",0,'Level 6'!$C$13)*(1-Answers!$C$18/100)*U43</f>
        <v>0</v>
      </c>
      <c r="AH43" s="60" t="n">
        <f aca="false">IF('Level 6'!$C$14="",0,'Level 6'!$C$14)*(1-Answers!$C$19/100)*V43</f>
        <v>0</v>
      </c>
      <c r="AI43" s="60" t="n">
        <f aca="false">IF('Level 6'!$C$15="",0,'Level 6'!$C$15)*(1-Answers!$C$20/100)*W43</f>
        <v>0</v>
      </c>
      <c r="AJ43" s="60" t="n">
        <f aca="false">X43</f>
        <v>0</v>
      </c>
      <c r="AK43" s="60" t="n">
        <f aca="false">X43+Y43</f>
        <v>0</v>
      </c>
      <c r="AL43" s="60" t="n">
        <f aca="false">AK43+Z43</f>
        <v>0</v>
      </c>
      <c r="AM43" s="60" t="n">
        <f aca="false">AL43+AA43</f>
        <v>0</v>
      </c>
      <c r="AN43" s="60" t="n">
        <f aca="false">AM43+AB43+AC43+AD43</f>
        <v>0</v>
      </c>
      <c r="AO43" s="60" t="n">
        <f aca="false">AL43+AE43+AF43+AG43+AH43+AI43+AB43+AC43+AD43</f>
        <v>0</v>
      </c>
      <c r="AP43" s="60" t="n">
        <f aca="false">IF(Answers!$C$22="Yes",AO43,AN43)</f>
        <v>0</v>
      </c>
      <c r="AQ43" s="60" t="n">
        <v>561.6</v>
      </c>
      <c r="AR43" s="60" t="n">
        <v>-979.3</v>
      </c>
      <c r="AS43" s="60" t="n">
        <v>0</v>
      </c>
      <c r="AT43" s="60" t="n">
        <v>808.6</v>
      </c>
      <c r="AU43" s="60" t="n">
        <v>399.3</v>
      </c>
      <c r="AV43" s="60" t="n">
        <v>260.4</v>
      </c>
      <c r="AW43" s="60" t="n">
        <v>630.9</v>
      </c>
      <c r="AX43" s="60" t="n">
        <v>152.3</v>
      </c>
      <c r="AY43" s="60" t="n">
        <v>39.4</v>
      </c>
      <c r="AZ43" s="60" t="n">
        <v>117.6</v>
      </c>
      <c r="BA43" s="60" t="n">
        <v>12.2</v>
      </c>
      <c r="BB43" s="60" t="n">
        <v>487.1</v>
      </c>
      <c r="BC43" s="60" t="n">
        <f aca="false">AQ43+AR43+AS43+AT43+AU43+AV43+AW43</f>
        <v>1681.5</v>
      </c>
      <c r="BD43" s="60" t="n">
        <f aca="false">AQ43</f>
        <v>561.6</v>
      </c>
      <c r="BE43" s="60" t="n">
        <f aca="false">AQ43+AR43</f>
        <v>-417.7</v>
      </c>
      <c r="BF43" s="60" t="n">
        <f aca="false">BE43+AS43</f>
        <v>-417.7</v>
      </c>
      <c r="BG43" s="60" t="n">
        <f aca="false">BF43+AT43</f>
        <v>390.9</v>
      </c>
      <c r="BH43" s="60" t="n">
        <f aca="false">BG43+AU43+AV43+AW43</f>
        <v>1681.5</v>
      </c>
      <c r="BI43" s="60" t="n">
        <f aca="false">BC43</f>
        <v>1681.5</v>
      </c>
      <c r="BJ43" s="60" t="n">
        <f aca="false">IF('Level 1'!$C$31="Yes",BD43,AJ43)</f>
        <v>0</v>
      </c>
      <c r="BK43" s="60" t="n">
        <f aca="false">IF('Level 2'!$C$31="Yes",BE43,AK43)</f>
        <v>0</v>
      </c>
      <c r="BL43" s="60" t="n">
        <f aca="false">IF('Level 3'!$C$31="Yes",BF43,AL43)</f>
        <v>0</v>
      </c>
      <c r="BM43" s="60" t="n">
        <f aca="false">IF('Level 4'!$C$31="Yes",BG43,AM43)</f>
        <v>0</v>
      </c>
      <c r="BN43" s="60" t="n">
        <f aca="false">IF('Level 5'!$C$31="Yes",BH43,AN43)</f>
        <v>0</v>
      </c>
      <c r="BO43" s="60" t="n">
        <f aca="false">IF('Level 6'!$C$31="Yes",BI43,AO43)</f>
        <v>0</v>
      </c>
      <c r="BP43" s="60" t="n">
        <f aca="false">IF('Level 7'!$C$31="Yes",BC43,AP43)</f>
        <v>0</v>
      </c>
      <c r="BQ43" s="60" t="n">
        <f aca="false">D43-AP43</f>
        <v>285</v>
      </c>
      <c r="BR43" s="60" t="n">
        <f aca="false">BQ43^2</f>
        <v>81225</v>
      </c>
      <c r="BS43" s="60" t="n">
        <f aca="false">(BQ43-BQ42)^2</f>
        <v>729</v>
      </c>
      <c r="BT43" s="60" t="str">
        <f aca="false">IF(D43&gt;2000,ABS(BQ43)/D43,"")</f>
        <v/>
      </c>
      <c r="BU43" s="60" t="n">
        <v>218</v>
      </c>
      <c r="BV43" s="62" t="n">
        <v>0.5102</v>
      </c>
      <c r="BW43" s="60" t="n">
        <v>1103</v>
      </c>
      <c r="BX43" s="60" t="n">
        <f aca="false">AA43</f>
        <v>0</v>
      </c>
      <c r="BY43" s="60" t="n">
        <f aca="false">H43</f>
        <v>1.2</v>
      </c>
      <c r="BZ43" s="60" t="n">
        <f aca="false">Z43</f>
        <v>0</v>
      </c>
      <c r="CA43" s="60" t="n">
        <f aca="false">AB43+AC43+AD43</f>
        <v>0</v>
      </c>
      <c r="CB43" s="60" t="n">
        <f aca="false">AE43+AF43+AG43+AH43+AI43</f>
        <v>0</v>
      </c>
    </row>
    <row r="44" customFormat="false" ht="15" hidden="false" customHeight="false" outlineLevel="0" collapsed="false">
      <c r="A44" s="58" t="n">
        <v>45200</v>
      </c>
      <c r="B44" s="59" t="n">
        <f aca="false">YEAR(A44)</f>
        <v>2023</v>
      </c>
      <c r="C44" s="59" t="n">
        <f aca="false">MONTH(A44)</f>
        <v>10</v>
      </c>
      <c r="D44" s="60" t="n">
        <v>400</v>
      </c>
      <c r="E44" s="61" t="n">
        <v>0.6164</v>
      </c>
      <c r="F44" s="61" t="n">
        <v>1.0282</v>
      </c>
      <c r="G44" s="61" t="n">
        <v>0</v>
      </c>
      <c r="H44" s="60" t="n">
        <v>1.35</v>
      </c>
      <c r="I44" s="60" t="n">
        <f aca="false">H44+'Level 4'!$C$12/100*I43</f>
        <v>1.35</v>
      </c>
      <c r="J44" s="60" t="n">
        <v>165.18</v>
      </c>
      <c r="K44" s="60" t="n">
        <v>64.37</v>
      </c>
      <c r="L44" s="60" t="n">
        <v>385.28</v>
      </c>
      <c r="M44" s="60" t="n">
        <f aca="false">L44+Answers!$C$14/100*M43</f>
        <v>1455.87208066649</v>
      </c>
      <c r="N44" s="60" t="n">
        <v>0</v>
      </c>
      <c r="O44" s="60" t="n">
        <v>0</v>
      </c>
      <c r="P44" s="60" t="n">
        <v>0</v>
      </c>
      <c r="Q44" s="60" t="n">
        <v>0</v>
      </c>
      <c r="R44" s="60" t="n">
        <v>0.95</v>
      </c>
      <c r="S44" s="60" t="n">
        <f aca="false">N44+Answers!$C$16/100*S43</f>
        <v>17.0699388775575</v>
      </c>
      <c r="T44" s="60" t="n">
        <f aca="false">O44+Answers!$C$17/100*T43</f>
        <v>3.09198266547914</v>
      </c>
      <c r="U44" s="60" t="n">
        <f aca="false">P44+Answers!$C$18/100*U43</f>
        <v>16.6220137633053</v>
      </c>
      <c r="V44" s="60" t="n">
        <f aca="false">Q44+Answers!$C$19/100*V43</f>
        <v>2.99112642194511</v>
      </c>
      <c r="W44" s="60" t="n">
        <f aca="false">R44+Answers!$C$20/100*W43</f>
        <v>58.99022706332</v>
      </c>
      <c r="X44" s="60" t="n">
        <f aca="false">IF('Level 1'!$C$11="",0,'Level 1'!$C$11)*E44</f>
        <v>0</v>
      </c>
      <c r="Y44" s="60" t="n">
        <f aca="false">-IF('Level 2'!$C$11="",0,'Level 2'!$C$11)*F44</f>
        <v>-0</v>
      </c>
      <c r="Z44" s="60" t="n">
        <f aca="false">IF('Level 3'!$C$11="",0,'Level 3'!$C$11)*G44</f>
        <v>0</v>
      </c>
      <c r="AA44" s="60" t="n">
        <f aca="false">IF('Level 4'!$C$11="",0,'Level 4'!$C$11)*(1-'Level 4'!$C$12/100)*I44</f>
        <v>0</v>
      </c>
      <c r="AB44" s="60" t="n">
        <f aca="false">IF('Level 5'!$C$11="",0,'Level 5'!$C$11)*J44</f>
        <v>0</v>
      </c>
      <c r="AC44" s="60" t="n">
        <f aca="false">IF('Level 5'!$C$12="",0,'Level 5'!$C$12)*K44</f>
        <v>0</v>
      </c>
      <c r="AD44" s="60" t="n">
        <f aca="false">IF('Level 5'!$C$13="",0,'Level 5'!$C$13)*(1-Answers!$C$14/100)*M44</f>
        <v>0</v>
      </c>
      <c r="AE44" s="60" t="n">
        <f aca="false">IF('Level 6'!$C$11="",0,'Level 6'!$C$11)*(1-Answers!$C$16/100)*S44</f>
        <v>0</v>
      </c>
      <c r="AF44" s="60" t="n">
        <f aca="false">IF('Level 6'!$C$12="",0,'Level 6'!$C$12)*(1-Answers!$C$17/100)*T44</f>
        <v>0</v>
      </c>
      <c r="AG44" s="60" t="n">
        <f aca="false">IF('Level 6'!$C$13="",0,'Level 6'!$C$13)*(1-Answers!$C$18/100)*U44</f>
        <v>0</v>
      </c>
      <c r="AH44" s="60" t="n">
        <f aca="false">IF('Level 6'!$C$14="",0,'Level 6'!$C$14)*(1-Answers!$C$19/100)*V44</f>
        <v>0</v>
      </c>
      <c r="AI44" s="60" t="n">
        <f aca="false">IF('Level 6'!$C$15="",0,'Level 6'!$C$15)*(1-Answers!$C$20/100)*W44</f>
        <v>0</v>
      </c>
      <c r="AJ44" s="60" t="n">
        <f aca="false">X44</f>
        <v>0</v>
      </c>
      <c r="AK44" s="60" t="n">
        <f aca="false">X44+Y44</f>
        <v>0</v>
      </c>
      <c r="AL44" s="60" t="n">
        <f aca="false">AK44+Z44</f>
        <v>0</v>
      </c>
      <c r="AM44" s="60" t="n">
        <f aca="false">AL44+AA44</f>
        <v>0</v>
      </c>
      <c r="AN44" s="60" t="n">
        <f aca="false">AM44+AB44+AC44+AD44</f>
        <v>0</v>
      </c>
      <c r="AO44" s="60" t="n">
        <f aca="false">AL44+AE44+AF44+AG44+AH44+AI44+AB44+AC44+AD44</f>
        <v>0</v>
      </c>
      <c r="AP44" s="60" t="n">
        <f aca="false">IF(Answers!$C$22="Yes",AO44,AN44)</f>
        <v>0</v>
      </c>
      <c r="AQ44" s="60" t="n">
        <v>539.8</v>
      </c>
      <c r="AR44" s="60" t="n">
        <v>-979.3</v>
      </c>
      <c r="AS44" s="60" t="n">
        <v>0</v>
      </c>
      <c r="AT44" s="60" t="n">
        <v>715</v>
      </c>
      <c r="AU44" s="60" t="n">
        <v>603.8</v>
      </c>
      <c r="AV44" s="60" t="n">
        <v>237.5</v>
      </c>
      <c r="AW44" s="60" t="n">
        <v>410.1</v>
      </c>
      <c r="AX44" s="60" t="n">
        <v>129.4</v>
      </c>
      <c r="AY44" s="60" t="n">
        <v>33.5</v>
      </c>
      <c r="AZ44" s="60" t="n">
        <v>100</v>
      </c>
      <c r="BA44" s="60" t="n">
        <v>10.4</v>
      </c>
      <c r="BB44" s="60" t="n">
        <v>441.7</v>
      </c>
      <c r="BC44" s="60" t="n">
        <f aca="false">AQ44+AR44+AS44+AT44+AU44+AV44+AW44</f>
        <v>1526.9</v>
      </c>
      <c r="BD44" s="60" t="n">
        <f aca="false">AQ44</f>
        <v>539.8</v>
      </c>
      <c r="BE44" s="60" t="n">
        <f aca="false">AQ44+AR44</f>
        <v>-439.5</v>
      </c>
      <c r="BF44" s="60" t="n">
        <f aca="false">BE44+AS44</f>
        <v>-439.5</v>
      </c>
      <c r="BG44" s="60" t="n">
        <f aca="false">BF44+AT44</f>
        <v>275.5</v>
      </c>
      <c r="BH44" s="60" t="n">
        <f aca="false">BG44+AU44+AV44+AW44</f>
        <v>1526.9</v>
      </c>
      <c r="BI44" s="60" t="n">
        <f aca="false">BC44</f>
        <v>1526.9</v>
      </c>
      <c r="BJ44" s="60" t="n">
        <f aca="false">IF('Level 1'!$C$31="Yes",BD44,AJ44)</f>
        <v>0</v>
      </c>
      <c r="BK44" s="60" t="n">
        <f aca="false">IF('Level 2'!$C$31="Yes",BE44,AK44)</f>
        <v>0</v>
      </c>
      <c r="BL44" s="60" t="n">
        <f aca="false">IF('Level 3'!$C$31="Yes",BF44,AL44)</f>
        <v>0</v>
      </c>
      <c r="BM44" s="60" t="n">
        <f aca="false">IF('Level 4'!$C$31="Yes",BG44,AM44)</f>
        <v>0</v>
      </c>
      <c r="BN44" s="60" t="n">
        <f aca="false">IF('Level 5'!$C$31="Yes",BH44,AN44)</f>
        <v>0</v>
      </c>
      <c r="BO44" s="60" t="n">
        <f aca="false">IF('Level 6'!$C$31="Yes",BI44,AO44)</f>
        <v>0</v>
      </c>
      <c r="BP44" s="60" t="n">
        <f aca="false">IF('Level 7'!$C$31="Yes",BC44,AP44)</f>
        <v>0</v>
      </c>
      <c r="BQ44" s="60" t="n">
        <f aca="false">D44-AP44</f>
        <v>400</v>
      </c>
      <c r="BR44" s="60" t="n">
        <f aca="false">BQ44^2</f>
        <v>160000</v>
      </c>
      <c r="BS44" s="60" t="n">
        <f aca="false">(BQ44-BQ43)^2</f>
        <v>13225</v>
      </c>
      <c r="BT44" s="60" t="str">
        <f aca="false">IF(D44&gt;2000,ABS(BQ44)/D44,"")</f>
        <v/>
      </c>
      <c r="BU44" s="60" t="n">
        <v>308</v>
      </c>
      <c r="BV44" s="62" t="n">
        <v>0.5162</v>
      </c>
      <c r="BW44" s="60" t="n">
        <v>742.8</v>
      </c>
      <c r="BX44" s="60" t="n">
        <f aca="false">AA44</f>
        <v>0</v>
      </c>
      <c r="BY44" s="60" t="n">
        <f aca="false">H44</f>
        <v>1.35</v>
      </c>
      <c r="BZ44" s="60" t="n">
        <f aca="false">Z44</f>
        <v>0</v>
      </c>
      <c r="CA44" s="60" t="n">
        <f aca="false">AB44+AC44+AD44</f>
        <v>0</v>
      </c>
      <c r="CB44" s="60" t="n">
        <f aca="false">AE44+AF44+AG44+AH44+AI44</f>
        <v>0</v>
      </c>
    </row>
    <row r="45" customFormat="false" ht="15" hidden="false" customHeight="false" outlineLevel="0" collapsed="false">
      <c r="A45" s="58" t="n">
        <v>45207</v>
      </c>
      <c r="B45" s="59" t="n">
        <f aca="false">YEAR(A45)</f>
        <v>2023</v>
      </c>
      <c r="C45" s="59" t="n">
        <f aca="false">MONTH(A45)</f>
        <v>10</v>
      </c>
      <c r="D45" s="60" t="n">
        <v>325</v>
      </c>
      <c r="E45" s="61" t="n">
        <v>0.6185</v>
      </c>
      <c r="F45" s="61" t="n">
        <v>1.0282</v>
      </c>
      <c r="G45" s="61" t="n">
        <v>0</v>
      </c>
      <c r="H45" s="60" t="n">
        <v>0.79</v>
      </c>
      <c r="I45" s="60" t="n">
        <f aca="false">H45+'Level 4'!$C$12/100*I44</f>
        <v>0.79</v>
      </c>
      <c r="J45" s="60" t="n">
        <v>133.8</v>
      </c>
      <c r="K45" s="60" t="n">
        <v>439.21</v>
      </c>
      <c r="L45" s="60" t="n">
        <v>0</v>
      </c>
      <c r="M45" s="60" t="n">
        <f aca="false">L45+Answers!$C$14/100*M44</f>
        <v>873.523248399894</v>
      </c>
      <c r="N45" s="60" t="n">
        <v>0</v>
      </c>
      <c r="O45" s="60" t="n">
        <v>0</v>
      </c>
      <c r="P45" s="60" t="n">
        <v>0</v>
      </c>
      <c r="Q45" s="60" t="n">
        <v>0</v>
      </c>
      <c r="R45" s="60" t="n">
        <v>0.47</v>
      </c>
      <c r="S45" s="60" t="n">
        <f aca="false">N45+Answers!$C$16/100*S44</f>
        <v>13.655951102046</v>
      </c>
      <c r="T45" s="60" t="n">
        <f aca="false">O45+Answers!$C$17/100*T44</f>
        <v>2.47358613238331</v>
      </c>
      <c r="U45" s="60" t="n">
        <f aca="false">P45+Answers!$C$18/100*U44</f>
        <v>13.2976110106442</v>
      </c>
      <c r="V45" s="60" t="n">
        <f aca="false">Q45+Answers!$C$19/100*V44</f>
        <v>2.39290113755609</v>
      </c>
      <c r="W45" s="60" t="n">
        <f aca="false">R45+Answers!$C$20/100*W44</f>
        <v>47.662181650656</v>
      </c>
      <c r="X45" s="60" t="n">
        <f aca="false">IF('Level 1'!$C$11="",0,'Level 1'!$C$11)*E45</f>
        <v>0</v>
      </c>
      <c r="Y45" s="60" t="n">
        <f aca="false">-IF('Level 2'!$C$11="",0,'Level 2'!$C$11)*F45</f>
        <v>-0</v>
      </c>
      <c r="Z45" s="60" t="n">
        <f aca="false">IF('Level 3'!$C$11="",0,'Level 3'!$C$11)*G45</f>
        <v>0</v>
      </c>
      <c r="AA45" s="60" t="n">
        <f aca="false">IF('Level 4'!$C$11="",0,'Level 4'!$C$11)*(1-'Level 4'!$C$12/100)*I45</f>
        <v>0</v>
      </c>
      <c r="AB45" s="60" t="n">
        <f aca="false">IF('Level 5'!$C$11="",0,'Level 5'!$C$11)*J45</f>
        <v>0</v>
      </c>
      <c r="AC45" s="60" t="n">
        <f aca="false">IF('Level 5'!$C$12="",0,'Level 5'!$C$12)*K45</f>
        <v>0</v>
      </c>
      <c r="AD45" s="60" t="n">
        <f aca="false">IF('Level 5'!$C$13="",0,'Level 5'!$C$13)*(1-Answers!$C$14/100)*M45</f>
        <v>0</v>
      </c>
      <c r="AE45" s="60" t="n">
        <f aca="false">IF('Level 6'!$C$11="",0,'Level 6'!$C$11)*(1-Answers!$C$16/100)*S45</f>
        <v>0</v>
      </c>
      <c r="AF45" s="60" t="n">
        <f aca="false">IF('Level 6'!$C$12="",0,'Level 6'!$C$12)*(1-Answers!$C$17/100)*T45</f>
        <v>0</v>
      </c>
      <c r="AG45" s="60" t="n">
        <f aca="false">IF('Level 6'!$C$13="",0,'Level 6'!$C$13)*(1-Answers!$C$18/100)*U45</f>
        <v>0</v>
      </c>
      <c r="AH45" s="60" t="n">
        <f aca="false">IF('Level 6'!$C$14="",0,'Level 6'!$C$14)*(1-Answers!$C$19/100)*V45</f>
        <v>0</v>
      </c>
      <c r="AI45" s="60" t="n">
        <f aca="false">IF('Level 6'!$C$15="",0,'Level 6'!$C$15)*(1-Answers!$C$20/100)*W45</f>
        <v>0</v>
      </c>
      <c r="AJ45" s="60" t="n">
        <f aca="false">X45</f>
        <v>0</v>
      </c>
      <c r="AK45" s="60" t="n">
        <f aca="false">X45+Y45</f>
        <v>0</v>
      </c>
      <c r="AL45" s="60" t="n">
        <f aca="false">AK45+Z45</f>
        <v>0</v>
      </c>
      <c r="AM45" s="60" t="n">
        <f aca="false">AL45+AA45</f>
        <v>0</v>
      </c>
      <c r="AN45" s="60" t="n">
        <f aca="false">AM45+AB45+AC45+AD45</f>
        <v>0</v>
      </c>
      <c r="AO45" s="60" t="n">
        <f aca="false">AL45+AE45+AF45+AG45+AH45+AI45+AB45+AC45+AD45</f>
        <v>0</v>
      </c>
      <c r="AP45" s="60" t="n">
        <f aca="false">IF(Answers!$C$22="Yes",AO45,AN45)</f>
        <v>0</v>
      </c>
      <c r="AQ45" s="60" t="n">
        <v>541.6</v>
      </c>
      <c r="AR45" s="60" t="n">
        <v>-979.3</v>
      </c>
      <c r="AS45" s="60" t="n">
        <v>0</v>
      </c>
      <c r="AT45" s="60" t="n">
        <v>615.3</v>
      </c>
      <c r="AU45" s="60" t="n">
        <v>476.5</v>
      </c>
      <c r="AV45" s="60" t="n">
        <v>1620.9</v>
      </c>
      <c r="AW45" s="60" t="n">
        <v>266.6</v>
      </c>
      <c r="AX45" s="60" t="n">
        <v>110</v>
      </c>
      <c r="AY45" s="60" t="n">
        <v>28.5</v>
      </c>
      <c r="AZ45" s="60" t="n">
        <v>85</v>
      </c>
      <c r="BA45" s="60" t="n">
        <v>8.8</v>
      </c>
      <c r="BB45" s="60" t="n">
        <v>383</v>
      </c>
      <c r="BC45" s="60" t="n">
        <f aca="false">AQ45+AR45+AS45+AT45+AU45+AV45+AW45</f>
        <v>2541.6</v>
      </c>
      <c r="BD45" s="60" t="n">
        <f aca="false">AQ45</f>
        <v>541.6</v>
      </c>
      <c r="BE45" s="60" t="n">
        <f aca="false">AQ45+AR45</f>
        <v>-437.7</v>
      </c>
      <c r="BF45" s="60" t="n">
        <f aca="false">BE45+AS45</f>
        <v>-437.7</v>
      </c>
      <c r="BG45" s="60" t="n">
        <f aca="false">BF45+AT45</f>
        <v>177.6</v>
      </c>
      <c r="BH45" s="60" t="n">
        <f aca="false">BG45+AU45+AV45+AW45</f>
        <v>2541.6</v>
      </c>
      <c r="BI45" s="60" t="n">
        <f aca="false">BC45</f>
        <v>2541.6</v>
      </c>
      <c r="BJ45" s="60" t="n">
        <f aca="false">IF('Level 1'!$C$31="Yes",BD45,AJ45)</f>
        <v>0</v>
      </c>
      <c r="BK45" s="60" t="n">
        <f aca="false">IF('Level 2'!$C$31="Yes",BE45,AK45)</f>
        <v>0</v>
      </c>
      <c r="BL45" s="60" t="n">
        <f aca="false">IF('Level 3'!$C$31="Yes",BF45,AL45)</f>
        <v>0</v>
      </c>
      <c r="BM45" s="60" t="n">
        <f aca="false">IF('Level 4'!$C$31="Yes",BG45,AM45)</f>
        <v>0</v>
      </c>
      <c r="BN45" s="60" t="n">
        <f aca="false">IF('Level 5'!$C$31="Yes",BH45,AN45)</f>
        <v>0</v>
      </c>
      <c r="BO45" s="60" t="n">
        <f aca="false">IF('Level 6'!$C$31="Yes",BI45,AO45)</f>
        <v>0</v>
      </c>
      <c r="BP45" s="60" t="n">
        <f aca="false">IF('Level 7'!$C$31="Yes",BC45,AP45)</f>
        <v>0</v>
      </c>
      <c r="BQ45" s="60" t="n">
        <f aca="false">D45-AP45</f>
        <v>325</v>
      </c>
      <c r="BR45" s="60" t="n">
        <f aca="false">BQ45^2</f>
        <v>105625</v>
      </c>
      <c r="BS45" s="60" t="n">
        <f aca="false">(BQ45-BQ44)^2</f>
        <v>5625</v>
      </c>
      <c r="BT45" s="60" t="str">
        <f aca="false">IF(D45&gt;2000,ABS(BQ45)/D45,"")</f>
        <v/>
      </c>
      <c r="BU45" s="60" t="n">
        <v>226</v>
      </c>
      <c r="BV45" s="62" t="n">
        <v>0.5162</v>
      </c>
      <c r="BW45" s="60" t="n">
        <v>649.3</v>
      </c>
      <c r="BX45" s="60" t="n">
        <f aca="false">AA45</f>
        <v>0</v>
      </c>
      <c r="BY45" s="60" t="n">
        <f aca="false">H45</f>
        <v>0.79</v>
      </c>
      <c r="BZ45" s="60" t="n">
        <f aca="false">Z45</f>
        <v>0</v>
      </c>
      <c r="CA45" s="60" t="n">
        <f aca="false">AB45+AC45+AD45</f>
        <v>0</v>
      </c>
      <c r="CB45" s="60" t="n">
        <f aca="false">AE45+AF45+AG45+AH45+AI45</f>
        <v>0</v>
      </c>
    </row>
    <row r="46" customFormat="false" ht="15" hidden="false" customHeight="false" outlineLevel="0" collapsed="false">
      <c r="A46" s="58" t="n">
        <v>45214</v>
      </c>
      <c r="B46" s="59" t="n">
        <f aca="false">YEAR(A46)</f>
        <v>2023</v>
      </c>
      <c r="C46" s="59" t="n">
        <f aca="false">MONTH(A46)</f>
        <v>10</v>
      </c>
      <c r="D46" s="60" t="n">
        <v>354</v>
      </c>
      <c r="E46" s="61" t="n">
        <v>0.6203</v>
      </c>
      <c r="F46" s="61" t="n">
        <v>1.0282</v>
      </c>
      <c r="G46" s="61" t="n">
        <v>0</v>
      </c>
      <c r="H46" s="60" t="n">
        <v>0.59</v>
      </c>
      <c r="I46" s="60" t="n">
        <f aca="false">H46+'Level 4'!$C$12/100*I45</f>
        <v>0.59</v>
      </c>
      <c r="J46" s="60" t="n">
        <v>114</v>
      </c>
      <c r="K46" s="60" t="n">
        <v>442.48</v>
      </c>
      <c r="L46" s="60" t="n">
        <v>0</v>
      </c>
      <c r="M46" s="60" t="n">
        <f aca="false">L46+Answers!$C$14/100*M45</f>
        <v>524.113949039936</v>
      </c>
      <c r="N46" s="60" t="n">
        <v>0</v>
      </c>
      <c r="O46" s="60" t="n">
        <v>0</v>
      </c>
      <c r="P46" s="60" t="n">
        <v>0</v>
      </c>
      <c r="Q46" s="60" t="n">
        <v>0</v>
      </c>
      <c r="R46" s="60" t="n">
        <v>0.24</v>
      </c>
      <c r="S46" s="60" t="n">
        <f aca="false">N46+Answers!$C$16/100*S45</f>
        <v>10.9247608816368</v>
      </c>
      <c r="T46" s="60" t="n">
        <f aca="false">O46+Answers!$C$17/100*T45</f>
        <v>1.97886890590665</v>
      </c>
      <c r="U46" s="60" t="n">
        <f aca="false">P46+Answers!$C$18/100*U45</f>
        <v>10.6380888085154</v>
      </c>
      <c r="V46" s="60" t="n">
        <f aca="false">Q46+Answers!$C$19/100*V45</f>
        <v>1.91432091004487</v>
      </c>
      <c r="W46" s="60" t="n">
        <f aca="false">R46+Answers!$C$20/100*W45</f>
        <v>38.3697453205248</v>
      </c>
      <c r="X46" s="60" t="n">
        <f aca="false">IF('Level 1'!$C$11="",0,'Level 1'!$C$11)*E46</f>
        <v>0</v>
      </c>
      <c r="Y46" s="60" t="n">
        <f aca="false">-IF('Level 2'!$C$11="",0,'Level 2'!$C$11)*F46</f>
        <v>-0</v>
      </c>
      <c r="Z46" s="60" t="n">
        <f aca="false">IF('Level 3'!$C$11="",0,'Level 3'!$C$11)*G46</f>
        <v>0</v>
      </c>
      <c r="AA46" s="60" t="n">
        <f aca="false">IF('Level 4'!$C$11="",0,'Level 4'!$C$11)*(1-'Level 4'!$C$12/100)*I46</f>
        <v>0</v>
      </c>
      <c r="AB46" s="60" t="n">
        <f aca="false">IF('Level 5'!$C$11="",0,'Level 5'!$C$11)*J46</f>
        <v>0</v>
      </c>
      <c r="AC46" s="60" t="n">
        <f aca="false">IF('Level 5'!$C$12="",0,'Level 5'!$C$12)*K46</f>
        <v>0</v>
      </c>
      <c r="AD46" s="60" t="n">
        <f aca="false">IF('Level 5'!$C$13="",0,'Level 5'!$C$13)*(1-Answers!$C$14/100)*M46</f>
        <v>0</v>
      </c>
      <c r="AE46" s="60" t="n">
        <f aca="false">IF('Level 6'!$C$11="",0,'Level 6'!$C$11)*(1-Answers!$C$16/100)*S46</f>
        <v>0</v>
      </c>
      <c r="AF46" s="60" t="n">
        <f aca="false">IF('Level 6'!$C$12="",0,'Level 6'!$C$12)*(1-Answers!$C$17/100)*T46</f>
        <v>0</v>
      </c>
      <c r="AG46" s="60" t="n">
        <f aca="false">IF('Level 6'!$C$13="",0,'Level 6'!$C$13)*(1-Answers!$C$18/100)*U46</f>
        <v>0</v>
      </c>
      <c r="AH46" s="60" t="n">
        <f aca="false">IF('Level 6'!$C$14="",0,'Level 6'!$C$14)*(1-Answers!$C$19/100)*V46</f>
        <v>0</v>
      </c>
      <c r="AI46" s="60" t="n">
        <f aca="false">IF('Level 6'!$C$15="",0,'Level 6'!$C$15)*(1-Answers!$C$20/100)*W46</f>
        <v>0</v>
      </c>
      <c r="AJ46" s="60" t="n">
        <f aca="false">X46</f>
        <v>0</v>
      </c>
      <c r="AK46" s="60" t="n">
        <f aca="false">X46+Y46</f>
        <v>0</v>
      </c>
      <c r="AL46" s="60" t="n">
        <f aca="false">AK46+Z46</f>
        <v>0</v>
      </c>
      <c r="AM46" s="60" t="n">
        <f aca="false">AL46+AA46</f>
        <v>0</v>
      </c>
      <c r="AN46" s="60" t="n">
        <f aca="false">AM46+AB46+AC46+AD46</f>
        <v>0</v>
      </c>
      <c r="AO46" s="60" t="n">
        <f aca="false">AL46+AE46+AF46+AG46+AH46+AI46+AB46+AC46+AD46</f>
        <v>0</v>
      </c>
      <c r="AP46" s="60" t="n">
        <f aca="false">IF(Answers!$C$22="Yes",AO46,AN46)</f>
        <v>0</v>
      </c>
      <c r="AQ46" s="60" t="n">
        <v>543.2</v>
      </c>
      <c r="AR46" s="60" t="n">
        <v>-979.3</v>
      </c>
      <c r="AS46" s="60" t="n">
        <v>0</v>
      </c>
      <c r="AT46" s="60" t="n">
        <v>542</v>
      </c>
      <c r="AU46" s="60" t="n">
        <v>395.8</v>
      </c>
      <c r="AV46" s="60" t="n">
        <v>1632.9</v>
      </c>
      <c r="AW46" s="60" t="n">
        <v>173.3</v>
      </c>
      <c r="AX46" s="60" t="n">
        <v>93.5</v>
      </c>
      <c r="AY46" s="60" t="n">
        <v>24.2</v>
      </c>
      <c r="AZ46" s="60" t="n">
        <v>72.2</v>
      </c>
      <c r="BA46" s="60" t="n">
        <v>7.5</v>
      </c>
      <c r="BB46" s="60" t="n">
        <v>344.5</v>
      </c>
      <c r="BC46" s="60" t="n">
        <f aca="false">AQ46+AR46+AS46+AT46+AU46+AV46+AW46</f>
        <v>2307.9</v>
      </c>
      <c r="BD46" s="60" t="n">
        <f aca="false">AQ46</f>
        <v>543.2</v>
      </c>
      <c r="BE46" s="60" t="n">
        <f aca="false">AQ46+AR46</f>
        <v>-436.1</v>
      </c>
      <c r="BF46" s="60" t="n">
        <f aca="false">BE46+AS46</f>
        <v>-436.1</v>
      </c>
      <c r="BG46" s="60" t="n">
        <f aca="false">BF46+AT46</f>
        <v>105.9</v>
      </c>
      <c r="BH46" s="60" t="n">
        <f aca="false">BG46+AU46+AV46+AW46</f>
        <v>2307.9</v>
      </c>
      <c r="BI46" s="60" t="n">
        <f aca="false">BC46</f>
        <v>2307.9</v>
      </c>
      <c r="BJ46" s="60" t="n">
        <f aca="false">IF('Level 1'!$C$31="Yes",BD46,AJ46)</f>
        <v>0</v>
      </c>
      <c r="BK46" s="60" t="n">
        <f aca="false">IF('Level 2'!$C$31="Yes",BE46,AK46)</f>
        <v>0</v>
      </c>
      <c r="BL46" s="60" t="n">
        <f aca="false">IF('Level 3'!$C$31="Yes",BF46,AL46)</f>
        <v>0</v>
      </c>
      <c r="BM46" s="60" t="n">
        <f aca="false">IF('Level 4'!$C$31="Yes",BG46,AM46)</f>
        <v>0</v>
      </c>
      <c r="BN46" s="60" t="n">
        <f aca="false">IF('Level 5'!$C$31="Yes",BH46,AN46)</f>
        <v>0</v>
      </c>
      <c r="BO46" s="60" t="n">
        <f aca="false">IF('Level 6'!$C$31="Yes",BI46,AO46)</f>
        <v>0</v>
      </c>
      <c r="BP46" s="60" t="n">
        <f aca="false">IF('Level 7'!$C$31="Yes",BC46,AP46)</f>
        <v>0</v>
      </c>
      <c r="BQ46" s="60" t="n">
        <f aca="false">D46-AP46</f>
        <v>354</v>
      </c>
      <c r="BR46" s="60" t="n">
        <f aca="false">BQ46^2</f>
        <v>125316</v>
      </c>
      <c r="BS46" s="60" t="n">
        <f aca="false">(BQ46-BQ45)^2</f>
        <v>841</v>
      </c>
      <c r="BT46" s="60" t="str">
        <f aca="false">IF(D46&gt;2000,ABS(BQ46)/D46,"")</f>
        <v/>
      </c>
      <c r="BU46" s="60" t="n">
        <v>227</v>
      </c>
      <c r="BV46" s="62" t="n">
        <v>0.5162</v>
      </c>
      <c r="BW46" s="60" t="n">
        <v>679.6</v>
      </c>
      <c r="BX46" s="60" t="n">
        <f aca="false">AA46</f>
        <v>0</v>
      </c>
      <c r="BY46" s="60" t="n">
        <f aca="false">H46</f>
        <v>0.59</v>
      </c>
      <c r="BZ46" s="60" t="n">
        <f aca="false">Z46</f>
        <v>0</v>
      </c>
      <c r="CA46" s="60" t="n">
        <f aca="false">AB46+AC46+AD46</f>
        <v>0</v>
      </c>
      <c r="CB46" s="60" t="n">
        <f aca="false">AE46+AF46+AG46+AH46+AI46</f>
        <v>0</v>
      </c>
    </row>
    <row r="47" customFormat="false" ht="15" hidden="false" customHeight="false" outlineLevel="0" collapsed="false">
      <c r="A47" s="58" t="n">
        <v>45221</v>
      </c>
      <c r="B47" s="59" t="n">
        <f aca="false">YEAR(A47)</f>
        <v>2023</v>
      </c>
      <c r="C47" s="59" t="n">
        <f aca="false">MONTH(A47)</f>
        <v>10</v>
      </c>
      <c r="D47" s="60" t="n">
        <v>283</v>
      </c>
      <c r="E47" s="61" t="n">
        <v>0.6238</v>
      </c>
      <c r="F47" s="61" t="n">
        <v>1.0282</v>
      </c>
      <c r="G47" s="61" t="n">
        <v>0</v>
      </c>
      <c r="H47" s="60" t="n">
        <v>0.36</v>
      </c>
      <c r="I47" s="60" t="n">
        <f aca="false">H47+'Level 4'!$C$12/100*I46</f>
        <v>0.36</v>
      </c>
      <c r="J47" s="60" t="n">
        <v>114.98</v>
      </c>
      <c r="K47" s="60" t="n">
        <v>88.16</v>
      </c>
      <c r="L47" s="60" t="n">
        <v>0</v>
      </c>
      <c r="M47" s="60" t="n">
        <f aca="false">L47+Answers!$C$14/100*M46</f>
        <v>314.468369423962</v>
      </c>
      <c r="N47" s="60" t="n">
        <v>0</v>
      </c>
      <c r="O47" s="60" t="n">
        <v>0</v>
      </c>
      <c r="P47" s="60" t="n">
        <v>0</v>
      </c>
      <c r="Q47" s="60" t="n">
        <v>0</v>
      </c>
      <c r="R47" s="60" t="n">
        <v>0.08</v>
      </c>
      <c r="S47" s="60" t="n">
        <f aca="false">N47+Answers!$C$16/100*S46</f>
        <v>8.73980870530944</v>
      </c>
      <c r="T47" s="60" t="n">
        <f aca="false">O47+Answers!$C$17/100*T46</f>
        <v>1.58309512472532</v>
      </c>
      <c r="U47" s="60" t="n">
        <f aca="false">P47+Answers!$C$18/100*U46</f>
        <v>8.5104710468123</v>
      </c>
      <c r="V47" s="60" t="n">
        <f aca="false">Q47+Answers!$C$19/100*V46</f>
        <v>1.5314567280359</v>
      </c>
      <c r="W47" s="60" t="n">
        <f aca="false">R47+Answers!$C$20/100*W46</f>
        <v>30.7757962564199</v>
      </c>
      <c r="X47" s="60" t="n">
        <f aca="false">IF('Level 1'!$C$11="",0,'Level 1'!$C$11)*E47</f>
        <v>0</v>
      </c>
      <c r="Y47" s="60" t="n">
        <f aca="false">-IF('Level 2'!$C$11="",0,'Level 2'!$C$11)*F47</f>
        <v>-0</v>
      </c>
      <c r="Z47" s="60" t="n">
        <f aca="false">IF('Level 3'!$C$11="",0,'Level 3'!$C$11)*G47</f>
        <v>0</v>
      </c>
      <c r="AA47" s="60" t="n">
        <f aca="false">IF('Level 4'!$C$11="",0,'Level 4'!$C$11)*(1-'Level 4'!$C$12/100)*I47</f>
        <v>0</v>
      </c>
      <c r="AB47" s="60" t="n">
        <f aca="false">IF('Level 5'!$C$11="",0,'Level 5'!$C$11)*J47</f>
        <v>0</v>
      </c>
      <c r="AC47" s="60" t="n">
        <f aca="false">IF('Level 5'!$C$12="",0,'Level 5'!$C$12)*K47</f>
        <v>0</v>
      </c>
      <c r="AD47" s="60" t="n">
        <f aca="false">IF('Level 5'!$C$13="",0,'Level 5'!$C$13)*(1-Answers!$C$14/100)*M47</f>
        <v>0</v>
      </c>
      <c r="AE47" s="60" t="n">
        <f aca="false">IF('Level 6'!$C$11="",0,'Level 6'!$C$11)*(1-Answers!$C$16/100)*S47</f>
        <v>0</v>
      </c>
      <c r="AF47" s="60" t="n">
        <f aca="false">IF('Level 6'!$C$12="",0,'Level 6'!$C$12)*(1-Answers!$C$17/100)*T47</f>
        <v>0</v>
      </c>
      <c r="AG47" s="60" t="n">
        <f aca="false">IF('Level 6'!$C$13="",0,'Level 6'!$C$13)*(1-Answers!$C$18/100)*U47</f>
        <v>0</v>
      </c>
      <c r="AH47" s="60" t="n">
        <f aca="false">IF('Level 6'!$C$14="",0,'Level 6'!$C$14)*(1-Answers!$C$19/100)*V47</f>
        <v>0</v>
      </c>
      <c r="AI47" s="60" t="n">
        <f aca="false">IF('Level 6'!$C$15="",0,'Level 6'!$C$15)*(1-Answers!$C$20/100)*W47</f>
        <v>0</v>
      </c>
      <c r="AJ47" s="60" t="n">
        <f aca="false">X47</f>
        <v>0</v>
      </c>
      <c r="AK47" s="60" t="n">
        <f aca="false">X47+Y47</f>
        <v>0</v>
      </c>
      <c r="AL47" s="60" t="n">
        <f aca="false">AK47+Z47</f>
        <v>0</v>
      </c>
      <c r="AM47" s="60" t="n">
        <f aca="false">AL47+AA47</f>
        <v>0</v>
      </c>
      <c r="AN47" s="60" t="n">
        <f aca="false">AM47+AB47+AC47+AD47</f>
        <v>0</v>
      </c>
      <c r="AO47" s="60" t="n">
        <f aca="false">AL47+AE47+AF47+AG47+AH47+AI47+AB47+AC47+AD47</f>
        <v>0</v>
      </c>
      <c r="AP47" s="60" t="n">
        <f aca="false">IF(Answers!$C$22="Yes",AO47,AN47)</f>
        <v>0</v>
      </c>
      <c r="AQ47" s="60" t="n">
        <v>546.2</v>
      </c>
      <c r="AR47" s="60" t="n">
        <v>-979.3</v>
      </c>
      <c r="AS47" s="60" t="n">
        <v>0</v>
      </c>
      <c r="AT47" s="60" t="n">
        <v>494.5</v>
      </c>
      <c r="AU47" s="60" t="n">
        <v>397.8</v>
      </c>
      <c r="AV47" s="60" t="n">
        <v>325.3</v>
      </c>
      <c r="AW47" s="60" t="n">
        <v>112.6</v>
      </c>
      <c r="AX47" s="60" t="n">
        <v>79.5</v>
      </c>
      <c r="AY47" s="60" t="n">
        <v>20.6</v>
      </c>
      <c r="AZ47" s="60" t="n">
        <v>61.4</v>
      </c>
      <c r="BA47" s="60" t="n">
        <v>6.4</v>
      </c>
      <c r="BB47" s="60" t="n">
        <v>326.7</v>
      </c>
      <c r="BC47" s="60" t="n">
        <f aca="false">AQ47+AR47+AS47+AT47+AU47+AV47+AW47</f>
        <v>897.1</v>
      </c>
      <c r="BD47" s="60" t="n">
        <f aca="false">AQ47</f>
        <v>546.2</v>
      </c>
      <c r="BE47" s="60" t="n">
        <f aca="false">AQ47+AR47</f>
        <v>-433.1</v>
      </c>
      <c r="BF47" s="60" t="n">
        <f aca="false">BE47+AS47</f>
        <v>-433.1</v>
      </c>
      <c r="BG47" s="60" t="n">
        <f aca="false">BF47+AT47</f>
        <v>61.4000000000001</v>
      </c>
      <c r="BH47" s="60" t="n">
        <f aca="false">BG47+AU47+AV47+AW47</f>
        <v>897.1</v>
      </c>
      <c r="BI47" s="60" t="n">
        <f aca="false">BC47</f>
        <v>897.1</v>
      </c>
      <c r="BJ47" s="60" t="n">
        <f aca="false">IF('Level 1'!$C$31="Yes",BD47,AJ47)</f>
        <v>0</v>
      </c>
      <c r="BK47" s="60" t="n">
        <f aca="false">IF('Level 2'!$C$31="Yes",BE47,AK47)</f>
        <v>0</v>
      </c>
      <c r="BL47" s="60" t="n">
        <f aca="false">IF('Level 3'!$C$31="Yes",BF47,AL47)</f>
        <v>0</v>
      </c>
      <c r="BM47" s="60" t="n">
        <f aca="false">IF('Level 4'!$C$31="Yes",BG47,AM47)</f>
        <v>0</v>
      </c>
      <c r="BN47" s="60" t="n">
        <f aca="false">IF('Level 5'!$C$31="Yes",BH47,AN47)</f>
        <v>0</v>
      </c>
      <c r="BO47" s="60" t="n">
        <f aca="false">IF('Level 6'!$C$31="Yes",BI47,AO47)</f>
        <v>0</v>
      </c>
      <c r="BP47" s="60" t="n">
        <f aca="false">IF('Level 7'!$C$31="Yes",BC47,AP47)</f>
        <v>0</v>
      </c>
      <c r="BQ47" s="60" t="n">
        <f aca="false">D47-AP47</f>
        <v>283</v>
      </c>
      <c r="BR47" s="60" t="n">
        <f aca="false">BQ47^2</f>
        <v>80089</v>
      </c>
      <c r="BS47" s="60" t="n">
        <f aca="false">(BQ47-BQ46)^2</f>
        <v>5041</v>
      </c>
      <c r="BT47" s="60" t="str">
        <f aca="false">IF(D47&gt;2000,ABS(BQ47)/D47,"")</f>
        <v/>
      </c>
      <c r="BU47" s="60" t="n">
        <v>196</v>
      </c>
      <c r="BV47" s="62" t="n">
        <v>0.5162</v>
      </c>
      <c r="BW47" s="60" t="n">
        <v>383.4</v>
      </c>
      <c r="BX47" s="60" t="n">
        <f aca="false">AA47</f>
        <v>0</v>
      </c>
      <c r="BY47" s="60" t="n">
        <f aca="false">H47</f>
        <v>0.36</v>
      </c>
      <c r="BZ47" s="60" t="n">
        <f aca="false">Z47</f>
        <v>0</v>
      </c>
      <c r="CA47" s="60" t="n">
        <f aca="false">AB47+AC47+AD47</f>
        <v>0</v>
      </c>
      <c r="CB47" s="60" t="n">
        <f aca="false">AE47+AF47+AG47+AH47+AI47</f>
        <v>0</v>
      </c>
    </row>
    <row r="48" customFormat="false" ht="15" hidden="false" customHeight="false" outlineLevel="0" collapsed="false">
      <c r="A48" s="58" t="n">
        <v>45228</v>
      </c>
      <c r="B48" s="59" t="n">
        <f aca="false">YEAR(A48)</f>
        <v>2023</v>
      </c>
      <c r="C48" s="59" t="n">
        <f aca="false">MONTH(A48)</f>
        <v>10</v>
      </c>
      <c r="D48" s="60" t="n">
        <v>224</v>
      </c>
      <c r="E48" s="61" t="n">
        <v>0.6286</v>
      </c>
      <c r="F48" s="61" t="n">
        <v>1.0282</v>
      </c>
      <c r="G48" s="61" t="n">
        <v>0</v>
      </c>
      <c r="H48" s="60" t="n">
        <v>0.38</v>
      </c>
      <c r="I48" s="60" t="n">
        <f aca="false">H48+'Level 4'!$C$12/100*I47</f>
        <v>0.38</v>
      </c>
      <c r="J48" s="60" t="n">
        <v>103.71</v>
      </c>
      <c r="K48" s="60" t="n">
        <v>389.11</v>
      </c>
      <c r="L48" s="60" t="n">
        <v>0</v>
      </c>
      <c r="M48" s="60" t="n">
        <f aca="false">L48+Answers!$C$14/100*M47</f>
        <v>188.681021654377</v>
      </c>
      <c r="N48" s="60" t="n">
        <v>0</v>
      </c>
      <c r="O48" s="60" t="n">
        <v>0</v>
      </c>
      <c r="P48" s="60" t="n">
        <v>0</v>
      </c>
      <c r="Q48" s="60" t="n">
        <v>0</v>
      </c>
      <c r="R48" s="60" t="n">
        <v>0.16</v>
      </c>
      <c r="S48" s="60" t="n">
        <f aca="false">N48+Answers!$C$16/100*S47</f>
        <v>6.99184696424755</v>
      </c>
      <c r="T48" s="60" t="n">
        <f aca="false">O48+Answers!$C$17/100*T47</f>
        <v>1.26647609978026</v>
      </c>
      <c r="U48" s="60" t="n">
        <f aca="false">P48+Answers!$C$18/100*U47</f>
        <v>6.80837683744984</v>
      </c>
      <c r="V48" s="60" t="n">
        <f aca="false">Q48+Answers!$C$19/100*V47</f>
        <v>1.22516538242872</v>
      </c>
      <c r="W48" s="60" t="n">
        <f aca="false">R48+Answers!$C$20/100*W47</f>
        <v>24.7806370051359</v>
      </c>
      <c r="X48" s="60" t="n">
        <f aca="false">IF('Level 1'!$C$11="",0,'Level 1'!$C$11)*E48</f>
        <v>0</v>
      </c>
      <c r="Y48" s="60" t="n">
        <f aca="false">-IF('Level 2'!$C$11="",0,'Level 2'!$C$11)*F48</f>
        <v>-0</v>
      </c>
      <c r="Z48" s="60" t="n">
        <f aca="false">IF('Level 3'!$C$11="",0,'Level 3'!$C$11)*G48</f>
        <v>0</v>
      </c>
      <c r="AA48" s="60" t="n">
        <f aca="false">IF('Level 4'!$C$11="",0,'Level 4'!$C$11)*(1-'Level 4'!$C$12/100)*I48</f>
        <v>0</v>
      </c>
      <c r="AB48" s="60" t="n">
        <f aca="false">IF('Level 5'!$C$11="",0,'Level 5'!$C$11)*J48</f>
        <v>0</v>
      </c>
      <c r="AC48" s="60" t="n">
        <f aca="false">IF('Level 5'!$C$12="",0,'Level 5'!$C$12)*K48</f>
        <v>0</v>
      </c>
      <c r="AD48" s="60" t="n">
        <f aca="false">IF('Level 5'!$C$13="",0,'Level 5'!$C$13)*(1-Answers!$C$14/100)*M48</f>
        <v>0</v>
      </c>
      <c r="AE48" s="60" t="n">
        <f aca="false">IF('Level 6'!$C$11="",0,'Level 6'!$C$11)*(1-Answers!$C$16/100)*S48</f>
        <v>0</v>
      </c>
      <c r="AF48" s="60" t="n">
        <f aca="false">IF('Level 6'!$C$12="",0,'Level 6'!$C$12)*(1-Answers!$C$17/100)*T48</f>
        <v>0</v>
      </c>
      <c r="AG48" s="60" t="n">
        <f aca="false">IF('Level 6'!$C$13="",0,'Level 6'!$C$13)*(1-Answers!$C$18/100)*U48</f>
        <v>0</v>
      </c>
      <c r="AH48" s="60" t="n">
        <f aca="false">IF('Level 6'!$C$14="",0,'Level 6'!$C$14)*(1-Answers!$C$19/100)*V48</f>
        <v>0</v>
      </c>
      <c r="AI48" s="60" t="n">
        <f aca="false">IF('Level 6'!$C$15="",0,'Level 6'!$C$15)*(1-Answers!$C$20/100)*W48</f>
        <v>0</v>
      </c>
      <c r="AJ48" s="60" t="n">
        <f aca="false">X48</f>
        <v>0</v>
      </c>
      <c r="AK48" s="60" t="n">
        <f aca="false">X48+Y48</f>
        <v>0</v>
      </c>
      <c r="AL48" s="60" t="n">
        <f aca="false">AK48+Z48</f>
        <v>0</v>
      </c>
      <c r="AM48" s="60" t="n">
        <f aca="false">AL48+AA48</f>
        <v>0</v>
      </c>
      <c r="AN48" s="60" t="n">
        <f aca="false">AM48+AB48+AC48+AD48</f>
        <v>0</v>
      </c>
      <c r="AO48" s="60" t="n">
        <f aca="false">AL48+AE48+AF48+AG48+AH48+AI48+AB48+AC48+AD48</f>
        <v>0</v>
      </c>
      <c r="AP48" s="60" t="n">
        <f aca="false">IF(Answers!$C$22="Yes",AO48,AN48)</f>
        <v>0</v>
      </c>
      <c r="AQ48" s="60" t="n">
        <v>550.4</v>
      </c>
      <c r="AR48" s="60" t="n">
        <v>-979.3</v>
      </c>
      <c r="AS48" s="60" t="n">
        <v>0</v>
      </c>
      <c r="AT48" s="60" t="n">
        <v>456.5</v>
      </c>
      <c r="AU48" s="60" t="n">
        <v>342.1</v>
      </c>
      <c r="AV48" s="60" t="n">
        <v>1435.9</v>
      </c>
      <c r="AW48" s="60" t="n">
        <v>73.2</v>
      </c>
      <c r="AX48" s="60" t="n">
        <v>67.6</v>
      </c>
      <c r="AY48" s="60" t="n">
        <v>17.5</v>
      </c>
      <c r="AZ48" s="60" t="n">
        <v>52.2</v>
      </c>
      <c r="BA48" s="60" t="n">
        <v>5.4</v>
      </c>
      <c r="BB48" s="60" t="n">
        <v>313.8</v>
      </c>
      <c r="BC48" s="60" t="n">
        <f aca="false">AQ48+AR48+AS48+AT48+AU48+AV48+AW48</f>
        <v>1878.8</v>
      </c>
      <c r="BD48" s="60" t="n">
        <f aca="false">AQ48</f>
        <v>550.4</v>
      </c>
      <c r="BE48" s="60" t="n">
        <f aca="false">AQ48+AR48</f>
        <v>-428.9</v>
      </c>
      <c r="BF48" s="60" t="n">
        <f aca="false">BE48+AS48</f>
        <v>-428.9</v>
      </c>
      <c r="BG48" s="60" t="n">
        <f aca="false">BF48+AT48</f>
        <v>27.6</v>
      </c>
      <c r="BH48" s="60" t="n">
        <f aca="false">BG48+AU48+AV48+AW48</f>
        <v>1878.8</v>
      </c>
      <c r="BI48" s="60" t="n">
        <f aca="false">BC48</f>
        <v>1878.8</v>
      </c>
      <c r="BJ48" s="60" t="n">
        <f aca="false">IF('Level 1'!$C$31="Yes",BD48,AJ48)</f>
        <v>0</v>
      </c>
      <c r="BK48" s="60" t="n">
        <f aca="false">IF('Level 2'!$C$31="Yes",BE48,AK48)</f>
        <v>0</v>
      </c>
      <c r="BL48" s="60" t="n">
        <f aca="false">IF('Level 3'!$C$31="Yes",BF48,AL48)</f>
        <v>0</v>
      </c>
      <c r="BM48" s="60" t="n">
        <f aca="false">IF('Level 4'!$C$31="Yes",BG48,AM48)</f>
        <v>0</v>
      </c>
      <c r="BN48" s="60" t="n">
        <f aca="false">IF('Level 5'!$C$31="Yes",BH48,AN48)</f>
        <v>0</v>
      </c>
      <c r="BO48" s="60" t="n">
        <f aca="false">IF('Level 6'!$C$31="Yes",BI48,AO48)</f>
        <v>0</v>
      </c>
      <c r="BP48" s="60" t="n">
        <f aca="false">IF('Level 7'!$C$31="Yes",BC48,AP48)</f>
        <v>0</v>
      </c>
      <c r="BQ48" s="60" t="n">
        <f aca="false">D48-AP48</f>
        <v>224</v>
      </c>
      <c r="BR48" s="60" t="n">
        <f aca="false">BQ48^2</f>
        <v>50176</v>
      </c>
      <c r="BS48" s="60" t="n">
        <f aca="false">(BQ48-BQ47)^2</f>
        <v>3481</v>
      </c>
      <c r="BT48" s="60" t="str">
        <f aca="false">IF(D48&gt;2000,ABS(BQ48)/D48,"")</f>
        <v/>
      </c>
      <c r="BU48" s="60" t="n">
        <v>173</v>
      </c>
      <c r="BV48" s="62" t="n">
        <v>0.5277</v>
      </c>
      <c r="BW48" s="60" t="n">
        <v>699.9</v>
      </c>
      <c r="BX48" s="60" t="n">
        <f aca="false">AA48</f>
        <v>0</v>
      </c>
      <c r="BY48" s="60" t="n">
        <f aca="false">H48</f>
        <v>0.38</v>
      </c>
      <c r="BZ48" s="60" t="n">
        <f aca="false">Z48</f>
        <v>0</v>
      </c>
      <c r="CA48" s="60" t="n">
        <f aca="false">AB48+AC48+AD48</f>
        <v>0</v>
      </c>
      <c r="CB48" s="60" t="n">
        <f aca="false">AE48+AF48+AG48+AH48+AI48</f>
        <v>0</v>
      </c>
    </row>
    <row r="49" customFormat="false" ht="15" hidden="false" customHeight="false" outlineLevel="0" collapsed="false">
      <c r="A49" s="58" t="n">
        <v>45235</v>
      </c>
      <c r="B49" s="59" t="n">
        <f aca="false">YEAR(A49)</f>
        <v>2023</v>
      </c>
      <c r="C49" s="59" t="n">
        <f aca="false">MONTH(A49)</f>
        <v>11</v>
      </c>
      <c r="D49" s="60" t="n">
        <v>199</v>
      </c>
      <c r="E49" s="61" t="n">
        <v>0.6334</v>
      </c>
      <c r="F49" s="61" t="n">
        <v>1.0282</v>
      </c>
      <c r="G49" s="61" t="n">
        <v>0</v>
      </c>
      <c r="H49" s="60" t="n">
        <v>0.31</v>
      </c>
      <c r="I49" s="60" t="n">
        <f aca="false">H49+'Level 4'!$C$12/100*I48</f>
        <v>0.31</v>
      </c>
      <c r="J49" s="60" t="n">
        <v>170.77</v>
      </c>
      <c r="K49" s="60" t="n">
        <v>79.06</v>
      </c>
      <c r="L49" s="60" t="n">
        <v>0</v>
      </c>
      <c r="M49" s="60" t="n">
        <f aca="false">L49+Answers!$C$14/100*M48</f>
        <v>113.208612992626</v>
      </c>
      <c r="N49" s="60" t="n">
        <v>0</v>
      </c>
      <c r="O49" s="60" t="n">
        <v>0</v>
      </c>
      <c r="P49" s="60" t="n">
        <v>0</v>
      </c>
      <c r="Q49" s="60" t="n">
        <v>0</v>
      </c>
      <c r="R49" s="60" t="n">
        <v>0.11</v>
      </c>
      <c r="S49" s="60" t="n">
        <f aca="false">N49+Answers!$C$16/100*S48</f>
        <v>5.59347757139804</v>
      </c>
      <c r="T49" s="60" t="n">
        <f aca="false">O49+Answers!$C$17/100*T48</f>
        <v>1.01318087982421</v>
      </c>
      <c r="U49" s="60" t="n">
        <f aca="false">P49+Answers!$C$18/100*U48</f>
        <v>5.44670146995988</v>
      </c>
      <c r="V49" s="60" t="n">
        <f aca="false">Q49+Answers!$C$19/100*V48</f>
        <v>0.980132305942973</v>
      </c>
      <c r="W49" s="60" t="n">
        <f aca="false">R49+Answers!$C$20/100*W48</f>
        <v>19.9345096041087</v>
      </c>
      <c r="X49" s="60" t="n">
        <f aca="false">IF('Level 1'!$C$11="",0,'Level 1'!$C$11)*E49</f>
        <v>0</v>
      </c>
      <c r="Y49" s="60" t="n">
        <f aca="false">-IF('Level 2'!$C$11="",0,'Level 2'!$C$11)*F49</f>
        <v>-0</v>
      </c>
      <c r="Z49" s="60" t="n">
        <f aca="false">IF('Level 3'!$C$11="",0,'Level 3'!$C$11)*G49</f>
        <v>0</v>
      </c>
      <c r="AA49" s="60" t="n">
        <f aca="false">IF('Level 4'!$C$11="",0,'Level 4'!$C$11)*(1-'Level 4'!$C$12/100)*I49</f>
        <v>0</v>
      </c>
      <c r="AB49" s="60" t="n">
        <f aca="false">IF('Level 5'!$C$11="",0,'Level 5'!$C$11)*J49</f>
        <v>0</v>
      </c>
      <c r="AC49" s="60" t="n">
        <f aca="false">IF('Level 5'!$C$12="",0,'Level 5'!$C$12)*K49</f>
        <v>0</v>
      </c>
      <c r="AD49" s="60" t="n">
        <f aca="false">IF('Level 5'!$C$13="",0,'Level 5'!$C$13)*(1-Answers!$C$14/100)*M49</f>
        <v>0</v>
      </c>
      <c r="AE49" s="60" t="n">
        <f aca="false">IF('Level 6'!$C$11="",0,'Level 6'!$C$11)*(1-Answers!$C$16/100)*S49</f>
        <v>0</v>
      </c>
      <c r="AF49" s="60" t="n">
        <f aca="false">IF('Level 6'!$C$12="",0,'Level 6'!$C$12)*(1-Answers!$C$17/100)*T49</f>
        <v>0</v>
      </c>
      <c r="AG49" s="60" t="n">
        <f aca="false">IF('Level 6'!$C$13="",0,'Level 6'!$C$13)*(1-Answers!$C$18/100)*U49</f>
        <v>0</v>
      </c>
      <c r="AH49" s="60" t="n">
        <f aca="false">IF('Level 6'!$C$14="",0,'Level 6'!$C$14)*(1-Answers!$C$19/100)*V49</f>
        <v>0</v>
      </c>
      <c r="AI49" s="60" t="n">
        <f aca="false">IF('Level 6'!$C$15="",0,'Level 6'!$C$15)*(1-Answers!$C$20/100)*W49</f>
        <v>0</v>
      </c>
      <c r="AJ49" s="60" t="n">
        <f aca="false">X49</f>
        <v>0</v>
      </c>
      <c r="AK49" s="60" t="n">
        <f aca="false">X49+Y49</f>
        <v>0</v>
      </c>
      <c r="AL49" s="60" t="n">
        <f aca="false">AK49+Z49</f>
        <v>0</v>
      </c>
      <c r="AM49" s="60" t="n">
        <f aca="false">AL49+AA49</f>
        <v>0</v>
      </c>
      <c r="AN49" s="60" t="n">
        <f aca="false">AM49+AB49+AC49+AD49</f>
        <v>0</v>
      </c>
      <c r="AO49" s="60" t="n">
        <f aca="false">AL49+AE49+AF49+AG49+AH49+AI49+AB49+AC49+AD49</f>
        <v>0</v>
      </c>
      <c r="AP49" s="60" t="n">
        <f aca="false">IF(Answers!$C$22="Yes",AO49,AN49)</f>
        <v>0</v>
      </c>
      <c r="AQ49" s="60" t="n">
        <v>554.6</v>
      </c>
      <c r="AR49" s="60" t="n">
        <v>-979.3</v>
      </c>
      <c r="AS49" s="60" t="n">
        <v>0</v>
      </c>
      <c r="AT49" s="60" t="n">
        <v>392.5</v>
      </c>
      <c r="AU49" s="60" t="n">
        <v>602.1</v>
      </c>
      <c r="AV49" s="60" t="n">
        <v>291.7</v>
      </c>
      <c r="AW49" s="60" t="n">
        <v>47.6</v>
      </c>
      <c r="AX49" s="60" t="n">
        <v>57.4</v>
      </c>
      <c r="AY49" s="60" t="n">
        <v>14.9</v>
      </c>
      <c r="AZ49" s="60" t="n">
        <v>44.4</v>
      </c>
      <c r="BA49" s="60" t="n">
        <v>4.6</v>
      </c>
      <c r="BB49" s="60" t="n">
        <v>271.3</v>
      </c>
      <c r="BC49" s="60" t="n">
        <f aca="false">AQ49+AR49+AS49+AT49+AU49+AV49+AW49</f>
        <v>909.2</v>
      </c>
      <c r="BD49" s="60" t="n">
        <f aca="false">AQ49</f>
        <v>554.6</v>
      </c>
      <c r="BE49" s="60" t="n">
        <f aca="false">AQ49+AR49</f>
        <v>-424.7</v>
      </c>
      <c r="BF49" s="60" t="n">
        <f aca="false">BE49+AS49</f>
        <v>-424.7</v>
      </c>
      <c r="BG49" s="60" t="n">
        <f aca="false">BF49+AT49</f>
        <v>-32.1999999999999</v>
      </c>
      <c r="BH49" s="60" t="n">
        <f aca="false">BG49+AU49+AV49+AW49</f>
        <v>909.2</v>
      </c>
      <c r="BI49" s="60" t="n">
        <f aca="false">BC49</f>
        <v>909.2</v>
      </c>
      <c r="BJ49" s="60" t="n">
        <f aca="false">IF('Level 1'!$C$31="Yes",BD49,AJ49)</f>
        <v>0</v>
      </c>
      <c r="BK49" s="60" t="n">
        <f aca="false">IF('Level 2'!$C$31="Yes",BE49,AK49)</f>
        <v>0</v>
      </c>
      <c r="BL49" s="60" t="n">
        <f aca="false">IF('Level 3'!$C$31="Yes",BF49,AL49)</f>
        <v>0</v>
      </c>
      <c r="BM49" s="60" t="n">
        <f aca="false">IF('Level 4'!$C$31="Yes",BG49,AM49)</f>
        <v>0</v>
      </c>
      <c r="BN49" s="60" t="n">
        <f aca="false">IF('Level 5'!$C$31="Yes",BH49,AN49)</f>
        <v>0</v>
      </c>
      <c r="BO49" s="60" t="n">
        <f aca="false">IF('Level 6'!$C$31="Yes",BI49,AO49)</f>
        <v>0</v>
      </c>
      <c r="BP49" s="60" t="n">
        <f aca="false">IF('Level 7'!$C$31="Yes",BC49,AP49)</f>
        <v>0</v>
      </c>
      <c r="BQ49" s="60" t="n">
        <f aca="false">D49-AP49</f>
        <v>199</v>
      </c>
      <c r="BR49" s="60" t="n">
        <f aca="false">BQ49^2</f>
        <v>39601</v>
      </c>
      <c r="BS49" s="60" t="n">
        <f aca="false">(BQ49-BQ48)^2</f>
        <v>625</v>
      </c>
      <c r="BT49" s="60" t="str">
        <f aca="false">IF(D49&gt;2000,ABS(BQ49)/D49,"")</f>
        <v/>
      </c>
      <c r="BU49" s="60" t="n">
        <v>327</v>
      </c>
      <c r="BV49" s="62" t="n">
        <v>0.5322</v>
      </c>
      <c r="BW49" s="60" t="n">
        <v>409.7</v>
      </c>
      <c r="BX49" s="60" t="n">
        <f aca="false">AA49</f>
        <v>0</v>
      </c>
      <c r="BY49" s="60" t="n">
        <f aca="false">H49</f>
        <v>0.31</v>
      </c>
      <c r="BZ49" s="60" t="n">
        <f aca="false">Z49</f>
        <v>0</v>
      </c>
      <c r="CA49" s="60" t="n">
        <f aca="false">AB49+AC49+AD49</f>
        <v>0</v>
      </c>
      <c r="CB49" s="60" t="n">
        <f aca="false">AE49+AF49+AG49+AH49+AI49</f>
        <v>0</v>
      </c>
    </row>
    <row r="50" customFormat="false" ht="15" hidden="false" customHeight="false" outlineLevel="0" collapsed="false">
      <c r="A50" s="58" t="n">
        <v>45242</v>
      </c>
      <c r="B50" s="59" t="n">
        <f aca="false">YEAR(A50)</f>
        <v>2023</v>
      </c>
      <c r="C50" s="59" t="n">
        <f aca="false">MONTH(A50)</f>
        <v>11</v>
      </c>
      <c r="D50" s="60" t="n">
        <v>143</v>
      </c>
      <c r="E50" s="61" t="n">
        <v>0.6382</v>
      </c>
      <c r="F50" s="61" t="n">
        <v>1.0282</v>
      </c>
      <c r="G50" s="61" t="n">
        <v>0</v>
      </c>
      <c r="H50" s="60" t="n">
        <v>0.2</v>
      </c>
      <c r="I50" s="60" t="n">
        <f aca="false">H50+'Level 4'!$C$12/100*I49</f>
        <v>0.2</v>
      </c>
      <c r="J50" s="60" t="n">
        <v>153.21</v>
      </c>
      <c r="K50" s="60" t="n">
        <v>49.25</v>
      </c>
      <c r="L50" s="60" t="n">
        <v>0</v>
      </c>
      <c r="M50" s="60" t="n">
        <f aca="false">L50+Answers!$C$14/100*M49</f>
        <v>67.9251677955757</v>
      </c>
      <c r="N50" s="60" t="n">
        <v>0</v>
      </c>
      <c r="O50" s="60" t="n">
        <v>0</v>
      </c>
      <c r="P50" s="60" t="n">
        <v>0</v>
      </c>
      <c r="Q50" s="60" t="n">
        <v>0</v>
      </c>
      <c r="R50" s="60" t="n">
        <v>0.05</v>
      </c>
      <c r="S50" s="60" t="n">
        <f aca="false">N50+Answers!$C$16/100*S49</f>
        <v>4.47478205711844</v>
      </c>
      <c r="T50" s="60" t="n">
        <f aca="false">O50+Answers!$C$17/100*T49</f>
        <v>0.810544703859364</v>
      </c>
      <c r="U50" s="60" t="n">
        <f aca="false">P50+Answers!$C$18/100*U49</f>
        <v>4.3573611759679</v>
      </c>
      <c r="V50" s="60" t="n">
        <f aca="false">Q50+Answers!$C$19/100*V49</f>
        <v>0.784105844754379</v>
      </c>
      <c r="W50" s="60" t="n">
        <f aca="false">R50+Answers!$C$20/100*W49</f>
        <v>15.997607683287</v>
      </c>
      <c r="X50" s="60" t="n">
        <f aca="false">IF('Level 1'!$C$11="",0,'Level 1'!$C$11)*E50</f>
        <v>0</v>
      </c>
      <c r="Y50" s="60" t="n">
        <f aca="false">-IF('Level 2'!$C$11="",0,'Level 2'!$C$11)*F50</f>
        <v>-0</v>
      </c>
      <c r="Z50" s="60" t="n">
        <f aca="false">IF('Level 3'!$C$11="",0,'Level 3'!$C$11)*G50</f>
        <v>0</v>
      </c>
      <c r="AA50" s="60" t="n">
        <f aca="false">IF('Level 4'!$C$11="",0,'Level 4'!$C$11)*(1-'Level 4'!$C$12/100)*I50</f>
        <v>0</v>
      </c>
      <c r="AB50" s="60" t="n">
        <f aca="false">IF('Level 5'!$C$11="",0,'Level 5'!$C$11)*J50</f>
        <v>0</v>
      </c>
      <c r="AC50" s="60" t="n">
        <f aca="false">IF('Level 5'!$C$12="",0,'Level 5'!$C$12)*K50</f>
        <v>0</v>
      </c>
      <c r="AD50" s="60" t="n">
        <f aca="false">IF('Level 5'!$C$13="",0,'Level 5'!$C$13)*(1-Answers!$C$14/100)*M50</f>
        <v>0</v>
      </c>
      <c r="AE50" s="60" t="n">
        <f aca="false">IF('Level 6'!$C$11="",0,'Level 6'!$C$11)*(1-Answers!$C$16/100)*S50</f>
        <v>0</v>
      </c>
      <c r="AF50" s="60" t="n">
        <f aca="false">IF('Level 6'!$C$12="",0,'Level 6'!$C$12)*(1-Answers!$C$17/100)*T50</f>
        <v>0</v>
      </c>
      <c r="AG50" s="60" t="n">
        <f aca="false">IF('Level 6'!$C$13="",0,'Level 6'!$C$13)*(1-Answers!$C$18/100)*U50</f>
        <v>0</v>
      </c>
      <c r="AH50" s="60" t="n">
        <f aca="false">IF('Level 6'!$C$14="",0,'Level 6'!$C$14)*(1-Answers!$C$19/100)*V50</f>
        <v>0</v>
      </c>
      <c r="AI50" s="60" t="n">
        <f aca="false">IF('Level 6'!$C$15="",0,'Level 6'!$C$15)*(1-Answers!$C$20/100)*W50</f>
        <v>0</v>
      </c>
      <c r="AJ50" s="60" t="n">
        <f aca="false">X50</f>
        <v>0</v>
      </c>
      <c r="AK50" s="60" t="n">
        <f aca="false">X50+Y50</f>
        <v>0</v>
      </c>
      <c r="AL50" s="60" t="n">
        <f aca="false">AK50+Z50</f>
        <v>0</v>
      </c>
      <c r="AM50" s="60" t="n">
        <f aca="false">AL50+AA50</f>
        <v>0</v>
      </c>
      <c r="AN50" s="60" t="n">
        <f aca="false">AM50+AB50+AC50+AD50</f>
        <v>0</v>
      </c>
      <c r="AO50" s="60" t="n">
        <f aca="false">AL50+AE50+AF50+AG50+AH50+AI50+AB50+AC50+AD50</f>
        <v>0</v>
      </c>
      <c r="AP50" s="60" t="n">
        <f aca="false">IF(Answers!$C$22="Yes",AO50,AN50)</f>
        <v>0</v>
      </c>
      <c r="AQ50" s="60" t="n">
        <v>558.8</v>
      </c>
      <c r="AR50" s="60" t="n">
        <v>-979.3</v>
      </c>
      <c r="AS50" s="60" t="n">
        <v>0</v>
      </c>
      <c r="AT50" s="60" t="n">
        <v>333.8</v>
      </c>
      <c r="AU50" s="60" t="n">
        <v>527.8</v>
      </c>
      <c r="AV50" s="60" t="n">
        <v>181.8</v>
      </c>
      <c r="AW50" s="60" t="n">
        <v>30.9</v>
      </c>
      <c r="AX50" s="60" t="n">
        <v>48.8</v>
      </c>
      <c r="AY50" s="60" t="n">
        <v>12.6</v>
      </c>
      <c r="AZ50" s="60" t="n">
        <v>37.7</v>
      </c>
      <c r="BA50" s="60" t="n">
        <v>3.9</v>
      </c>
      <c r="BB50" s="60" t="n">
        <v>230.7</v>
      </c>
      <c r="BC50" s="60" t="n">
        <f aca="false">AQ50+AR50+AS50+AT50+AU50+AV50+AW50</f>
        <v>653.8</v>
      </c>
      <c r="BD50" s="60" t="n">
        <f aca="false">AQ50</f>
        <v>558.8</v>
      </c>
      <c r="BE50" s="60" t="n">
        <f aca="false">AQ50+AR50</f>
        <v>-420.5</v>
      </c>
      <c r="BF50" s="60" t="n">
        <f aca="false">BE50+AS50</f>
        <v>-420.5</v>
      </c>
      <c r="BG50" s="60" t="n">
        <f aca="false">BF50+AT50</f>
        <v>-86.7</v>
      </c>
      <c r="BH50" s="60" t="n">
        <f aca="false">BG50+AU50+AV50+AW50</f>
        <v>653.8</v>
      </c>
      <c r="BI50" s="60" t="n">
        <f aca="false">BC50</f>
        <v>653.8</v>
      </c>
      <c r="BJ50" s="60" t="n">
        <f aca="false">IF('Level 1'!$C$31="Yes",BD50,AJ50)</f>
        <v>0</v>
      </c>
      <c r="BK50" s="60" t="n">
        <f aca="false">IF('Level 2'!$C$31="Yes",BE50,AK50)</f>
        <v>0</v>
      </c>
      <c r="BL50" s="60" t="n">
        <f aca="false">IF('Level 3'!$C$31="Yes",BF50,AL50)</f>
        <v>0</v>
      </c>
      <c r="BM50" s="60" t="n">
        <f aca="false">IF('Level 4'!$C$31="Yes",BG50,AM50)</f>
        <v>0</v>
      </c>
      <c r="BN50" s="60" t="n">
        <f aca="false">IF('Level 5'!$C$31="Yes",BH50,AN50)</f>
        <v>0</v>
      </c>
      <c r="BO50" s="60" t="n">
        <f aca="false">IF('Level 6'!$C$31="Yes",BI50,AO50)</f>
        <v>0</v>
      </c>
      <c r="BP50" s="60" t="n">
        <f aca="false">IF('Level 7'!$C$31="Yes",BC50,AP50)</f>
        <v>0</v>
      </c>
      <c r="BQ50" s="60" t="n">
        <f aca="false">D50-AP50</f>
        <v>143</v>
      </c>
      <c r="BR50" s="60" t="n">
        <f aca="false">BQ50^2</f>
        <v>20449</v>
      </c>
      <c r="BS50" s="60" t="n">
        <f aca="false">(BQ50-BQ49)^2</f>
        <v>3136</v>
      </c>
      <c r="BT50" s="60" t="str">
        <f aca="false">IF(D50&gt;2000,ABS(BQ50)/D50,"")</f>
        <v/>
      </c>
      <c r="BU50" s="60" t="n">
        <v>221</v>
      </c>
      <c r="BV50" s="62" t="n">
        <v>0.5322</v>
      </c>
      <c r="BW50" s="60" t="n">
        <v>363.6</v>
      </c>
      <c r="BX50" s="60" t="n">
        <f aca="false">AA50</f>
        <v>0</v>
      </c>
      <c r="BY50" s="60" t="n">
        <f aca="false">H50</f>
        <v>0.2</v>
      </c>
      <c r="BZ50" s="60" t="n">
        <f aca="false">Z50</f>
        <v>0</v>
      </c>
      <c r="CA50" s="60" t="n">
        <f aca="false">AB50+AC50+AD50</f>
        <v>0</v>
      </c>
      <c r="CB50" s="60" t="n">
        <f aca="false">AE50+AF50+AG50+AH50+AI50</f>
        <v>0</v>
      </c>
    </row>
    <row r="51" customFormat="false" ht="15" hidden="false" customHeight="false" outlineLevel="0" collapsed="false">
      <c r="A51" s="58" t="n">
        <v>45249</v>
      </c>
      <c r="B51" s="59" t="n">
        <f aca="false">YEAR(A51)</f>
        <v>2023</v>
      </c>
      <c r="C51" s="59" t="n">
        <f aca="false">MONTH(A51)</f>
        <v>11</v>
      </c>
      <c r="D51" s="60" t="n">
        <v>247</v>
      </c>
      <c r="E51" s="61" t="n">
        <v>0.6413</v>
      </c>
      <c r="F51" s="61" t="n">
        <v>1.0282</v>
      </c>
      <c r="G51" s="61" t="n">
        <v>0</v>
      </c>
      <c r="H51" s="60" t="n">
        <v>0.3</v>
      </c>
      <c r="I51" s="60" t="n">
        <f aca="false">H51+'Level 4'!$C$12/100*I50</f>
        <v>0.3</v>
      </c>
      <c r="J51" s="60" t="n">
        <v>131.3</v>
      </c>
      <c r="K51" s="60" t="n">
        <v>45.17</v>
      </c>
      <c r="L51" s="60" t="n">
        <v>0</v>
      </c>
      <c r="M51" s="60" t="n">
        <f aca="false">L51+Answers!$C$14/100*M50</f>
        <v>40.7551006773454</v>
      </c>
      <c r="N51" s="60" t="n">
        <v>0</v>
      </c>
      <c r="O51" s="60" t="n">
        <v>0</v>
      </c>
      <c r="P51" s="60" t="n">
        <v>0</v>
      </c>
      <c r="Q51" s="60" t="n">
        <v>0</v>
      </c>
      <c r="R51" s="60" t="n">
        <v>0.06</v>
      </c>
      <c r="S51" s="60" t="n">
        <f aca="false">N51+Answers!$C$16/100*S50</f>
        <v>3.57982564569475</v>
      </c>
      <c r="T51" s="60" t="n">
        <f aca="false">O51+Answers!$C$17/100*T50</f>
        <v>0.648435763087492</v>
      </c>
      <c r="U51" s="60" t="n">
        <f aca="false">P51+Answers!$C$18/100*U50</f>
        <v>3.48588894077432</v>
      </c>
      <c r="V51" s="60" t="n">
        <f aca="false">Q51+Answers!$C$19/100*V50</f>
        <v>0.627284675803503</v>
      </c>
      <c r="W51" s="60" t="n">
        <f aca="false">R51+Answers!$C$20/100*W50</f>
        <v>12.8580861466296</v>
      </c>
      <c r="X51" s="60" t="n">
        <f aca="false">IF('Level 1'!$C$11="",0,'Level 1'!$C$11)*E51</f>
        <v>0</v>
      </c>
      <c r="Y51" s="60" t="n">
        <f aca="false">-IF('Level 2'!$C$11="",0,'Level 2'!$C$11)*F51</f>
        <v>-0</v>
      </c>
      <c r="Z51" s="60" t="n">
        <f aca="false">IF('Level 3'!$C$11="",0,'Level 3'!$C$11)*G51</f>
        <v>0</v>
      </c>
      <c r="AA51" s="60" t="n">
        <f aca="false">IF('Level 4'!$C$11="",0,'Level 4'!$C$11)*(1-'Level 4'!$C$12/100)*I51</f>
        <v>0</v>
      </c>
      <c r="AB51" s="60" t="n">
        <f aca="false">IF('Level 5'!$C$11="",0,'Level 5'!$C$11)*J51</f>
        <v>0</v>
      </c>
      <c r="AC51" s="60" t="n">
        <f aca="false">IF('Level 5'!$C$12="",0,'Level 5'!$C$12)*K51</f>
        <v>0</v>
      </c>
      <c r="AD51" s="60" t="n">
        <f aca="false">IF('Level 5'!$C$13="",0,'Level 5'!$C$13)*(1-Answers!$C$14/100)*M51</f>
        <v>0</v>
      </c>
      <c r="AE51" s="60" t="n">
        <f aca="false">IF('Level 6'!$C$11="",0,'Level 6'!$C$11)*(1-Answers!$C$16/100)*S51</f>
        <v>0</v>
      </c>
      <c r="AF51" s="60" t="n">
        <f aca="false">IF('Level 6'!$C$12="",0,'Level 6'!$C$12)*(1-Answers!$C$17/100)*T51</f>
        <v>0</v>
      </c>
      <c r="AG51" s="60" t="n">
        <f aca="false">IF('Level 6'!$C$13="",0,'Level 6'!$C$13)*(1-Answers!$C$18/100)*U51</f>
        <v>0</v>
      </c>
      <c r="AH51" s="60" t="n">
        <f aca="false">IF('Level 6'!$C$14="",0,'Level 6'!$C$14)*(1-Answers!$C$19/100)*V51</f>
        <v>0</v>
      </c>
      <c r="AI51" s="60" t="n">
        <f aca="false">IF('Level 6'!$C$15="",0,'Level 6'!$C$15)*(1-Answers!$C$20/100)*W51</f>
        <v>0</v>
      </c>
      <c r="AJ51" s="60" t="n">
        <f aca="false">X51</f>
        <v>0</v>
      </c>
      <c r="AK51" s="60" t="n">
        <f aca="false">X51+Y51</f>
        <v>0</v>
      </c>
      <c r="AL51" s="60" t="n">
        <f aca="false">AK51+Z51</f>
        <v>0</v>
      </c>
      <c r="AM51" s="60" t="n">
        <f aca="false">AL51+AA51</f>
        <v>0</v>
      </c>
      <c r="AN51" s="60" t="n">
        <f aca="false">AM51+AB51+AC51+AD51</f>
        <v>0</v>
      </c>
      <c r="AO51" s="60" t="n">
        <f aca="false">AL51+AE51+AF51+AG51+AH51+AI51+AB51+AC51+AD51</f>
        <v>0</v>
      </c>
      <c r="AP51" s="60" t="n">
        <f aca="false">IF(Answers!$C$22="Yes",AO51,AN51)</f>
        <v>0</v>
      </c>
      <c r="AQ51" s="60" t="n">
        <v>561.5</v>
      </c>
      <c r="AR51" s="60" t="n">
        <v>-979.3</v>
      </c>
      <c r="AS51" s="60" t="n">
        <v>0</v>
      </c>
      <c r="AT51" s="60" t="n">
        <v>285.4</v>
      </c>
      <c r="AU51" s="60" t="n">
        <v>442.1</v>
      </c>
      <c r="AV51" s="60" t="n">
        <v>166.7</v>
      </c>
      <c r="AW51" s="60" t="n">
        <v>20.1</v>
      </c>
      <c r="AX51" s="60" t="n">
        <v>41.5</v>
      </c>
      <c r="AY51" s="60" t="n">
        <v>10.7</v>
      </c>
      <c r="AZ51" s="60" t="n">
        <v>32</v>
      </c>
      <c r="BA51" s="60" t="n">
        <v>3.3</v>
      </c>
      <c r="BB51" s="60" t="n">
        <v>197.8</v>
      </c>
      <c r="BC51" s="60" t="n">
        <f aca="false">AQ51+AR51+AS51+AT51+AU51+AV51+AW51</f>
        <v>496.5</v>
      </c>
      <c r="BD51" s="60" t="n">
        <f aca="false">AQ51</f>
        <v>561.5</v>
      </c>
      <c r="BE51" s="60" t="n">
        <f aca="false">AQ51+AR51</f>
        <v>-417.8</v>
      </c>
      <c r="BF51" s="60" t="n">
        <f aca="false">BE51+AS51</f>
        <v>-417.8</v>
      </c>
      <c r="BG51" s="60" t="n">
        <f aca="false">BF51+AT51</f>
        <v>-132.4</v>
      </c>
      <c r="BH51" s="60" t="n">
        <f aca="false">BG51+AU51+AV51+AW51</f>
        <v>496.5</v>
      </c>
      <c r="BI51" s="60" t="n">
        <f aca="false">BC51</f>
        <v>496.5</v>
      </c>
      <c r="BJ51" s="60" t="n">
        <f aca="false">IF('Level 1'!$C$31="Yes",BD51,AJ51)</f>
        <v>0</v>
      </c>
      <c r="BK51" s="60" t="n">
        <f aca="false">IF('Level 2'!$C$31="Yes",BE51,AK51)</f>
        <v>0</v>
      </c>
      <c r="BL51" s="60" t="n">
        <f aca="false">IF('Level 3'!$C$31="Yes",BF51,AL51)</f>
        <v>0</v>
      </c>
      <c r="BM51" s="60" t="n">
        <f aca="false">IF('Level 4'!$C$31="Yes",BG51,AM51)</f>
        <v>0</v>
      </c>
      <c r="BN51" s="60" t="n">
        <f aca="false">IF('Level 5'!$C$31="Yes",BH51,AN51)</f>
        <v>0</v>
      </c>
      <c r="BO51" s="60" t="n">
        <f aca="false">IF('Level 6'!$C$31="Yes",BI51,AO51)</f>
        <v>0</v>
      </c>
      <c r="BP51" s="60" t="n">
        <f aca="false">IF('Level 7'!$C$31="Yes",BC51,AP51)</f>
        <v>0</v>
      </c>
      <c r="BQ51" s="60" t="n">
        <f aca="false">D51-AP51</f>
        <v>247</v>
      </c>
      <c r="BR51" s="60" t="n">
        <f aca="false">BQ51^2</f>
        <v>61009</v>
      </c>
      <c r="BS51" s="60" t="n">
        <f aca="false">(BQ51-BQ50)^2</f>
        <v>10816</v>
      </c>
      <c r="BT51" s="60" t="str">
        <f aca="false">IF(D51&gt;2000,ABS(BQ51)/D51,"")</f>
        <v/>
      </c>
      <c r="BU51" s="60" t="n">
        <v>177</v>
      </c>
      <c r="BV51" s="62" t="n">
        <v>0.5322</v>
      </c>
      <c r="BW51" s="60" t="n">
        <v>277.4</v>
      </c>
      <c r="BX51" s="60" t="n">
        <f aca="false">AA51</f>
        <v>0</v>
      </c>
      <c r="BY51" s="60" t="n">
        <f aca="false">H51</f>
        <v>0.3</v>
      </c>
      <c r="BZ51" s="60" t="n">
        <f aca="false">Z51</f>
        <v>0</v>
      </c>
      <c r="CA51" s="60" t="n">
        <f aca="false">AB51+AC51+AD51</f>
        <v>0</v>
      </c>
      <c r="CB51" s="60" t="n">
        <f aca="false">AE51+AF51+AG51+AH51+AI51</f>
        <v>0</v>
      </c>
    </row>
    <row r="52" customFormat="false" ht="15" hidden="false" customHeight="false" outlineLevel="0" collapsed="false">
      <c r="A52" s="58" t="n">
        <v>45256</v>
      </c>
      <c r="B52" s="59" t="n">
        <f aca="false">YEAR(A52)</f>
        <v>2023</v>
      </c>
      <c r="C52" s="59" t="n">
        <f aca="false">MONTH(A52)</f>
        <v>11</v>
      </c>
      <c r="D52" s="60" t="n">
        <v>208</v>
      </c>
      <c r="E52" s="61" t="n">
        <v>0.6452</v>
      </c>
      <c r="F52" s="61" t="n">
        <v>1.0282</v>
      </c>
      <c r="G52" s="61" t="n">
        <v>0</v>
      </c>
      <c r="H52" s="60" t="n">
        <v>0.27</v>
      </c>
      <c r="I52" s="60" t="n">
        <f aca="false">H52+'Level 4'!$C$12/100*I51</f>
        <v>0.27</v>
      </c>
      <c r="J52" s="60" t="n">
        <v>117.03</v>
      </c>
      <c r="K52" s="60" t="n">
        <v>35.76</v>
      </c>
      <c r="L52" s="60" t="n">
        <v>609.08</v>
      </c>
      <c r="M52" s="60" t="n">
        <f aca="false">L52+Answers!$C$14/100*M51</f>
        <v>633.533060406407</v>
      </c>
      <c r="N52" s="60" t="n">
        <v>0</v>
      </c>
      <c r="O52" s="60" t="n">
        <v>0</v>
      </c>
      <c r="P52" s="60" t="n">
        <v>0</v>
      </c>
      <c r="Q52" s="60" t="n">
        <v>0</v>
      </c>
      <c r="R52" s="60" t="n">
        <v>0.06</v>
      </c>
      <c r="S52" s="60" t="n">
        <f aca="false">N52+Answers!$C$16/100*S51</f>
        <v>2.8638605165558</v>
      </c>
      <c r="T52" s="60" t="n">
        <f aca="false">O52+Answers!$C$17/100*T51</f>
        <v>0.518748610469993</v>
      </c>
      <c r="U52" s="60" t="n">
        <f aca="false">P52+Answers!$C$18/100*U51</f>
        <v>2.78871115261946</v>
      </c>
      <c r="V52" s="60" t="n">
        <f aca="false">Q52+Answers!$C$19/100*V51</f>
        <v>0.501827740642802</v>
      </c>
      <c r="W52" s="60" t="n">
        <f aca="false">R52+Answers!$C$20/100*W51</f>
        <v>10.3464689173037</v>
      </c>
      <c r="X52" s="60" t="n">
        <f aca="false">IF('Level 1'!$C$11="",0,'Level 1'!$C$11)*E52</f>
        <v>0</v>
      </c>
      <c r="Y52" s="60" t="n">
        <f aca="false">-IF('Level 2'!$C$11="",0,'Level 2'!$C$11)*F52</f>
        <v>-0</v>
      </c>
      <c r="Z52" s="60" t="n">
        <f aca="false">IF('Level 3'!$C$11="",0,'Level 3'!$C$11)*G52</f>
        <v>0</v>
      </c>
      <c r="AA52" s="60" t="n">
        <f aca="false">IF('Level 4'!$C$11="",0,'Level 4'!$C$11)*(1-'Level 4'!$C$12/100)*I52</f>
        <v>0</v>
      </c>
      <c r="AB52" s="60" t="n">
        <f aca="false">IF('Level 5'!$C$11="",0,'Level 5'!$C$11)*J52</f>
        <v>0</v>
      </c>
      <c r="AC52" s="60" t="n">
        <f aca="false">IF('Level 5'!$C$12="",0,'Level 5'!$C$12)*K52</f>
        <v>0</v>
      </c>
      <c r="AD52" s="60" t="n">
        <f aca="false">IF('Level 5'!$C$13="",0,'Level 5'!$C$13)*(1-Answers!$C$14/100)*M52</f>
        <v>0</v>
      </c>
      <c r="AE52" s="60" t="n">
        <f aca="false">IF('Level 6'!$C$11="",0,'Level 6'!$C$11)*(1-Answers!$C$16/100)*S52</f>
        <v>0</v>
      </c>
      <c r="AF52" s="60" t="n">
        <f aca="false">IF('Level 6'!$C$12="",0,'Level 6'!$C$12)*(1-Answers!$C$17/100)*T52</f>
        <v>0</v>
      </c>
      <c r="AG52" s="60" t="n">
        <f aca="false">IF('Level 6'!$C$13="",0,'Level 6'!$C$13)*(1-Answers!$C$18/100)*U52</f>
        <v>0</v>
      </c>
      <c r="AH52" s="60" t="n">
        <f aca="false">IF('Level 6'!$C$14="",0,'Level 6'!$C$14)*(1-Answers!$C$19/100)*V52</f>
        <v>0</v>
      </c>
      <c r="AI52" s="60" t="n">
        <f aca="false">IF('Level 6'!$C$15="",0,'Level 6'!$C$15)*(1-Answers!$C$20/100)*W52</f>
        <v>0</v>
      </c>
      <c r="AJ52" s="60" t="n">
        <f aca="false">X52</f>
        <v>0</v>
      </c>
      <c r="AK52" s="60" t="n">
        <f aca="false">X52+Y52</f>
        <v>0</v>
      </c>
      <c r="AL52" s="60" t="n">
        <f aca="false">AK52+Z52</f>
        <v>0</v>
      </c>
      <c r="AM52" s="60" t="n">
        <f aca="false">AL52+AA52</f>
        <v>0</v>
      </c>
      <c r="AN52" s="60" t="n">
        <f aca="false">AM52+AB52+AC52+AD52</f>
        <v>0</v>
      </c>
      <c r="AO52" s="60" t="n">
        <f aca="false">AL52+AE52+AF52+AG52+AH52+AI52+AB52+AC52+AD52</f>
        <v>0</v>
      </c>
      <c r="AP52" s="60" t="n">
        <f aca="false">IF(Answers!$C$22="Yes",AO52,AN52)</f>
        <v>0</v>
      </c>
      <c r="AQ52" s="60" t="n">
        <v>565</v>
      </c>
      <c r="AR52" s="60" t="n">
        <v>-979.3</v>
      </c>
      <c r="AS52" s="60" t="n">
        <v>0</v>
      </c>
      <c r="AT52" s="60" t="n">
        <v>245.6</v>
      </c>
      <c r="AU52" s="60" t="n">
        <v>396.7</v>
      </c>
      <c r="AV52" s="60" t="n">
        <v>132</v>
      </c>
      <c r="AW52" s="60" t="n">
        <v>13.1</v>
      </c>
      <c r="AX52" s="60" t="n">
        <v>35.3</v>
      </c>
      <c r="AY52" s="60" t="n">
        <v>9.1</v>
      </c>
      <c r="AZ52" s="60" t="n">
        <v>27.2</v>
      </c>
      <c r="BA52" s="60" t="n">
        <v>2.8</v>
      </c>
      <c r="BB52" s="60" t="n">
        <v>171.1</v>
      </c>
      <c r="BC52" s="60" t="n">
        <f aca="false">AQ52+AR52+AS52+AT52+AU52+AV52+AW52</f>
        <v>373.1</v>
      </c>
      <c r="BD52" s="60" t="n">
        <f aca="false">AQ52</f>
        <v>565</v>
      </c>
      <c r="BE52" s="60" t="n">
        <f aca="false">AQ52+AR52</f>
        <v>-414.3</v>
      </c>
      <c r="BF52" s="60" t="n">
        <f aca="false">BE52+AS52</f>
        <v>-414.3</v>
      </c>
      <c r="BG52" s="60" t="n">
        <f aca="false">BF52+AT52</f>
        <v>-168.7</v>
      </c>
      <c r="BH52" s="60" t="n">
        <f aca="false">BG52+AU52+AV52+AW52</f>
        <v>373.1</v>
      </c>
      <c r="BI52" s="60" t="n">
        <f aca="false">BC52</f>
        <v>373.1</v>
      </c>
      <c r="BJ52" s="60" t="n">
        <f aca="false">IF('Level 1'!$C$31="Yes",BD52,AJ52)</f>
        <v>0</v>
      </c>
      <c r="BK52" s="60" t="n">
        <f aca="false">IF('Level 2'!$C$31="Yes",BE52,AK52)</f>
        <v>0</v>
      </c>
      <c r="BL52" s="60" t="n">
        <f aca="false">IF('Level 3'!$C$31="Yes",BF52,AL52)</f>
        <v>0</v>
      </c>
      <c r="BM52" s="60" t="n">
        <f aca="false">IF('Level 4'!$C$31="Yes",BG52,AM52)</f>
        <v>0</v>
      </c>
      <c r="BN52" s="60" t="n">
        <f aca="false">IF('Level 5'!$C$31="Yes",BH52,AN52)</f>
        <v>0</v>
      </c>
      <c r="BO52" s="60" t="n">
        <f aca="false">IF('Level 6'!$C$31="Yes",BI52,AO52)</f>
        <v>0</v>
      </c>
      <c r="BP52" s="60" t="n">
        <f aca="false">IF('Level 7'!$C$31="Yes",BC52,AP52)</f>
        <v>0</v>
      </c>
      <c r="BQ52" s="60" t="n">
        <f aca="false">D52-AP52</f>
        <v>208</v>
      </c>
      <c r="BR52" s="60" t="n">
        <f aca="false">BQ52^2</f>
        <v>43264</v>
      </c>
      <c r="BS52" s="60" t="n">
        <f aca="false">(BQ52-BQ51)^2</f>
        <v>1521</v>
      </c>
      <c r="BT52" s="60" t="str">
        <f aca="false">IF(D52&gt;2000,ABS(BQ52)/D52,"")</f>
        <v/>
      </c>
      <c r="BU52" s="60" t="n">
        <v>248</v>
      </c>
      <c r="BV52" s="62" t="n">
        <v>0.5379</v>
      </c>
      <c r="BW52" s="60" t="n">
        <v>860.1</v>
      </c>
      <c r="BX52" s="60" t="n">
        <f aca="false">AA52</f>
        <v>0</v>
      </c>
      <c r="BY52" s="60" t="n">
        <f aca="false">H52</f>
        <v>0.27</v>
      </c>
      <c r="BZ52" s="60" t="n">
        <f aca="false">Z52</f>
        <v>0</v>
      </c>
      <c r="CA52" s="60" t="n">
        <f aca="false">AB52+AC52+AD52</f>
        <v>0</v>
      </c>
      <c r="CB52" s="60" t="n">
        <f aca="false">AE52+AF52+AG52+AH52+AI52</f>
        <v>0</v>
      </c>
    </row>
    <row r="53" customFormat="false" ht="15" hidden="false" customHeight="false" outlineLevel="0" collapsed="false">
      <c r="A53" s="58" t="n">
        <v>45263</v>
      </c>
      <c r="B53" s="59" t="n">
        <f aca="false">YEAR(A53)</f>
        <v>2023</v>
      </c>
      <c r="C53" s="59" t="n">
        <f aca="false">MONTH(A53)</f>
        <v>12</v>
      </c>
      <c r="D53" s="60" t="n">
        <v>178</v>
      </c>
      <c r="E53" s="61" t="n">
        <v>0.6492</v>
      </c>
      <c r="F53" s="61" t="n">
        <v>1.0282</v>
      </c>
      <c r="G53" s="61" t="n">
        <v>0</v>
      </c>
      <c r="H53" s="60" t="n">
        <v>0.29</v>
      </c>
      <c r="I53" s="60" t="n">
        <f aca="false">H53+'Level 4'!$C$12/100*I52</f>
        <v>0.29</v>
      </c>
      <c r="J53" s="60" t="n">
        <v>128.26</v>
      </c>
      <c r="K53" s="60" t="n">
        <v>34.21</v>
      </c>
      <c r="L53" s="60" t="n">
        <v>76.69</v>
      </c>
      <c r="M53" s="60" t="n">
        <f aca="false">L53+Answers!$C$14/100*M52</f>
        <v>456.809836243844</v>
      </c>
      <c r="N53" s="60" t="n">
        <v>0</v>
      </c>
      <c r="O53" s="60" t="n">
        <v>0</v>
      </c>
      <c r="P53" s="60" t="n">
        <v>0</v>
      </c>
      <c r="Q53" s="60" t="n">
        <v>0</v>
      </c>
      <c r="R53" s="60" t="n">
        <v>0.11</v>
      </c>
      <c r="S53" s="60" t="n">
        <f aca="false">N53+Answers!$C$16/100*S52</f>
        <v>2.29108841324464</v>
      </c>
      <c r="T53" s="60" t="n">
        <f aca="false">O53+Answers!$C$17/100*T52</f>
        <v>0.414998888375995</v>
      </c>
      <c r="U53" s="60" t="n">
        <f aca="false">P53+Answers!$C$18/100*U52</f>
        <v>2.23096892209557</v>
      </c>
      <c r="V53" s="60" t="n">
        <f aca="false">Q53+Answers!$C$19/100*V52</f>
        <v>0.401462192514242</v>
      </c>
      <c r="W53" s="60" t="n">
        <f aca="false">R53+Answers!$C$20/100*W52</f>
        <v>8.38717513384293</v>
      </c>
      <c r="X53" s="60" t="n">
        <f aca="false">IF('Level 1'!$C$11="",0,'Level 1'!$C$11)*E53</f>
        <v>0</v>
      </c>
      <c r="Y53" s="60" t="n">
        <f aca="false">-IF('Level 2'!$C$11="",0,'Level 2'!$C$11)*F53</f>
        <v>-0</v>
      </c>
      <c r="Z53" s="60" t="n">
        <f aca="false">IF('Level 3'!$C$11="",0,'Level 3'!$C$11)*G53</f>
        <v>0</v>
      </c>
      <c r="AA53" s="60" t="n">
        <f aca="false">IF('Level 4'!$C$11="",0,'Level 4'!$C$11)*(1-'Level 4'!$C$12/100)*I53</f>
        <v>0</v>
      </c>
      <c r="AB53" s="60" t="n">
        <f aca="false">IF('Level 5'!$C$11="",0,'Level 5'!$C$11)*J53</f>
        <v>0</v>
      </c>
      <c r="AC53" s="60" t="n">
        <f aca="false">IF('Level 5'!$C$12="",0,'Level 5'!$C$12)*K53</f>
        <v>0</v>
      </c>
      <c r="AD53" s="60" t="n">
        <f aca="false">IF('Level 5'!$C$13="",0,'Level 5'!$C$13)*(1-Answers!$C$14/100)*M53</f>
        <v>0</v>
      </c>
      <c r="AE53" s="60" t="n">
        <f aca="false">IF('Level 6'!$C$11="",0,'Level 6'!$C$11)*(1-Answers!$C$16/100)*S53</f>
        <v>0</v>
      </c>
      <c r="AF53" s="60" t="n">
        <f aca="false">IF('Level 6'!$C$12="",0,'Level 6'!$C$12)*(1-Answers!$C$17/100)*T53</f>
        <v>0</v>
      </c>
      <c r="AG53" s="60" t="n">
        <f aca="false">IF('Level 6'!$C$13="",0,'Level 6'!$C$13)*(1-Answers!$C$18/100)*U53</f>
        <v>0</v>
      </c>
      <c r="AH53" s="60" t="n">
        <f aca="false">IF('Level 6'!$C$14="",0,'Level 6'!$C$14)*(1-Answers!$C$19/100)*V53</f>
        <v>0</v>
      </c>
      <c r="AI53" s="60" t="n">
        <f aca="false">IF('Level 6'!$C$15="",0,'Level 6'!$C$15)*(1-Answers!$C$20/100)*W53</f>
        <v>0</v>
      </c>
      <c r="AJ53" s="60" t="n">
        <f aca="false">X53</f>
        <v>0</v>
      </c>
      <c r="AK53" s="60" t="n">
        <f aca="false">X53+Y53</f>
        <v>0</v>
      </c>
      <c r="AL53" s="60" t="n">
        <f aca="false">AK53+Z53</f>
        <v>0</v>
      </c>
      <c r="AM53" s="60" t="n">
        <f aca="false">AL53+AA53</f>
        <v>0</v>
      </c>
      <c r="AN53" s="60" t="n">
        <f aca="false">AM53+AB53+AC53+AD53</f>
        <v>0</v>
      </c>
      <c r="AO53" s="60" t="n">
        <f aca="false">AL53+AE53+AF53+AG53+AH53+AI53+AB53+AC53+AD53</f>
        <v>0</v>
      </c>
      <c r="AP53" s="60" t="n">
        <f aca="false">IF(Answers!$C$22="Yes",AO53,AN53)</f>
        <v>0</v>
      </c>
      <c r="AQ53" s="60" t="n">
        <v>568.4</v>
      </c>
      <c r="AR53" s="60" t="n">
        <v>-979.3</v>
      </c>
      <c r="AS53" s="60" t="n">
        <v>0</v>
      </c>
      <c r="AT53" s="60" t="n">
        <v>211.9</v>
      </c>
      <c r="AU53" s="60" t="n">
        <v>433.7</v>
      </c>
      <c r="AV53" s="60" t="n">
        <v>126.3</v>
      </c>
      <c r="AW53" s="60" t="n">
        <v>8.5</v>
      </c>
      <c r="AX53" s="60" t="n">
        <v>30</v>
      </c>
      <c r="AY53" s="60" t="n">
        <v>7.8</v>
      </c>
      <c r="AZ53" s="60" t="n">
        <v>23.2</v>
      </c>
      <c r="BA53" s="60" t="n">
        <v>2.4</v>
      </c>
      <c r="BB53" s="60" t="n">
        <v>148.6</v>
      </c>
      <c r="BC53" s="60" t="n">
        <f aca="false">AQ53+AR53+AS53+AT53+AU53+AV53+AW53</f>
        <v>369.5</v>
      </c>
      <c r="BD53" s="60" t="n">
        <f aca="false">AQ53</f>
        <v>568.4</v>
      </c>
      <c r="BE53" s="60" t="n">
        <f aca="false">AQ53+AR53</f>
        <v>-410.9</v>
      </c>
      <c r="BF53" s="60" t="n">
        <f aca="false">BE53+AS53</f>
        <v>-410.9</v>
      </c>
      <c r="BG53" s="60" t="n">
        <f aca="false">BF53+AT53</f>
        <v>-199</v>
      </c>
      <c r="BH53" s="60" t="n">
        <f aca="false">BG53+AU53+AV53+AW53</f>
        <v>369.5</v>
      </c>
      <c r="BI53" s="60" t="n">
        <f aca="false">BC53</f>
        <v>369.5</v>
      </c>
      <c r="BJ53" s="60" t="n">
        <f aca="false">IF('Level 1'!$C$31="Yes",BD53,AJ53)</f>
        <v>0</v>
      </c>
      <c r="BK53" s="60" t="n">
        <f aca="false">IF('Level 2'!$C$31="Yes",BE53,AK53)</f>
        <v>0</v>
      </c>
      <c r="BL53" s="60" t="n">
        <f aca="false">IF('Level 3'!$C$31="Yes",BF53,AL53)</f>
        <v>0</v>
      </c>
      <c r="BM53" s="60" t="n">
        <f aca="false">IF('Level 4'!$C$31="Yes",BG53,AM53)</f>
        <v>0</v>
      </c>
      <c r="BN53" s="60" t="n">
        <f aca="false">IF('Level 5'!$C$31="Yes",BH53,AN53)</f>
        <v>0</v>
      </c>
      <c r="BO53" s="60" t="n">
        <f aca="false">IF('Level 6'!$C$31="Yes",BI53,AO53)</f>
        <v>0</v>
      </c>
      <c r="BP53" s="60" t="n">
        <f aca="false">IF('Level 7'!$C$31="Yes",BC53,AP53)</f>
        <v>0</v>
      </c>
      <c r="BQ53" s="60" t="n">
        <f aca="false">D53-AP53</f>
        <v>178</v>
      </c>
      <c r="BR53" s="60" t="n">
        <f aca="false">BQ53^2</f>
        <v>31684</v>
      </c>
      <c r="BS53" s="60" t="n">
        <f aca="false">(BQ53-BQ52)^2</f>
        <v>900</v>
      </c>
      <c r="BT53" s="60" t="str">
        <f aca="false">IF(D53&gt;2000,ABS(BQ53)/D53,"")</f>
        <v/>
      </c>
      <c r="BU53" s="60" t="n">
        <v>283</v>
      </c>
      <c r="BV53" s="62" t="n">
        <v>0.5454</v>
      </c>
      <c r="BW53" s="60" t="n">
        <v>344.4</v>
      </c>
      <c r="BX53" s="60" t="n">
        <f aca="false">AA53</f>
        <v>0</v>
      </c>
      <c r="BY53" s="60" t="n">
        <f aca="false">H53</f>
        <v>0.29</v>
      </c>
      <c r="BZ53" s="60" t="n">
        <f aca="false">Z53</f>
        <v>0</v>
      </c>
      <c r="CA53" s="60" t="n">
        <f aca="false">AB53+AC53+AD53</f>
        <v>0</v>
      </c>
      <c r="CB53" s="60" t="n">
        <f aca="false">AE53+AF53+AG53+AH53+AI53</f>
        <v>0</v>
      </c>
    </row>
    <row r="54" customFormat="false" ht="15" hidden="false" customHeight="false" outlineLevel="0" collapsed="false">
      <c r="A54" s="58" t="n">
        <v>45270</v>
      </c>
      <c r="B54" s="59" t="n">
        <f aca="false">YEAR(A54)</f>
        <v>2023</v>
      </c>
      <c r="C54" s="59" t="n">
        <f aca="false">MONTH(A54)</f>
        <v>12</v>
      </c>
      <c r="D54" s="60" t="n">
        <v>156</v>
      </c>
      <c r="E54" s="61" t="n">
        <v>0.6531</v>
      </c>
      <c r="F54" s="61" t="n">
        <v>1.0282</v>
      </c>
      <c r="G54" s="61" t="n">
        <v>0</v>
      </c>
      <c r="H54" s="60" t="n">
        <v>0.43</v>
      </c>
      <c r="I54" s="60" t="n">
        <f aca="false">H54+'Level 4'!$C$12/100*I53</f>
        <v>0.43</v>
      </c>
      <c r="J54" s="60" t="n">
        <v>99.87</v>
      </c>
      <c r="K54" s="60" t="n">
        <v>7.9</v>
      </c>
      <c r="L54" s="60" t="n">
        <v>418.85</v>
      </c>
      <c r="M54" s="60" t="n">
        <f aca="false">L54+Answers!$C$14/100*M53</f>
        <v>692.935901746307</v>
      </c>
      <c r="N54" s="60" t="n">
        <v>0</v>
      </c>
      <c r="O54" s="60" t="n">
        <v>0</v>
      </c>
      <c r="P54" s="60" t="n">
        <v>0</v>
      </c>
      <c r="Q54" s="60" t="n">
        <v>0</v>
      </c>
      <c r="R54" s="60" t="n">
        <v>0.27</v>
      </c>
      <c r="S54" s="60" t="n">
        <f aca="false">N54+Answers!$C$16/100*S53</f>
        <v>1.83287073059571</v>
      </c>
      <c r="T54" s="60" t="n">
        <f aca="false">O54+Answers!$C$17/100*T53</f>
        <v>0.331999110700796</v>
      </c>
      <c r="U54" s="60" t="n">
        <f aca="false">P54+Answers!$C$18/100*U53</f>
        <v>1.78477513767645</v>
      </c>
      <c r="V54" s="60" t="n">
        <f aca="false">Q54+Answers!$C$19/100*V53</f>
        <v>0.321169754011394</v>
      </c>
      <c r="W54" s="60" t="n">
        <f aca="false">R54+Answers!$C$20/100*W53</f>
        <v>6.97974010707435</v>
      </c>
      <c r="X54" s="60" t="n">
        <f aca="false">IF('Level 1'!$C$11="",0,'Level 1'!$C$11)*E54</f>
        <v>0</v>
      </c>
      <c r="Y54" s="60" t="n">
        <f aca="false">-IF('Level 2'!$C$11="",0,'Level 2'!$C$11)*F54</f>
        <v>-0</v>
      </c>
      <c r="Z54" s="60" t="n">
        <f aca="false">IF('Level 3'!$C$11="",0,'Level 3'!$C$11)*G54</f>
        <v>0</v>
      </c>
      <c r="AA54" s="60" t="n">
        <f aca="false">IF('Level 4'!$C$11="",0,'Level 4'!$C$11)*(1-'Level 4'!$C$12/100)*I54</f>
        <v>0</v>
      </c>
      <c r="AB54" s="60" t="n">
        <f aca="false">IF('Level 5'!$C$11="",0,'Level 5'!$C$11)*J54</f>
        <v>0</v>
      </c>
      <c r="AC54" s="60" t="n">
        <f aca="false">IF('Level 5'!$C$12="",0,'Level 5'!$C$12)*K54</f>
        <v>0</v>
      </c>
      <c r="AD54" s="60" t="n">
        <f aca="false">IF('Level 5'!$C$13="",0,'Level 5'!$C$13)*(1-Answers!$C$14/100)*M54</f>
        <v>0</v>
      </c>
      <c r="AE54" s="60" t="n">
        <f aca="false">IF('Level 6'!$C$11="",0,'Level 6'!$C$11)*(1-Answers!$C$16/100)*S54</f>
        <v>0</v>
      </c>
      <c r="AF54" s="60" t="n">
        <f aca="false">IF('Level 6'!$C$12="",0,'Level 6'!$C$12)*(1-Answers!$C$17/100)*T54</f>
        <v>0</v>
      </c>
      <c r="AG54" s="60" t="n">
        <f aca="false">IF('Level 6'!$C$13="",0,'Level 6'!$C$13)*(1-Answers!$C$18/100)*U54</f>
        <v>0</v>
      </c>
      <c r="AH54" s="60" t="n">
        <f aca="false">IF('Level 6'!$C$14="",0,'Level 6'!$C$14)*(1-Answers!$C$19/100)*V54</f>
        <v>0</v>
      </c>
      <c r="AI54" s="60" t="n">
        <f aca="false">IF('Level 6'!$C$15="",0,'Level 6'!$C$15)*(1-Answers!$C$20/100)*W54</f>
        <v>0</v>
      </c>
      <c r="AJ54" s="60" t="n">
        <f aca="false">X54</f>
        <v>0</v>
      </c>
      <c r="AK54" s="60" t="n">
        <f aca="false">X54+Y54</f>
        <v>0</v>
      </c>
      <c r="AL54" s="60" t="n">
        <f aca="false">AK54+Z54</f>
        <v>0</v>
      </c>
      <c r="AM54" s="60" t="n">
        <f aca="false">AL54+AA54</f>
        <v>0</v>
      </c>
      <c r="AN54" s="60" t="n">
        <f aca="false">AM54+AB54+AC54+AD54</f>
        <v>0</v>
      </c>
      <c r="AO54" s="60" t="n">
        <f aca="false">AL54+AE54+AF54+AG54+AH54+AI54+AB54+AC54+AD54</f>
        <v>0</v>
      </c>
      <c r="AP54" s="60" t="n">
        <f aca="false">IF(Answers!$C$22="Yes",AO54,AN54)</f>
        <v>0</v>
      </c>
      <c r="AQ54" s="60" t="n">
        <v>571.9</v>
      </c>
      <c r="AR54" s="60" t="n">
        <v>-979.3</v>
      </c>
      <c r="AS54" s="60" t="n">
        <v>0</v>
      </c>
      <c r="AT54" s="60" t="n">
        <v>185.7</v>
      </c>
      <c r="AU54" s="60" t="n">
        <v>313.1</v>
      </c>
      <c r="AV54" s="60" t="n">
        <v>29.2</v>
      </c>
      <c r="AW54" s="60" t="n">
        <v>5.5</v>
      </c>
      <c r="AX54" s="60" t="n">
        <v>25.5</v>
      </c>
      <c r="AY54" s="60" t="n">
        <v>6.6</v>
      </c>
      <c r="AZ54" s="60" t="n">
        <v>19.7</v>
      </c>
      <c r="BA54" s="60" t="n">
        <v>2</v>
      </c>
      <c r="BB54" s="60" t="n">
        <v>131.9</v>
      </c>
      <c r="BC54" s="60" t="n">
        <f aca="false">AQ54+AR54+AS54+AT54+AU54+AV54+AW54</f>
        <v>126.1</v>
      </c>
      <c r="BD54" s="60" t="n">
        <f aca="false">AQ54</f>
        <v>571.9</v>
      </c>
      <c r="BE54" s="60" t="n">
        <f aca="false">AQ54+AR54</f>
        <v>-407.4</v>
      </c>
      <c r="BF54" s="60" t="n">
        <f aca="false">BE54+AS54</f>
        <v>-407.4</v>
      </c>
      <c r="BG54" s="60" t="n">
        <f aca="false">BF54+AT54</f>
        <v>-221.7</v>
      </c>
      <c r="BH54" s="60" t="n">
        <f aca="false">BG54+AU54+AV54+AW54</f>
        <v>126.1</v>
      </c>
      <c r="BI54" s="60" t="n">
        <f aca="false">BC54</f>
        <v>126.1</v>
      </c>
      <c r="BJ54" s="60" t="n">
        <f aca="false">IF('Level 1'!$C$31="Yes",BD54,AJ54)</f>
        <v>0</v>
      </c>
      <c r="BK54" s="60" t="n">
        <f aca="false">IF('Level 2'!$C$31="Yes",BE54,AK54)</f>
        <v>0</v>
      </c>
      <c r="BL54" s="60" t="n">
        <f aca="false">IF('Level 3'!$C$31="Yes",BF54,AL54)</f>
        <v>0</v>
      </c>
      <c r="BM54" s="60" t="n">
        <f aca="false">IF('Level 4'!$C$31="Yes",BG54,AM54)</f>
        <v>0</v>
      </c>
      <c r="BN54" s="60" t="n">
        <f aca="false">IF('Level 5'!$C$31="Yes",BH54,AN54)</f>
        <v>0</v>
      </c>
      <c r="BO54" s="60" t="n">
        <f aca="false">IF('Level 6'!$C$31="Yes",BI54,AO54)</f>
        <v>0</v>
      </c>
      <c r="BP54" s="60" t="n">
        <f aca="false">IF('Level 7'!$C$31="Yes",BC54,AP54)</f>
        <v>0</v>
      </c>
      <c r="BQ54" s="60" t="n">
        <f aca="false">D54-AP54</f>
        <v>156</v>
      </c>
      <c r="BR54" s="60" t="n">
        <f aca="false">BQ54^2</f>
        <v>24336</v>
      </c>
      <c r="BS54" s="60" t="n">
        <f aca="false">(BQ54-BQ53)^2</f>
        <v>484</v>
      </c>
      <c r="BT54" s="60" t="str">
        <f aca="false">IF(D54&gt;2000,ABS(BQ54)/D54,"")</f>
        <v/>
      </c>
      <c r="BU54" s="60" t="n">
        <v>275</v>
      </c>
      <c r="BV54" s="62" t="n">
        <v>0.5454</v>
      </c>
      <c r="BW54" s="60" t="n">
        <v>638.2</v>
      </c>
      <c r="BX54" s="60" t="n">
        <f aca="false">AA54</f>
        <v>0</v>
      </c>
      <c r="BY54" s="60" t="n">
        <f aca="false">H54</f>
        <v>0.43</v>
      </c>
      <c r="BZ54" s="60" t="n">
        <f aca="false">Z54</f>
        <v>0</v>
      </c>
      <c r="CA54" s="60" t="n">
        <f aca="false">AB54+AC54+AD54</f>
        <v>0</v>
      </c>
      <c r="CB54" s="60" t="n">
        <f aca="false">AE54+AF54+AG54+AH54+AI54</f>
        <v>0</v>
      </c>
    </row>
    <row r="55" customFormat="false" ht="15" hidden="false" customHeight="false" outlineLevel="0" collapsed="false">
      <c r="A55" s="58" t="n">
        <v>45277</v>
      </c>
      <c r="B55" s="59" t="n">
        <f aca="false">YEAR(A55)</f>
        <v>2023</v>
      </c>
      <c r="C55" s="59" t="n">
        <f aca="false">MONTH(A55)</f>
        <v>12</v>
      </c>
      <c r="D55" s="60" t="n">
        <v>165</v>
      </c>
      <c r="E55" s="61" t="n">
        <v>0.6634</v>
      </c>
      <c r="F55" s="61" t="n">
        <v>1.0282</v>
      </c>
      <c r="G55" s="61" t="n">
        <v>0</v>
      </c>
      <c r="H55" s="60" t="n">
        <v>0.58</v>
      </c>
      <c r="I55" s="60" t="n">
        <f aca="false">H55+'Level 4'!$C$12/100*I54</f>
        <v>0.58</v>
      </c>
      <c r="J55" s="60" t="n">
        <v>105.69</v>
      </c>
      <c r="K55" s="60" t="n">
        <v>9.65</v>
      </c>
      <c r="L55" s="60" t="n">
        <v>0</v>
      </c>
      <c r="M55" s="60" t="n">
        <f aca="false">L55+Answers!$C$14/100*M54</f>
        <v>415.761541047784</v>
      </c>
      <c r="N55" s="60" t="n">
        <v>0</v>
      </c>
      <c r="O55" s="60" t="n">
        <v>0</v>
      </c>
      <c r="P55" s="60" t="n">
        <v>0</v>
      </c>
      <c r="Q55" s="60" t="n">
        <v>0</v>
      </c>
      <c r="R55" s="60" t="n">
        <v>0.41</v>
      </c>
      <c r="S55" s="60" t="n">
        <f aca="false">N55+Answers!$C$16/100*S54</f>
        <v>1.46629658447657</v>
      </c>
      <c r="T55" s="60" t="n">
        <f aca="false">O55+Answers!$C$17/100*T54</f>
        <v>0.265599288560637</v>
      </c>
      <c r="U55" s="60" t="n">
        <f aca="false">P55+Answers!$C$18/100*U54</f>
        <v>1.42782011014116</v>
      </c>
      <c r="V55" s="60" t="n">
        <f aca="false">Q55+Answers!$C$19/100*V54</f>
        <v>0.256935803209115</v>
      </c>
      <c r="W55" s="60" t="n">
        <f aca="false">R55+Answers!$C$20/100*W54</f>
        <v>5.99379208565948</v>
      </c>
      <c r="X55" s="60" t="n">
        <f aca="false">IF('Level 1'!$C$11="",0,'Level 1'!$C$11)*E55</f>
        <v>0</v>
      </c>
      <c r="Y55" s="60" t="n">
        <f aca="false">-IF('Level 2'!$C$11="",0,'Level 2'!$C$11)*F55</f>
        <v>-0</v>
      </c>
      <c r="Z55" s="60" t="n">
        <f aca="false">IF('Level 3'!$C$11="",0,'Level 3'!$C$11)*G55</f>
        <v>0</v>
      </c>
      <c r="AA55" s="60" t="n">
        <f aca="false">IF('Level 4'!$C$11="",0,'Level 4'!$C$11)*(1-'Level 4'!$C$12/100)*I55</f>
        <v>0</v>
      </c>
      <c r="AB55" s="60" t="n">
        <f aca="false">IF('Level 5'!$C$11="",0,'Level 5'!$C$11)*J55</f>
        <v>0</v>
      </c>
      <c r="AC55" s="60" t="n">
        <f aca="false">IF('Level 5'!$C$12="",0,'Level 5'!$C$12)*K55</f>
        <v>0</v>
      </c>
      <c r="AD55" s="60" t="n">
        <f aca="false">IF('Level 5'!$C$13="",0,'Level 5'!$C$13)*(1-Answers!$C$14/100)*M55</f>
        <v>0</v>
      </c>
      <c r="AE55" s="60" t="n">
        <f aca="false">IF('Level 6'!$C$11="",0,'Level 6'!$C$11)*(1-Answers!$C$16/100)*S55</f>
        <v>0</v>
      </c>
      <c r="AF55" s="60" t="n">
        <f aca="false">IF('Level 6'!$C$12="",0,'Level 6'!$C$12)*(1-Answers!$C$17/100)*T55</f>
        <v>0</v>
      </c>
      <c r="AG55" s="60" t="n">
        <f aca="false">IF('Level 6'!$C$13="",0,'Level 6'!$C$13)*(1-Answers!$C$18/100)*U55</f>
        <v>0</v>
      </c>
      <c r="AH55" s="60" t="n">
        <f aca="false">IF('Level 6'!$C$14="",0,'Level 6'!$C$14)*(1-Answers!$C$19/100)*V55</f>
        <v>0</v>
      </c>
      <c r="AI55" s="60" t="n">
        <f aca="false">IF('Level 6'!$C$15="",0,'Level 6'!$C$15)*(1-Answers!$C$20/100)*W55</f>
        <v>0</v>
      </c>
      <c r="AJ55" s="60" t="n">
        <f aca="false">X55</f>
        <v>0</v>
      </c>
      <c r="AK55" s="60" t="n">
        <f aca="false">X55+Y55</f>
        <v>0</v>
      </c>
      <c r="AL55" s="60" t="n">
        <f aca="false">AK55+Z55</f>
        <v>0</v>
      </c>
      <c r="AM55" s="60" t="n">
        <f aca="false">AL55+AA55</f>
        <v>0</v>
      </c>
      <c r="AN55" s="60" t="n">
        <f aca="false">AM55+AB55+AC55+AD55</f>
        <v>0</v>
      </c>
      <c r="AO55" s="60" t="n">
        <f aca="false">AL55+AE55+AF55+AG55+AH55+AI55+AB55+AC55+AD55</f>
        <v>0</v>
      </c>
      <c r="AP55" s="60" t="n">
        <f aca="false">IF(Answers!$C$22="Yes",AO55,AN55)</f>
        <v>0</v>
      </c>
      <c r="AQ55" s="60" t="n">
        <v>580.9</v>
      </c>
      <c r="AR55" s="60" t="n">
        <v>-979.3</v>
      </c>
      <c r="AS55" s="60" t="n">
        <v>0</v>
      </c>
      <c r="AT55" s="60" t="n">
        <v>163</v>
      </c>
      <c r="AU55" s="60" t="n">
        <v>323.8</v>
      </c>
      <c r="AV55" s="60" t="n">
        <v>35.6</v>
      </c>
      <c r="AW55" s="60" t="n">
        <v>3.6</v>
      </c>
      <c r="AX55" s="60" t="n">
        <v>21.7</v>
      </c>
      <c r="AY55" s="60" t="n">
        <v>5.6</v>
      </c>
      <c r="AZ55" s="60" t="n">
        <v>16.7</v>
      </c>
      <c r="BA55" s="60" t="n">
        <v>1.7</v>
      </c>
      <c r="BB55" s="60" t="n">
        <v>117.3</v>
      </c>
      <c r="BC55" s="60" t="n">
        <f aca="false">AQ55+AR55+AS55+AT55+AU55+AV55+AW55</f>
        <v>127.6</v>
      </c>
      <c r="BD55" s="60" t="n">
        <f aca="false">AQ55</f>
        <v>580.9</v>
      </c>
      <c r="BE55" s="60" t="n">
        <f aca="false">AQ55+AR55</f>
        <v>-398.4</v>
      </c>
      <c r="BF55" s="60" t="n">
        <f aca="false">BE55+AS55</f>
        <v>-398.4</v>
      </c>
      <c r="BG55" s="60" t="n">
        <f aca="false">BF55+AT55</f>
        <v>-235.4</v>
      </c>
      <c r="BH55" s="60" t="n">
        <f aca="false">BG55+AU55+AV55+AW55</f>
        <v>127.6</v>
      </c>
      <c r="BI55" s="60" t="n">
        <f aca="false">BC55</f>
        <v>127.6</v>
      </c>
      <c r="BJ55" s="60" t="n">
        <f aca="false">IF('Level 1'!$C$31="Yes",BD55,AJ55)</f>
        <v>0</v>
      </c>
      <c r="BK55" s="60" t="n">
        <f aca="false">IF('Level 2'!$C$31="Yes",BE55,AK55)</f>
        <v>0</v>
      </c>
      <c r="BL55" s="60" t="n">
        <f aca="false">IF('Level 3'!$C$31="Yes",BF55,AL55)</f>
        <v>0</v>
      </c>
      <c r="BM55" s="60" t="n">
        <f aca="false">IF('Level 4'!$C$31="Yes",BG55,AM55)</f>
        <v>0</v>
      </c>
      <c r="BN55" s="60" t="n">
        <f aca="false">IF('Level 5'!$C$31="Yes",BH55,AN55)</f>
        <v>0</v>
      </c>
      <c r="BO55" s="60" t="n">
        <f aca="false">IF('Level 6'!$C$31="Yes",BI55,AO55)</f>
        <v>0</v>
      </c>
      <c r="BP55" s="60" t="n">
        <f aca="false">IF('Level 7'!$C$31="Yes",BC55,AP55)</f>
        <v>0</v>
      </c>
      <c r="BQ55" s="60" t="n">
        <f aca="false">D55-AP55</f>
        <v>165</v>
      </c>
      <c r="BR55" s="60" t="n">
        <f aca="false">BQ55^2</f>
        <v>27225</v>
      </c>
      <c r="BS55" s="60" t="n">
        <f aca="false">(BQ55-BQ54)^2</f>
        <v>81</v>
      </c>
      <c r="BT55" s="60" t="str">
        <f aca="false">IF(D55&gt;2000,ABS(BQ55)/D55,"")</f>
        <v/>
      </c>
      <c r="BU55" s="60" t="n">
        <v>218</v>
      </c>
      <c r="BV55" s="62" t="n">
        <v>0.5454</v>
      </c>
      <c r="BW55" s="60" t="n">
        <v>307</v>
      </c>
      <c r="BX55" s="60" t="n">
        <f aca="false">AA55</f>
        <v>0</v>
      </c>
      <c r="BY55" s="60" t="n">
        <f aca="false">H55</f>
        <v>0.58</v>
      </c>
      <c r="BZ55" s="60" t="n">
        <f aca="false">Z55</f>
        <v>0</v>
      </c>
      <c r="CA55" s="60" t="n">
        <f aca="false">AB55+AC55+AD55</f>
        <v>0</v>
      </c>
      <c r="CB55" s="60" t="n">
        <f aca="false">AE55+AF55+AG55+AH55+AI55</f>
        <v>0</v>
      </c>
    </row>
    <row r="56" customFormat="false" ht="15" hidden="false" customHeight="false" outlineLevel="0" collapsed="false">
      <c r="A56" s="58" t="n">
        <v>45284</v>
      </c>
      <c r="B56" s="59" t="n">
        <f aca="false">YEAR(A56)</f>
        <v>2023</v>
      </c>
      <c r="C56" s="59" t="n">
        <f aca="false">MONTH(A56)</f>
        <v>12</v>
      </c>
      <c r="D56" s="60" t="n">
        <v>424</v>
      </c>
      <c r="E56" s="61" t="n">
        <v>0.6454</v>
      </c>
      <c r="F56" s="61" t="n">
        <v>1.0282</v>
      </c>
      <c r="G56" s="61" t="n">
        <v>0</v>
      </c>
      <c r="H56" s="60" t="n">
        <v>7.62</v>
      </c>
      <c r="I56" s="60" t="n">
        <f aca="false">H56+'Level 4'!$C$12/100*I55</f>
        <v>7.62</v>
      </c>
      <c r="J56" s="60" t="n">
        <v>99.13</v>
      </c>
      <c r="K56" s="60" t="n">
        <v>8.71</v>
      </c>
      <c r="L56" s="60" t="n">
        <v>0</v>
      </c>
      <c r="M56" s="60" t="n">
        <f aca="false">L56+Answers!$C$14/100*M55</f>
        <v>249.45692462867</v>
      </c>
      <c r="N56" s="60" t="n">
        <v>0</v>
      </c>
      <c r="O56" s="60" t="n">
        <v>0</v>
      </c>
      <c r="P56" s="60" t="n">
        <v>0</v>
      </c>
      <c r="Q56" s="60" t="n">
        <v>0</v>
      </c>
      <c r="R56" s="60" t="n">
        <v>7.2</v>
      </c>
      <c r="S56" s="60" t="n">
        <f aca="false">N56+Answers!$C$16/100*S55</f>
        <v>1.17303726758126</v>
      </c>
      <c r="T56" s="60" t="n">
        <f aca="false">O56+Answers!$C$17/100*T55</f>
        <v>0.212479430848509</v>
      </c>
      <c r="U56" s="60" t="n">
        <f aca="false">P56+Answers!$C$18/100*U55</f>
        <v>1.14225608811293</v>
      </c>
      <c r="V56" s="60" t="n">
        <f aca="false">Q56+Answers!$C$19/100*V55</f>
        <v>0.205548642567292</v>
      </c>
      <c r="W56" s="60" t="n">
        <f aca="false">R56+Answers!$C$20/100*W55</f>
        <v>11.9950336685276</v>
      </c>
      <c r="X56" s="60" t="n">
        <f aca="false">IF('Level 1'!$C$11="",0,'Level 1'!$C$11)*E56</f>
        <v>0</v>
      </c>
      <c r="Y56" s="60" t="n">
        <f aca="false">-IF('Level 2'!$C$11="",0,'Level 2'!$C$11)*F56</f>
        <v>-0</v>
      </c>
      <c r="Z56" s="60" t="n">
        <f aca="false">IF('Level 3'!$C$11="",0,'Level 3'!$C$11)*G56</f>
        <v>0</v>
      </c>
      <c r="AA56" s="60" t="n">
        <f aca="false">IF('Level 4'!$C$11="",0,'Level 4'!$C$11)*(1-'Level 4'!$C$12/100)*I56</f>
        <v>0</v>
      </c>
      <c r="AB56" s="60" t="n">
        <f aca="false">IF('Level 5'!$C$11="",0,'Level 5'!$C$11)*J56</f>
        <v>0</v>
      </c>
      <c r="AC56" s="60" t="n">
        <f aca="false">IF('Level 5'!$C$12="",0,'Level 5'!$C$12)*K56</f>
        <v>0</v>
      </c>
      <c r="AD56" s="60" t="n">
        <f aca="false">IF('Level 5'!$C$13="",0,'Level 5'!$C$13)*(1-Answers!$C$14/100)*M56</f>
        <v>0</v>
      </c>
      <c r="AE56" s="60" t="n">
        <f aca="false">IF('Level 6'!$C$11="",0,'Level 6'!$C$11)*(1-Answers!$C$16/100)*S56</f>
        <v>0</v>
      </c>
      <c r="AF56" s="60" t="n">
        <f aca="false">IF('Level 6'!$C$12="",0,'Level 6'!$C$12)*(1-Answers!$C$17/100)*T56</f>
        <v>0</v>
      </c>
      <c r="AG56" s="60" t="n">
        <f aca="false">IF('Level 6'!$C$13="",0,'Level 6'!$C$13)*(1-Answers!$C$18/100)*U56</f>
        <v>0</v>
      </c>
      <c r="AH56" s="60" t="n">
        <f aca="false">IF('Level 6'!$C$14="",0,'Level 6'!$C$14)*(1-Answers!$C$19/100)*V56</f>
        <v>0</v>
      </c>
      <c r="AI56" s="60" t="n">
        <f aca="false">IF('Level 6'!$C$15="",0,'Level 6'!$C$15)*(1-Answers!$C$20/100)*W56</f>
        <v>0</v>
      </c>
      <c r="AJ56" s="60" t="n">
        <f aca="false">X56</f>
        <v>0</v>
      </c>
      <c r="AK56" s="60" t="n">
        <f aca="false">X56+Y56</f>
        <v>0</v>
      </c>
      <c r="AL56" s="60" t="n">
        <f aca="false">AK56+Z56</f>
        <v>0</v>
      </c>
      <c r="AM56" s="60" t="n">
        <f aca="false">AL56+AA56</f>
        <v>0</v>
      </c>
      <c r="AN56" s="60" t="n">
        <f aca="false">AM56+AB56+AC56+AD56</f>
        <v>0</v>
      </c>
      <c r="AO56" s="60" t="n">
        <f aca="false">AL56+AE56+AF56+AG56+AH56+AI56+AB56+AC56+AD56</f>
        <v>0</v>
      </c>
      <c r="AP56" s="60" t="n">
        <f aca="false">IF(Answers!$C$22="Yes",AO56,AN56)</f>
        <v>0</v>
      </c>
      <c r="AQ56" s="60" t="n">
        <v>565.1</v>
      </c>
      <c r="AR56" s="60" t="n">
        <v>-979.3</v>
      </c>
      <c r="AS56" s="60" t="n">
        <v>0</v>
      </c>
      <c r="AT56" s="60" t="n">
        <v>155.1</v>
      </c>
      <c r="AU56" s="60" t="n">
        <v>307.8</v>
      </c>
      <c r="AV56" s="60" t="n">
        <v>32.1</v>
      </c>
      <c r="AW56" s="60" t="n">
        <v>2.3</v>
      </c>
      <c r="AX56" s="60" t="n">
        <v>18.4</v>
      </c>
      <c r="AY56" s="60" t="n">
        <v>4.8</v>
      </c>
      <c r="AZ56" s="60" t="n">
        <v>14.2</v>
      </c>
      <c r="BA56" s="60" t="n">
        <v>1.5</v>
      </c>
      <c r="BB56" s="60" t="n">
        <v>116.2</v>
      </c>
      <c r="BC56" s="60" t="n">
        <f aca="false">AQ56+AR56+AS56+AT56+AU56+AV56+AW56</f>
        <v>83.1000000000001</v>
      </c>
      <c r="BD56" s="60" t="n">
        <f aca="false">AQ56</f>
        <v>565.1</v>
      </c>
      <c r="BE56" s="60" t="n">
        <f aca="false">AQ56+AR56</f>
        <v>-414.2</v>
      </c>
      <c r="BF56" s="60" t="n">
        <f aca="false">BE56+AS56</f>
        <v>-414.2</v>
      </c>
      <c r="BG56" s="60" t="n">
        <f aca="false">BF56+AT56</f>
        <v>-259.1</v>
      </c>
      <c r="BH56" s="60" t="n">
        <f aca="false">BG56+AU56+AV56+AW56</f>
        <v>83.1000000000001</v>
      </c>
      <c r="BI56" s="60" t="n">
        <f aca="false">BC56</f>
        <v>83.1000000000001</v>
      </c>
      <c r="BJ56" s="60" t="n">
        <f aca="false">IF('Level 1'!$C$31="Yes",BD56,AJ56)</f>
        <v>0</v>
      </c>
      <c r="BK56" s="60" t="n">
        <f aca="false">IF('Level 2'!$C$31="Yes",BE56,AK56)</f>
        <v>0</v>
      </c>
      <c r="BL56" s="60" t="n">
        <f aca="false">IF('Level 3'!$C$31="Yes",BF56,AL56)</f>
        <v>0</v>
      </c>
      <c r="BM56" s="60" t="n">
        <f aca="false">IF('Level 4'!$C$31="Yes",BG56,AM56)</f>
        <v>0</v>
      </c>
      <c r="BN56" s="60" t="n">
        <f aca="false">IF('Level 5'!$C$31="Yes",BH56,AN56)</f>
        <v>0</v>
      </c>
      <c r="BO56" s="60" t="n">
        <f aca="false">IF('Level 6'!$C$31="Yes",BI56,AO56)</f>
        <v>0</v>
      </c>
      <c r="BP56" s="60" t="n">
        <f aca="false">IF('Level 7'!$C$31="Yes",BC56,AP56)</f>
        <v>0</v>
      </c>
      <c r="BQ56" s="60" t="n">
        <f aca="false">D56-AP56</f>
        <v>424</v>
      </c>
      <c r="BR56" s="60" t="n">
        <f aca="false">BQ56^2</f>
        <v>179776</v>
      </c>
      <c r="BS56" s="60" t="n">
        <f aca="false">(BQ56-BQ55)^2</f>
        <v>67081</v>
      </c>
      <c r="BT56" s="60" t="str">
        <f aca="false">IF(D56&gt;2000,ABS(BQ56)/D56,"")</f>
        <v/>
      </c>
      <c r="BU56" s="60" t="n">
        <v>239</v>
      </c>
      <c r="BV56" s="62" t="n">
        <v>0.5454</v>
      </c>
      <c r="BW56" s="60" t="n">
        <v>177.6</v>
      </c>
      <c r="BX56" s="60" t="n">
        <f aca="false">AA56</f>
        <v>0</v>
      </c>
      <c r="BY56" s="60" t="n">
        <f aca="false">H56</f>
        <v>7.62</v>
      </c>
      <c r="BZ56" s="60" t="n">
        <f aca="false">Z56</f>
        <v>0</v>
      </c>
      <c r="CA56" s="60" t="n">
        <f aca="false">AB56+AC56+AD56</f>
        <v>0</v>
      </c>
      <c r="CB56" s="60" t="n">
        <f aca="false">AE56+AF56+AG56+AH56+AI56</f>
        <v>0</v>
      </c>
    </row>
    <row r="57" customFormat="false" ht="15" hidden="false" customHeight="false" outlineLevel="0" collapsed="false">
      <c r="A57" s="58" t="n">
        <v>45291</v>
      </c>
      <c r="B57" s="59" t="n">
        <f aca="false">YEAR(A57)</f>
        <v>2023</v>
      </c>
      <c r="C57" s="59" t="n">
        <f aca="false">MONTH(A57)</f>
        <v>12</v>
      </c>
      <c r="D57" s="60" t="n">
        <v>2911</v>
      </c>
      <c r="E57" s="61" t="n">
        <v>0.6434</v>
      </c>
      <c r="F57" s="61" t="n">
        <v>0.1211</v>
      </c>
      <c r="G57" s="61" t="n">
        <v>0.7291</v>
      </c>
      <c r="H57" s="60" t="n">
        <v>49.28</v>
      </c>
      <c r="I57" s="60" t="n">
        <f aca="false">H57+'Level 4'!$C$12/100*I56</f>
        <v>49.28</v>
      </c>
      <c r="J57" s="60" t="n">
        <v>103.36</v>
      </c>
      <c r="K57" s="60" t="n">
        <v>9.09</v>
      </c>
      <c r="L57" s="60" t="n">
        <v>0</v>
      </c>
      <c r="M57" s="60" t="n">
        <f aca="false">L57+Answers!$C$14/100*M56</f>
        <v>149.674154777202</v>
      </c>
      <c r="N57" s="60" t="n">
        <v>0</v>
      </c>
      <c r="O57" s="60" t="n">
        <v>0</v>
      </c>
      <c r="P57" s="60" t="n">
        <v>14.23</v>
      </c>
      <c r="Q57" s="60" t="n">
        <v>0</v>
      </c>
      <c r="R57" s="60" t="n">
        <v>32.14</v>
      </c>
      <c r="S57" s="60" t="n">
        <f aca="false">N57+Answers!$C$16/100*S56</f>
        <v>0.938429814065004</v>
      </c>
      <c r="T57" s="60" t="n">
        <f aca="false">O57+Answers!$C$17/100*T56</f>
        <v>0.169983544678807</v>
      </c>
      <c r="U57" s="60" t="n">
        <f aca="false">P57+Answers!$C$18/100*U56</f>
        <v>15.1438048704903</v>
      </c>
      <c r="V57" s="60" t="n">
        <f aca="false">Q57+Answers!$C$19/100*V56</f>
        <v>0.164438914053834</v>
      </c>
      <c r="W57" s="60" t="n">
        <f aca="false">R57+Answers!$C$20/100*W56</f>
        <v>41.7360269348221</v>
      </c>
      <c r="X57" s="60" t="n">
        <f aca="false">IF('Level 1'!$C$11="",0,'Level 1'!$C$11)*E57</f>
        <v>0</v>
      </c>
      <c r="Y57" s="60" t="n">
        <f aca="false">-IF('Level 2'!$C$11="",0,'Level 2'!$C$11)*F57</f>
        <v>-0</v>
      </c>
      <c r="Z57" s="60" t="n">
        <f aca="false">IF('Level 3'!$C$11="",0,'Level 3'!$C$11)*G57</f>
        <v>0</v>
      </c>
      <c r="AA57" s="60" t="n">
        <f aca="false">IF('Level 4'!$C$11="",0,'Level 4'!$C$11)*(1-'Level 4'!$C$12/100)*I57</f>
        <v>0</v>
      </c>
      <c r="AB57" s="60" t="n">
        <f aca="false">IF('Level 5'!$C$11="",0,'Level 5'!$C$11)*J57</f>
        <v>0</v>
      </c>
      <c r="AC57" s="60" t="n">
        <f aca="false">IF('Level 5'!$C$12="",0,'Level 5'!$C$12)*K57</f>
        <v>0</v>
      </c>
      <c r="AD57" s="60" t="n">
        <f aca="false">IF('Level 5'!$C$13="",0,'Level 5'!$C$13)*(1-Answers!$C$14/100)*M57</f>
        <v>0</v>
      </c>
      <c r="AE57" s="60" t="n">
        <f aca="false">IF('Level 6'!$C$11="",0,'Level 6'!$C$11)*(1-Answers!$C$16/100)*S57</f>
        <v>0</v>
      </c>
      <c r="AF57" s="60" t="n">
        <f aca="false">IF('Level 6'!$C$12="",0,'Level 6'!$C$12)*(1-Answers!$C$17/100)*T57</f>
        <v>0</v>
      </c>
      <c r="AG57" s="60" t="n">
        <f aca="false">IF('Level 6'!$C$13="",0,'Level 6'!$C$13)*(1-Answers!$C$18/100)*U57</f>
        <v>0</v>
      </c>
      <c r="AH57" s="60" t="n">
        <f aca="false">IF('Level 6'!$C$14="",0,'Level 6'!$C$14)*(1-Answers!$C$19/100)*V57</f>
        <v>0</v>
      </c>
      <c r="AI57" s="60" t="n">
        <f aca="false">IF('Level 6'!$C$15="",0,'Level 6'!$C$15)*(1-Answers!$C$20/100)*W57</f>
        <v>0</v>
      </c>
      <c r="AJ57" s="60" t="n">
        <f aca="false">X57</f>
        <v>0</v>
      </c>
      <c r="AK57" s="60" t="n">
        <f aca="false">X57+Y57</f>
        <v>0</v>
      </c>
      <c r="AL57" s="60" t="n">
        <f aca="false">AK57+Z57</f>
        <v>0</v>
      </c>
      <c r="AM57" s="60" t="n">
        <f aca="false">AL57+AA57</f>
        <v>0</v>
      </c>
      <c r="AN57" s="60" t="n">
        <f aca="false">AM57+AB57+AC57+AD57</f>
        <v>0</v>
      </c>
      <c r="AO57" s="60" t="n">
        <f aca="false">AL57+AE57+AF57+AG57+AH57+AI57+AB57+AC57+AD57</f>
        <v>0</v>
      </c>
      <c r="AP57" s="60" t="n">
        <f aca="false">IF(Answers!$C$22="Yes",AO57,AN57)</f>
        <v>0</v>
      </c>
      <c r="AQ57" s="60" t="n">
        <v>563.4</v>
      </c>
      <c r="AR57" s="60" t="n">
        <v>-115.3</v>
      </c>
      <c r="AS57" s="60" t="n">
        <v>5539.2</v>
      </c>
      <c r="AT57" s="60" t="n">
        <v>243.8</v>
      </c>
      <c r="AU57" s="60" t="n">
        <v>326.4</v>
      </c>
      <c r="AV57" s="60" t="n">
        <v>33.5</v>
      </c>
      <c r="AW57" s="60" t="n">
        <v>1.5</v>
      </c>
      <c r="AX57" s="60" t="n">
        <v>15.6</v>
      </c>
      <c r="AY57" s="60" t="n">
        <v>4.1</v>
      </c>
      <c r="AZ57" s="60" t="n">
        <v>49.4</v>
      </c>
      <c r="BA57" s="60" t="n">
        <v>1.3</v>
      </c>
      <c r="BB57" s="60" t="n">
        <v>173.5</v>
      </c>
      <c r="BC57" s="60" t="n">
        <f aca="false">AQ57+AR57+AS57+AT57+AU57+AV57+AW57</f>
        <v>6592.5</v>
      </c>
      <c r="BD57" s="60" t="n">
        <f aca="false">AQ57</f>
        <v>563.4</v>
      </c>
      <c r="BE57" s="60" t="n">
        <f aca="false">AQ57+AR57</f>
        <v>448.1</v>
      </c>
      <c r="BF57" s="60" t="n">
        <f aca="false">BE57+AS57</f>
        <v>5987.3</v>
      </c>
      <c r="BG57" s="60" t="n">
        <f aca="false">BF57+AT57</f>
        <v>6231.1</v>
      </c>
      <c r="BH57" s="60" t="n">
        <f aca="false">BG57+AU57+AV57+AW57</f>
        <v>6592.5</v>
      </c>
      <c r="BI57" s="60" t="n">
        <f aca="false">BC57</f>
        <v>6592.5</v>
      </c>
      <c r="BJ57" s="60" t="n">
        <f aca="false">IF('Level 1'!$C$31="Yes",BD57,AJ57)</f>
        <v>0</v>
      </c>
      <c r="BK57" s="60" t="n">
        <f aca="false">IF('Level 2'!$C$31="Yes",BE57,AK57)</f>
        <v>0</v>
      </c>
      <c r="BL57" s="60" t="n">
        <f aca="false">IF('Level 3'!$C$31="Yes",BF57,AL57)</f>
        <v>0</v>
      </c>
      <c r="BM57" s="60" t="n">
        <f aca="false">IF('Level 4'!$C$31="Yes",BG57,AM57)</f>
        <v>0</v>
      </c>
      <c r="BN57" s="60" t="n">
        <f aca="false">IF('Level 5'!$C$31="Yes",BH57,AN57)</f>
        <v>0</v>
      </c>
      <c r="BO57" s="60" t="n">
        <f aca="false">IF('Level 6'!$C$31="Yes",BI57,AO57)</f>
        <v>0</v>
      </c>
      <c r="BP57" s="60" t="n">
        <f aca="false">IF('Level 7'!$C$31="Yes",BC57,AP57)</f>
        <v>0</v>
      </c>
      <c r="BQ57" s="60" t="n">
        <f aca="false">D57-AP57</f>
        <v>2911</v>
      </c>
      <c r="BR57" s="60" t="n">
        <f aca="false">BQ57^2</f>
        <v>8473921</v>
      </c>
      <c r="BS57" s="60" t="n">
        <f aca="false">(BQ57-BQ56)^2</f>
        <v>6185169</v>
      </c>
      <c r="BT57" s="60" t="n">
        <f aca="false">IF(D57&gt;2000,ABS(BQ57)/D57,"")</f>
        <v>1</v>
      </c>
      <c r="BU57" s="60" t="n">
        <v>154</v>
      </c>
      <c r="BV57" s="62" t="n">
        <v>0.5123</v>
      </c>
      <c r="BW57" s="60" t="n">
        <v>220.1</v>
      </c>
      <c r="BX57" s="60" t="n">
        <f aca="false">AA57</f>
        <v>0</v>
      </c>
      <c r="BY57" s="60" t="n">
        <f aca="false">H57</f>
        <v>49.28</v>
      </c>
      <c r="BZ57" s="60" t="n">
        <f aca="false">Z57</f>
        <v>0</v>
      </c>
      <c r="CA57" s="60" t="n">
        <f aca="false">AB57+AC57+AD57</f>
        <v>0</v>
      </c>
      <c r="CB57" s="60" t="n">
        <f aca="false">AE57+AF57+AG57+AH57+AI57</f>
        <v>0</v>
      </c>
    </row>
    <row r="58" customFormat="false" ht="15" hidden="false" customHeight="false" outlineLevel="0" collapsed="false">
      <c r="A58" s="58" t="n">
        <v>45298</v>
      </c>
      <c r="B58" s="59" t="n">
        <f aca="false">YEAR(A58)</f>
        <v>2024</v>
      </c>
      <c r="C58" s="59" t="n">
        <f aca="false">MONTH(A58)</f>
        <v>1</v>
      </c>
      <c r="D58" s="60" t="n">
        <v>10541</v>
      </c>
      <c r="E58" s="61" t="n">
        <v>0.6256</v>
      </c>
      <c r="F58" s="61" t="n">
        <v>0.128</v>
      </c>
      <c r="G58" s="61" t="n">
        <v>0.7291</v>
      </c>
      <c r="H58" s="60" t="n">
        <v>255.8</v>
      </c>
      <c r="I58" s="60" t="n">
        <f aca="false">H58+'Level 4'!$C$12/100*I57</f>
        <v>255.8</v>
      </c>
      <c r="J58" s="60" t="n">
        <v>234.55</v>
      </c>
      <c r="K58" s="60" t="n">
        <v>655.51</v>
      </c>
      <c r="L58" s="60" t="n">
        <v>2.14</v>
      </c>
      <c r="M58" s="60" t="n">
        <f aca="false">L58+Answers!$C$14/100*M57</f>
        <v>91.9444928663213</v>
      </c>
      <c r="N58" s="60" t="n">
        <v>49.95</v>
      </c>
      <c r="O58" s="60" t="n">
        <v>17.24</v>
      </c>
      <c r="P58" s="60" t="n">
        <v>62.24</v>
      </c>
      <c r="Q58" s="60" t="n">
        <v>3.5</v>
      </c>
      <c r="R58" s="60" t="n">
        <v>112.34</v>
      </c>
      <c r="S58" s="60" t="n">
        <f aca="false">N58+Answers!$C$16/100*S57</f>
        <v>50.700743851252</v>
      </c>
      <c r="T58" s="60" t="n">
        <f aca="false">O58+Answers!$C$17/100*T57</f>
        <v>17.375986835743</v>
      </c>
      <c r="U58" s="60" t="n">
        <f aca="false">P58+Answers!$C$18/100*U57</f>
        <v>74.3550438963923</v>
      </c>
      <c r="V58" s="60" t="n">
        <f aca="false">Q58+Answers!$C$19/100*V57</f>
        <v>3.63155113124307</v>
      </c>
      <c r="W58" s="60" t="n">
        <f aca="false">R58+Answers!$C$20/100*W57</f>
        <v>145.728821547858</v>
      </c>
      <c r="X58" s="60" t="n">
        <f aca="false">IF('Level 1'!$C$11="",0,'Level 1'!$C$11)*E58</f>
        <v>0</v>
      </c>
      <c r="Y58" s="60" t="n">
        <f aca="false">-IF('Level 2'!$C$11="",0,'Level 2'!$C$11)*F58</f>
        <v>-0</v>
      </c>
      <c r="Z58" s="60" t="n">
        <f aca="false">IF('Level 3'!$C$11="",0,'Level 3'!$C$11)*G58</f>
        <v>0</v>
      </c>
      <c r="AA58" s="60" t="n">
        <f aca="false">IF('Level 4'!$C$11="",0,'Level 4'!$C$11)*(1-'Level 4'!$C$12/100)*I58</f>
        <v>0</v>
      </c>
      <c r="AB58" s="60" t="n">
        <f aca="false">IF('Level 5'!$C$11="",0,'Level 5'!$C$11)*J58</f>
        <v>0</v>
      </c>
      <c r="AC58" s="60" t="n">
        <f aca="false">IF('Level 5'!$C$12="",0,'Level 5'!$C$12)*K58</f>
        <v>0</v>
      </c>
      <c r="AD58" s="60" t="n">
        <f aca="false">IF('Level 5'!$C$13="",0,'Level 5'!$C$13)*(1-Answers!$C$14/100)*M58</f>
        <v>0</v>
      </c>
      <c r="AE58" s="60" t="n">
        <f aca="false">IF('Level 6'!$C$11="",0,'Level 6'!$C$11)*(1-Answers!$C$16/100)*S58</f>
        <v>0</v>
      </c>
      <c r="AF58" s="60" t="n">
        <f aca="false">IF('Level 6'!$C$12="",0,'Level 6'!$C$12)*(1-Answers!$C$17/100)*T58</f>
        <v>0</v>
      </c>
      <c r="AG58" s="60" t="n">
        <f aca="false">IF('Level 6'!$C$13="",0,'Level 6'!$C$13)*(1-Answers!$C$18/100)*U58</f>
        <v>0</v>
      </c>
      <c r="AH58" s="60" t="n">
        <f aca="false">IF('Level 6'!$C$14="",0,'Level 6'!$C$14)*(1-Answers!$C$19/100)*V58</f>
        <v>0</v>
      </c>
      <c r="AI58" s="60" t="n">
        <f aca="false">IF('Level 6'!$C$15="",0,'Level 6'!$C$15)*(1-Answers!$C$20/100)*W58</f>
        <v>0</v>
      </c>
      <c r="AJ58" s="60" t="n">
        <f aca="false">X58</f>
        <v>0</v>
      </c>
      <c r="AK58" s="60" t="n">
        <f aca="false">X58+Y58</f>
        <v>0</v>
      </c>
      <c r="AL58" s="60" t="n">
        <f aca="false">AK58+Z58</f>
        <v>0</v>
      </c>
      <c r="AM58" s="60" t="n">
        <f aca="false">AL58+AA58</f>
        <v>0</v>
      </c>
      <c r="AN58" s="60" t="n">
        <f aca="false">AM58+AB58+AC58+AD58</f>
        <v>0</v>
      </c>
      <c r="AO58" s="60" t="n">
        <f aca="false">AL58+AE58+AF58+AG58+AH58+AI58+AB58+AC58+AD58</f>
        <v>0</v>
      </c>
      <c r="AP58" s="60" t="n">
        <f aca="false">IF(Answers!$C$22="Yes",AO58,AN58)</f>
        <v>0</v>
      </c>
      <c r="AQ58" s="60" t="n">
        <v>547.8</v>
      </c>
      <c r="AR58" s="60" t="n">
        <v>-121.9</v>
      </c>
      <c r="AS58" s="60" t="n">
        <v>5539.2</v>
      </c>
      <c r="AT58" s="60" t="n">
        <v>817.3</v>
      </c>
      <c r="AU58" s="60" t="n">
        <v>878.3</v>
      </c>
      <c r="AV58" s="60" t="n">
        <v>2398.3</v>
      </c>
      <c r="AW58" s="60" t="n">
        <v>1</v>
      </c>
      <c r="AX58" s="60" t="n">
        <v>143.3</v>
      </c>
      <c r="AY58" s="60" t="n">
        <v>48.4</v>
      </c>
      <c r="AZ58" s="60" t="n">
        <v>204.6</v>
      </c>
      <c r="BA58" s="60" t="n">
        <v>4</v>
      </c>
      <c r="BB58" s="60" t="n">
        <v>417.1</v>
      </c>
      <c r="BC58" s="60" t="n">
        <f aca="false">AQ58+AR58+AS58+AT58+AU58+AV58+AW58</f>
        <v>10060</v>
      </c>
      <c r="BD58" s="60" t="n">
        <f aca="false">AQ58</f>
        <v>547.8</v>
      </c>
      <c r="BE58" s="60" t="n">
        <f aca="false">AQ58+AR58</f>
        <v>425.9</v>
      </c>
      <c r="BF58" s="60" t="n">
        <f aca="false">BE58+AS58</f>
        <v>5965.1</v>
      </c>
      <c r="BG58" s="60" t="n">
        <f aca="false">BF58+AT58</f>
        <v>6782.4</v>
      </c>
      <c r="BH58" s="60" t="n">
        <f aca="false">BG58+AU58+AV58+AW58</f>
        <v>10060</v>
      </c>
      <c r="BI58" s="60" t="n">
        <f aca="false">BC58</f>
        <v>10060</v>
      </c>
      <c r="BJ58" s="60" t="n">
        <f aca="false">IF('Level 1'!$C$31="Yes",BD58,AJ58)</f>
        <v>0</v>
      </c>
      <c r="BK58" s="60" t="n">
        <f aca="false">IF('Level 2'!$C$31="Yes",BE58,AK58)</f>
        <v>0</v>
      </c>
      <c r="BL58" s="60" t="n">
        <f aca="false">IF('Level 3'!$C$31="Yes",BF58,AL58)</f>
        <v>0</v>
      </c>
      <c r="BM58" s="60" t="n">
        <f aca="false">IF('Level 4'!$C$31="Yes",BG58,AM58)</f>
        <v>0</v>
      </c>
      <c r="BN58" s="60" t="n">
        <f aca="false">IF('Level 5'!$C$31="Yes",BH58,AN58)</f>
        <v>0</v>
      </c>
      <c r="BO58" s="60" t="n">
        <f aca="false">IF('Level 6'!$C$31="Yes",BI58,AO58)</f>
        <v>0</v>
      </c>
      <c r="BP58" s="60" t="n">
        <f aca="false">IF('Level 7'!$C$31="Yes",BC58,AP58)</f>
        <v>0</v>
      </c>
      <c r="BQ58" s="60" t="n">
        <f aca="false">D58-AP58</f>
        <v>10541</v>
      </c>
      <c r="BR58" s="60" t="n">
        <f aca="false">BQ58^2</f>
        <v>111112681</v>
      </c>
      <c r="BS58" s="60" t="n">
        <f aca="false">(BQ58-BQ57)^2</f>
        <v>58216900</v>
      </c>
      <c r="BT58" s="60" t="n">
        <f aca="false">IF(D58&gt;2000,ABS(BQ58)/D58,"")</f>
        <v>1</v>
      </c>
      <c r="BU58" s="60" t="n">
        <v>268</v>
      </c>
      <c r="BV58" s="62" t="n">
        <v>0.5123</v>
      </c>
      <c r="BW58" s="60" t="n">
        <v>1195</v>
      </c>
      <c r="BX58" s="60" t="n">
        <f aca="false">AA58</f>
        <v>0</v>
      </c>
      <c r="BY58" s="60" t="n">
        <f aca="false">H58</f>
        <v>255.8</v>
      </c>
      <c r="BZ58" s="60" t="n">
        <f aca="false">Z58</f>
        <v>0</v>
      </c>
      <c r="CA58" s="60" t="n">
        <f aca="false">AB58+AC58+AD58</f>
        <v>0</v>
      </c>
      <c r="CB58" s="60" t="n">
        <f aca="false">AE58+AF58+AG58+AH58+AI58</f>
        <v>0</v>
      </c>
    </row>
    <row r="59" customFormat="false" ht="15" hidden="false" customHeight="false" outlineLevel="0" collapsed="false">
      <c r="A59" s="58" t="n">
        <v>45305</v>
      </c>
      <c r="B59" s="59" t="n">
        <f aca="false">YEAR(A59)</f>
        <v>2024</v>
      </c>
      <c r="C59" s="59" t="n">
        <f aca="false">MONTH(A59)</f>
        <v>1</v>
      </c>
      <c r="D59" s="60" t="n">
        <v>15091</v>
      </c>
      <c r="E59" s="61" t="n">
        <v>0.6157</v>
      </c>
      <c r="F59" s="61" t="n">
        <v>-0.0548</v>
      </c>
      <c r="G59" s="61" t="n">
        <v>0.7291</v>
      </c>
      <c r="H59" s="60" t="n">
        <v>323.09</v>
      </c>
      <c r="I59" s="60" t="n">
        <f aca="false">H59+'Level 4'!$C$12/100*I58</f>
        <v>323.09</v>
      </c>
      <c r="J59" s="60" t="n">
        <v>198.95</v>
      </c>
      <c r="K59" s="60" t="n">
        <v>453.42</v>
      </c>
      <c r="L59" s="60" t="n">
        <v>1.97</v>
      </c>
      <c r="M59" s="60" t="n">
        <f aca="false">L59+Answers!$C$14/100*M58</f>
        <v>57.1366957197928</v>
      </c>
      <c r="N59" s="60" t="n">
        <v>42.37</v>
      </c>
      <c r="O59" s="60" t="n">
        <v>79.04</v>
      </c>
      <c r="P59" s="60" t="n">
        <v>47.61</v>
      </c>
      <c r="Q59" s="60" t="n">
        <v>3.5</v>
      </c>
      <c r="R59" s="60" t="n">
        <v>135.49</v>
      </c>
      <c r="S59" s="60" t="n">
        <f aca="false">N59+Answers!$C$16/100*S58</f>
        <v>82.9305950810016</v>
      </c>
      <c r="T59" s="60" t="n">
        <f aca="false">O59+Answers!$C$17/100*T58</f>
        <v>92.9407894685945</v>
      </c>
      <c r="U59" s="60" t="n">
        <f aca="false">P59+Answers!$C$18/100*U58</f>
        <v>107.094035117114</v>
      </c>
      <c r="V59" s="60" t="n">
        <f aca="false">Q59+Answers!$C$19/100*V58</f>
        <v>6.40524090499445</v>
      </c>
      <c r="W59" s="60" t="n">
        <f aca="false">R59+Answers!$C$20/100*W58</f>
        <v>252.073057238286</v>
      </c>
      <c r="X59" s="60" t="n">
        <f aca="false">IF('Level 1'!$C$11="",0,'Level 1'!$C$11)*E59</f>
        <v>0</v>
      </c>
      <c r="Y59" s="60" t="n">
        <f aca="false">-IF('Level 2'!$C$11="",0,'Level 2'!$C$11)*F59</f>
        <v>0</v>
      </c>
      <c r="Z59" s="60" t="n">
        <f aca="false">IF('Level 3'!$C$11="",0,'Level 3'!$C$11)*G59</f>
        <v>0</v>
      </c>
      <c r="AA59" s="60" t="n">
        <f aca="false">IF('Level 4'!$C$11="",0,'Level 4'!$C$11)*(1-'Level 4'!$C$12/100)*I59</f>
        <v>0</v>
      </c>
      <c r="AB59" s="60" t="n">
        <f aca="false">IF('Level 5'!$C$11="",0,'Level 5'!$C$11)*J59</f>
        <v>0</v>
      </c>
      <c r="AC59" s="60" t="n">
        <f aca="false">IF('Level 5'!$C$12="",0,'Level 5'!$C$12)*K59</f>
        <v>0</v>
      </c>
      <c r="AD59" s="60" t="n">
        <f aca="false">IF('Level 5'!$C$13="",0,'Level 5'!$C$13)*(1-Answers!$C$14/100)*M59</f>
        <v>0</v>
      </c>
      <c r="AE59" s="60" t="n">
        <f aca="false">IF('Level 6'!$C$11="",0,'Level 6'!$C$11)*(1-Answers!$C$16/100)*S59</f>
        <v>0</v>
      </c>
      <c r="AF59" s="60" t="n">
        <f aca="false">IF('Level 6'!$C$12="",0,'Level 6'!$C$12)*(1-Answers!$C$17/100)*T59</f>
        <v>0</v>
      </c>
      <c r="AG59" s="60" t="n">
        <f aca="false">IF('Level 6'!$C$13="",0,'Level 6'!$C$13)*(1-Answers!$C$18/100)*U59</f>
        <v>0</v>
      </c>
      <c r="AH59" s="60" t="n">
        <f aca="false">IF('Level 6'!$C$14="",0,'Level 6'!$C$14)*(1-Answers!$C$19/100)*V59</f>
        <v>0</v>
      </c>
      <c r="AI59" s="60" t="n">
        <f aca="false">IF('Level 6'!$C$15="",0,'Level 6'!$C$15)*(1-Answers!$C$20/100)*W59</f>
        <v>0</v>
      </c>
      <c r="AJ59" s="60" t="n">
        <f aca="false">X59</f>
        <v>0</v>
      </c>
      <c r="AK59" s="60" t="n">
        <f aca="false">X59+Y59</f>
        <v>0</v>
      </c>
      <c r="AL59" s="60" t="n">
        <f aca="false">AK59+Z59</f>
        <v>0</v>
      </c>
      <c r="AM59" s="60" t="n">
        <f aca="false">AL59+AA59</f>
        <v>0</v>
      </c>
      <c r="AN59" s="60" t="n">
        <f aca="false">AM59+AB59+AC59+AD59</f>
        <v>0</v>
      </c>
      <c r="AO59" s="60" t="n">
        <f aca="false">AL59+AE59+AF59+AG59+AH59+AI59+AB59+AC59+AD59</f>
        <v>0</v>
      </c>
      <c r="AP59" s="60" t="n">
        <f aca="false">IF(Answers!$C$22="Yes",AO59,AN59)</f>
        <v>0</v>
      </c>
      <c r="AQ59" s="60" t="n">
        <v>539.1</v>
      </c>
      <c r="AR59" s="60" t="n">
        <v>52.2</v>
      </c>
      <c r="AS59" s="60" t="n">
        <v>5539.2</v>
      </c>
      <c r="AT59" s="60" t="n">
        <v>1468.5</v>
      </c>
      <c r="AU59" s="60" t="n">
        <v>739.9</v>
      </c>
      <c r="AV59" s="60" t="n">
        <v>1658.9</v>
      </c>
      <c r="AW59" s="60" t="n">
        <v>0.6</v>
      </c>
      <c r="AX59" s="60" t="n">
        <v>232</v>
      </c>
      <c r="AY59" s="60" t="n">
        <v>247.2</v>
      </c>
      <c r="AZ59" s="60" t="n">
        <v>298.3</v>
      </c>
      <c r="BA59" s="60" t="n">
        <v>6.3</v>
      </c>
      <c r="BB59" s="60" t="n">
        <v>684.8</v>
      </c>
      <c r="BC59" s="60" t="n">
        <f aca="false">AQ59+AR59+AS59+AT59+AU59+AV59+AW59</f>
        <v>9998.4</v>
      </c>
      <c r="BD59" s="60" t="n">
        <f aca="false">AQ59</f>
        <v>539.1</v>
      </c>
      <c r="BE59" s="60" t="n">
        <f aca="false">AQ59+AR59</f>
        <v>591.3</v>
      </c>
      <c r="BF59" s="60" t="n">
        <f aca="false">BE59+AS59</f>
        <v>6130.5</v>
      </c>
      <c r="BG59" s="60" t="n">
        <f aca="false">BF59+AT59</f>
        <v>7599</v>
      </c>
      <c r="BH59" s="60" t="n">
        <f aca="false">BG59+AU59+AV59+AW59</f>
        <v>9998.4</v>
      </c>
      <c r="BI59" s="60" t="n">
        <f aca="false">BC59</f>
        <v>9998.4</v>
      </c>
      <c r="BJ59" s="60" t="n">
        <f aca="false">IF('Level 1'!$C$31="Yes",BD59,AJ59)</f>
        <v>0</v>
      </c>
      <c r="BK59" s="60" t="n">
        <f aca="false">IF('Level 2'!$C$31="Yes",BE59,AK59)</f>
        <v>0</v>
      </c>
      <c r="BL59" s="60" t="n">
        <f aca="false">IF('Level 3'!$C$31="Yes",BF59,AL59)</f>
        <v>0</v>
      </c>
      <c r="BM59" s="60" t="n">
        <f aca="false">IF('Level 4'!$C$31="Yes",BG59,AM59)</f>
        <v>0</v>
      </c>
      <c r="BN59" s="60" t="n">
        <f aca="false">IF('Level 5'!$C$31="Yes",BH59,AN59)</f>
        <v>0</v>
      </c>
      <c r="BO59" s="60" t="n">
        <f aca="false">IF('Level 6'!$C$31="Yes",BI59,AO59)</f>
        <v>0</v>
      </c>
      <c r="BP59" s="60" t="n">
        <f aca="false">IF('Level 7'!$C$31="Yes",BC59,AP59)</f>
        <v>0</v>
      </c>
      <c r="BQ59" s="60" t="n">
        <f aca="false">D59-AP59</f>
        <v>15091</v>
      </c>
      <c r="BR59" s="60" t="n">
        <f aca="false">BQ59^2</f>
        <v>227738281</v>
      </c>
      <c r="BS59" s="60" t="n">
        <f aca="false">(BQ59-BQ58)^2</f>
        <v>20702500</v>
      </c>
      <c r="BT59" s="60" t="n">
        <f aca="false">IF(D59&gt;2000,ABS(BQ59)/D59,"")</f>
        <v>1</v>
      </c>
      <c r="BU59" s="60" t="n">
        <v>281</v>
      </c>
      <c r="BV59" s="62" t="n">
        <v>0.5123</v>
      </c>
      <c r="BW59" s="60" t="n">
        <v>1001.1</v>
      </c>
      <c r="BX59" s="60" t="n">
        <f aca="false">AA59</f>
        <v>0</v>
      </c>
      <c r="BY59" s="60" t="n">
        <f aca="false">H59</f>
        <v>323.09</v>
      </c>
      <c r="BZ59" s="60" t="n">
        <f aca="false">Z59</f>
        <v>0</v>
      </c>
      <c r="CA59" s="60" t="n">
        <f aca="false">AB59+AC59+AD59</f>
        <v>0</v>
      </c>
      <c r="CB59" s="60" t="n">
        <f aca="false">AE59+AF59+AG59+AH59+AI59</f>
        <v>0</v>
      </c>
    </row>
    <row r="60" customFormat="false" ht="15" hidden="false" customHeight="false" outlineLevel="0" collapsed="false">
      <c r="A60" s="58" t="n">
        <v>45312</v>
      </c>
      <c r="B60" s="59" t="n">
        <f aca="false">YEAR(A60)</f>
        <v>2024</v>
      </c>
      <c r="C60" s="59" t="n">
        <f aca="false">MONTH(A60)</f>
        <v>1</v>
      </c>
      <c r="D60" s="60" t="n">
        <v>11231</v>
      </c>
      <c r="E60" s="61" t="n">
        <v>0.6191</v>
      </c>
      <c r="F60" s="61" t="n">
        <v>-0.0571</v>
      </c>
      <c r="G60" s="61" t="n">
        <v>0.7291</v>
      </c>
      <c r="H60" s="60" t="n">
        <v>274.32</v>
      </c>
      <c r="I60" s="60" t="n">
        <f aca="false">H60+'Level 4'!$C$12/100*I59</f>
        <v>274.32</v>
      </c>
      <c r="J60" s="60" t="n">
        <v>775.25</v>
      </c>
      <c r="K60" s="60" t="n">
        <v>102.84</v>
      </c>
      <c r="L60" s="60" t="n">
        <v>2.44</v>
      </c>
      <c r="M60" s="60" t="n">
        <f aca="false">L60+Answers!$C$14/100*M59</f>
        <v>36.7220174318757</v>
      </c>
      <c r="N60" s="60" t="n">
        <v>47.83</v>
      </c>
      <c r="O60" s="60" t="n">
        <v>21.16</v>
      </c>
      <c r="P60" s="60" t="n">
        <v>43.37</v>
      </c>
      <c r="Q60" s="60" t="n">
        <v>3.5</v>
      </c>
      <c r="R60" s="60" t="n">
        <v>147.23</v>
      </c>
      <c r="S60" s="60" t="n">
        <f aca="false">N60+Answers!$C$16/100*S59</f>
        <v>114.174476064801</v>
      </c>
      <c r="T60" s="60" t="n">
        <f aca="false">O60+Answers!$C$17/100*T59</f>
        <v>95.5126315748756</v>
      </c>
      <c r="U60" s="60" t="n">
        <f aca="false">P60+Answers!$C$18/100*U59</f>
        <v>129.045228093691</v>
      </c>
      <c r="V60" s="60" t="n">
        <f aca="false">Q60+Answers!$C$19/100*V59</f>
        <v>8.62419272399556</v>
      </c>
      <c r="W60" s="60" t="n">
        <f aca="false">R60+Answers!$C$20/100*W59</f>
        <v>348.888445790629</v>
      </c>
      <c r="X60" s="60" t="n">
        <f aca="false">IF('Level 1'!$C$11="",0,'Level 1'!$C$11)*E60</f>
        <v>0</v>
      </c>
      <c r="Y60" s="60" t="n">
        <f aca="false">-IF('Level 2'!$C$11="",0,'Level 2'!$C$11)*F60</f>
        <v>0</v>
      </c>
      <c r="Z60" s="60" t="n">
        <f aca="false">IF('Level 3'!$C$11="",0,'Level 3'!$C$11)*G60</f>
        <v>0</v>
      </c>
      <c r="AA60" s="60" t="n">
        <f aca="false">IF('Level 4'!$C$11="",0,'Level 4'!$C$11)*(1-'Level 4'!$C$12/100)*I60</f>
        <v>0</v>
      </c>
      <c r="AB60" s="60" t="n">
        <f aca="false">IF('Level 5'!$C$11="",0,'Level 5'!$C$11)*J60</f>
        <v>0</v>
      </c>
      <c r="AC60" s="60" t="n">
        <f aca="false">IF('Level 5'!$C$12="",0,'Level 5'!$C$12)*K60</f>
        <v>0</v>
      </c>
      <c r="AD60" s="60" t="n">
        <f aca="false">IF('Level 5'!$C$13="",0,'Level 5'!$C$13)*(1-Answers!$C$14/100)*M60</f>
        <v>0</v>
      </c>
      <c r="AE60" s="60" t="n">
        <f aca="false">IF('Level 6'!$C$11="",0,'Level 6'!$C$11)*(1-Answers!$C$16/100)*S60</f>
        <v>0</v>
      </c>
      <c r="AF60" s="60" t="n">
        <f aca="false">IF('Level 6'!$C$12="",0,'Level 6'!$C$12)*(1-Answers!$C$17/100)*T60</f>
        <v>0</v>
      </c>
      <c r="AG60" s="60" t="n">
        <f aca="false">IF('Level 6'!$C$13="",0,'Level 6'!$C$13)*(1-Answers!$C$18/100)*U60</f>
        <v>0</v>
      </c>
      <c r="AH60" s="60" t="n">
        <f aca="false">IF('Level 6'!$C$14="",0,'Level 6'!$C$14)*(1-Answers!$C$19/100)*V60</f>
        <v>0</v>
      </c>
      <c r="AI60" s="60" t="n">
        <f aca="false">IF('Level 6'!$C$15="",0,'Level 6'!$C$15)*(1-Answers!$C$20/100)*W60</f>
        <v>0</v>
      </c>
      <c r="AJ60" s="60" t="n">
        <f aca="false">X60</f>
        <v>0</v>
      </c>
      <c r="AK60" s="60" t="n">
        <f aca="false">X60+Y60</f>
        <v>0</v>
      </c>
      <c r="AL60" s="60" t="n">
        <f aca="false">AK60+Z60</f>
        <v>0</v>
      </c>
      <c r="AM60" s="60" t="n">
        <f aca="false">AL60+AA60</f>
        <v>0</v>
      </c>
      <c r="AN60" s="60" t="n">
        <f aca="false">AM60+AB60+AC60+AD60</f>
        <v>0</v>
      </c>
      <c r="AO60" s="60" t="n">
        <f aca="false">AL60+AE60+AF60+AG60+AH60+AI60+AB60+AC60+AD60</f>
        <v>0</v>
      </c>
      <c r="AP60" s="60" t="n">
        <f aca="false">IF(Answers!$C$22="Yes",AO60,AN60)</f>
        <v>0</v>
      </c>
      <c r="AQ60" s="60" t="n">
        <v>542.1</v>
      </c>
      <c r="AR60" s="60" t="n">
        <v>54.4</v>
      </c>
      <c r="AS60" s="60" t="n">
        <v>5539.2</v>
      </c>
      <c r="AT60" s="60" t="n">
        <v>1906.4</v>
      </c>
      <c r="AU60" s="60" t="n">
        <v>2995.9</v>
      </c>
      <c r="AV60" s="60" t="n">
        <v>376.3</v>
      </c>
      <c r="AW60" s="60" t="n">
        <v>0.4</v>
      </c>
      <c r="AX60" s="60" t="n">
        <v>321.6</v>
      </c>
      <c r="AY60" s="60" t="n">
        <v>265.2</v>
      </c>
      <c r="AZ60" s="60" t="n">
        <v>366.9</v>
      </c>
      <c r="BA60" s="60" t="n">
        <v>8.2</v>
      </c>
      <c r="BB60" s="60" t="n">
        <v>944.4</v>
      </c>
      <c r="BC60" s="60" t="n">
        <f aca="false">AQ60+AR60+AS60+AT60+AU60+AV60+AW60</f>
        <v>11414.7</v>
      </c>
      <c r="BD60" s="60" t="n">
        <f aca="false">AQ60</f>
        <v>542.1</v>
      </c>
      <c r="BE60" s="60" t="n">
        <f aca="false">AQ60+AR60</f>
        <v>596.5</v>
      </c>
      <c r="BF60" s="60" t="n">
        <f aca="false">BE60+AS60</f>
        <v>6135.7</v>
      </c>
      <c r="BG60" s="60" t="n">
        <f aca="false">BF60+AT60</f>
        <v>8042.1</v>
      </c>
      <c r="BH60" s="60" t="n">
        <f aca="false">BG60+AU60+AV60+AW60</f>
        <v>11414.7</v>
      </c>
      <c r="BI60" s="60" t="n">
        <f aca="false">BC60</f>
        <v>11414.7</v>
      </c>
      <c r="BJ60" s="60" t="n">
        <f aca="false">IF('Level 1'!$C$31="Yes",BD60,AJ60)</f>
        <v>0</v>
      </c>
      <c r="BK60" s="60" t="n">
        <f aca="false">IF('Level 2'!$C$31="Yes",BE60,AK60)</f>
        <v>0</v>
      </c>
      <c r="BL60" s="60" t="n">
        <f aca="false">IF('Level 3'!$C$31="Yes",BF60,AL60)</f>
        <v>0</v>
      </c>
      <c r="BM60" s="60" t="n">
        <f aca="false">IF('Level 4'!$C$31="Yes",BG60,AM60)</f>
        <v>0</v>
      </c>
      <c r="BN60" s="60" t="n">
        <f aca="false">IF('Level 5'!$C$31="Yes",BH60,AN60)</f>
        <v>0</v>
      </c>
      <c r="BO60" s="60" t="n">
        <f aca="false">IF('Level 6'!$C$31="Yes",BI60,AO60)</f>
        <v>0</v>
      </c>
      <c r="BP60" s="60" t="n">
        <f aca="false">IF('Level 7'!$C$31="Yes",BC60,AP60)</f>
        <v>0</v>
      </c>
      <c r="BQ60" s="60" t="n">
        <f aca="false">D60-AP60</f>
        <v>11231</v>
      </c>
      <c r="BR60" s="60" t="n">
        <f aca="false">BQ60^2</f>
        <v>126135361</v>
      </c>
      <c r="BS60" s="60" t="n">
        <f aca="false">(BQ60-BQ59)^2</f>
        <v>14899600</v>
      </c>
      <c r="BT60" s="60" t="n">
        <f aca="false">IF(D60&gt;2000,ABS(BQ60)/D60,"")</f>
        <v>1</v>
      </c>
      <c r="BU60" s="60" t="n">
        <v>266</v>
      </c>
      <c r="BV60" s="62" t="n">
        <v>0.5123</v>
      </c>
      <c r="BW60" s="60" t="n">
        <v>1194.3</v>
      </c>
      <c r="BX60" s="60" t="n">
        <f aca="false">AA60</f>
        <v>0</v>
      </c>
      <c r="BY60" s="60" t="n">
        <f aca="false">H60</f>
        <v>274.32</v>
      </c>
      <c r="BZ60" s="60" t="n">
        <f aca="false">Z60</f>
        <v>0</v>
      </c>
      <c r="CA60" s="60" t="n">
        <f aca="false">AB60+AC60+AD60</f>
        <v>0</v>
      </c>
      <c r="CB60" s="60" t="n">
        <f aca="false">AE60+AF60+AG60+AH60+AI60</f>
        <v>0</v>
      </c>
    </row>
    <row r="61" customFormat="false" ht="15" hidden="false" customHeight="false" outlineLevel="0" collapsed="false">
      <c r="A61" s="58" t="n">
        <v>45319</v>
      </c>
      <c r="B61" s="59" t="n">
        <f aca="false">YEAR(A61)</f>
        <v>2024</v>
      </c>
      <c r="C61" s="59" t="n">
        <f aca="false">MONTH(A61)</f>
        <v>1</v>
      </c>
      <c r="D61" s="60" t="n">
        <v>17424</v>
      </c>
      <c r="E61" s="61" t="n">
        <v>0.6252</v>
      </c>
      <c r="F61" s="61" t="n">
        <v>-0.016</v>
      </c>
      <c r="G61" s="61" t="n">
        <v>0.7291</v>
      </c>
      <c r="H61" s="60" t="n">
        <v>269.32</v>
      </c>
      <c r="I61" s="60" t="n">
        <f aca="false">H61+'Level 4'!$C$12/100*I60</f>
        <v>269.32</v>
      </c>
      <c r="J61" s="60" t="n">
        <v>843.92</v>
      </c>
      <c r="K61" s="60" t="n">
        <v>105.73</v>
      </c>
      <c r="L61" s="60" t="n">
        <v>1.83</v>
      </c>
      <c r="M61" s="60" t="n">
        <f aca="false">L61+Answers!$C$14/100*M60</f>
        <v>23.8632104591254</v>
      </c>
      <c r="N61" s="60" t="n">
        <v>51.57</v>
      </c>
      <c r="O61" s="60" t="n">
        <v>15.79</v>
      </c>
      <c r="P61" s="60" t="n">
        <v>32.96</v>
      </c>
      <c r="Q61" s="60" t="n">
        <v>3.5</v>
      </c>
      <c r="R61" s="60" t="n">
        <v>148.08</v>
      </c>
      <c r="S61" s="60" t="n">
        <f aca="false">N61+Answers!$C$16/100*S60</f>
        <v>142.909580851841</v>
      </c>
      <c r="T61" s="60" t="n">
        <f aca="false">O61+Answers!$C$17/100*T60</f>
        <v>92.2001052599005</v>
      </c>
      <c r="U61" s="60" t="n">
        <f aca="false">P61+Answers!$C$18/100*U60</f>
        <v>136.196182474953</v>
      </c>
      <c r="V61" s="60" t="n">
        <f aca="false">Q61+Answers!$C$19/100*V60</f>
        <v>10.3993541791965</v>
      </c>
      <c r="W61" s="60" t="n">
        <f aca="false">R61+Answers!$C$20/100*W60</f>
        <v>427.190756632503</v>
      </c>
      <c r="X61" s="60" t="n">
        <f aca="false">IF('Level 1'!$C$11="",0,'Level 1'!$C$11)*E61</f>
        <v>0</v>
      </c>
      <c r="Y61" s="60" t="n">
        <f aca="false">-IF('Level 2'!$C$11="",0,'Level 2'!$C$11)*F61</f>
        <v>0</v>
      </c>
      <c r="Z61" s="60" t="n">
        <f aca="false">IF('Level 3'!$C$11="",0,'Level 3'!$C$11)*G61</f>
        <v>0</v>
      </c>
      <c r="AA61" s="60" t="n">
        <f aca="false">IF('Level 4'!$C$11="",0,'Level 4'!$C$11)*(1-'Level 4'!$C$12/100)*I61</f>
        <v>0</v>
      </c>
      <c r="AB61" s="60" t="n">
        <f aca="false">IF('Level 5'!$C$11="",0,'Level 5'!$C$11)*J61</f>
        <v>0</v>
      </c>
      <c r="AC61" s="60" t="n">
        <f aca="false">IF('Level 5'!$C$12="",0,'Level 5'!$C$12)*K61</f>
        <v>0</v>
      </c>
      <c r="AD61" s="60" t="n">
        <f aca="false">IF('Level 5'!$C$13="",0,'Level 5'!$C$13)*(1-Answers!$C$14/100)*M61</f>
        <v>0</v>
      </c>
      <c r="AE61" s="60" t="n">
        <f aca="false">IF('Level 6'!$C$11="",0,'Level 6'!$C$11)*(1-Answers!$C$16/100)*S61</f>
        <v>0</v>
      </c>
      <c r="AF61" s="60" t="n">
        <f aca="false">IF('Level 6'!$C$12="",0,'Level 6'!$C$12)*(1-Answers!$C$17/100)*T61</f>
        <v>0</v>
      </c>
      <c r="AG61" s="60" t="n">
        <f aca="false">IF('Level 6'!$C$13="",0,'Level 6'!$C$13)*(1-Answers!$C$18/100)*U61</f>
        <v>0</v>
      </c>
      <c r="AH61" s="60" t="n">
        <f aca="false">IF('Level 6'!$C$14="",0,'Level 6'!$C$14)*(1-Answers!$C$19/100)*V61</f>
        <v>0</v>
      </c>
      <c r="AI61" s="60" t="n">
        <f aca="false">IF('Level 6'!$C$15="",0,'Level 6'!$C$15)*(1-Answers!$C$20/100)*W61</f>
        <v>0</v>
      </c>
      <c r="AJ61" s="60" t="n">
        <f aca="false">X61</f>
        <v>0</v>
      </c>
      <c r="AK61" s="60" t="n">
        <f aca="false">X61+Y61</f>
        <v>0</v>
      </c>
      <c r="AL61" s="60" t="n">
        <f aca="false">AK61+Z61</f>
        <v>0</v>
      </c>
      <c r="AM61" s="60" t="n">
        <f aca="false">AL61+AA61</f>
        <v>0</v>
      </c>
      <c r="AN61" s="60" t="n">
        <f aca="false">AM61+AB61+AC61+AD61</f>
        <v>0</v>
      </c>
      <c r="AO61" s="60" t="n">
        <f aca="false">AL61+AE61+AF61+AG61+AH61+AI61+AB61+AC61+AD61</f>
        <v>0</v>
      </c>
      <c r="AP61" s="60" t="n">
        <f aca="false">IF(Answers!$C$22="Yes",AO61,AN61)</f>
        <v>0</v>
      </c>
      <c r="AQ61" s="60" t="n">
        <v>547.4</v>
      </c>
      <c r="AR61" s="60" t="n">
        <v>15.2</v>
      </c>
      <c r="AS61" s="60" t="n">
        <v>5539.2</v>
      </c>
      <c r="AT61" s="60" t="n">
        <v>2248.8</v>
      </c>
      <c r="AU61" s="60" t="n">
        <v>3251.1</v>
      </c>
      <c r="AV61" s="60" t="n">
        <v>386.8</v>
      </c>
      <c r="AW61" s="60" t="n">
        <v>0.3</v>
      </c>
      <c r="AX61" s="60" t="n">
        <v>407.6</v>
      </c>
      <c r="AY61" s="60" t="n">
        <v>266.6</v>
      </c>
      <c r="AZ61" s="60" t="n">
        <v>398</v>
      </c>
      <c r="BA61" s="60" t="n">
        <v>9.9</v>
      </c>
      <c r="BB61" s="60" t="n">
        <v>1166.8</v>
      </c>
      <c r="BC61" s="60" t="n">
        <f aca="false">AQ61+AR61+AS61+AT61+AU61+AV61+AW61</f>
        <v>11988.8</v>
      </c>
      <c r="BD61" s="60" t="n">
        <f aca="false">AQ61</f>
        <v>547.4</v>
      </c>
      <c r="BE61" s="60" t="n">
        <f aca="false">AQ61+AR61</f>
        <v>562.6</v>
      </c>
      <c r="BF61" s="60" t="n">
        <f aca="false">BE61+AS61</f>
        <v>6101.8</v>
      </c>
      <c r="BG61" s="60" t="n">
        <f aca="false">BF61+AT61</f>
        <v>8350.6</v>
      </c>
      <c r="BH61" s="60" t="n">
        <f aca="false">BG61+AU61+AV61+AW61</f>
        <v>11988.8</v>
      </c>
      <c r="BI61" s="60" t="n">
        <f aca="false">BC61</f>
        <v>11988.8</v>
      </c>
      <c r="BJ61" s="60" t="n">
        <f aca="false">IF('Level 1'!$C$31="Yes",BD61,AJ61)</f>
        <v>0</v>
      </c>
      <c r="BK61" s="60" t="n">
        <f aca="false">IF('Level 2'!$C$31="Yes",BE61,AK61)</f>
        <v>0</v>
      </c>
      <c r="BL61" s="60" t="n">
        <f aca="false">IF('Level 3'!$C$31="Yes",BF61,AL61)</f>
        <v>0</v>
      </c>
      <c r="BM61" s="60" t="n">
        <f aca="false">IF('Level 4'!$C$31="Yes",BG61,AM61)</f>
        <v>0</v>
      </c>
      <c r="BN61" s="60" t="n">
        <f aca="false">IF('Level 5'!$C$31="Yes",BH61,AN61)</f>
        <v>0</v>
      </c>
      <c r="BO61" s="60" t="n">
        <f aca="false">IF('Level 6'!$C$31="Yes",BI61,AO61)</f>
        <v>0</v>
      </c>
      <c r="BP61" s="60" t="n">
        <f aca="false">IF('Level 7'!$C$31="Yes",BC61,AP61)</f>
        <v>0</v>
      </c>
      <c r="BQ61" s="60" t="n">
        <f aca="false">D61-AP61</f>
        <v>17424</v>
      </c>
      <c r="BR61" s="60" t="n">
        <f aca="false">BQ61^2</f>
        <v>303595776</v>
      </c>
      <c r="BS61" s="60" t="n">
        <f aca="false">(BQ61-BQ60)^2</f>
        <v>38353249</v>
      </c>
      <c r="BT61" s="60" t="n">
        <f aca="false">IF(D61&gt;2000,ABS(BQ61)/D61,"")</f>
        <v>1</v>
      </c>
      <c r="BU61" s="60" t="n">
        <v>319</v>
      </c>
      <c r="BV61" s="62" t="n">
        <v>0.5238</v>
      </c>
      <c r="BW61" s="60" t="n">
        <v>1265.5</v>
      </c>
      <c r="BX61" s="60" t="n">
        <f aca="false">AA61</f>
        <v>0</v>
      </c>
      <c r="BY61" s="60" t="n">
        <f aca="false">H61</f>
        <v>269.32</v>
      </c>
      <c r="BZ61" s="60" t="n">
        <f aca="false">Z61</f>
        <v>0</v>
      </c>
      <c r="CA61" s="60" t="n">
        <f aca="false">AB61+AC61+AD61</f>
        <v>0</v>
      </c>
      <c r="CB61" s="60" t="n">
        <f aca="false">AE61+AF61+AG61+AH61+AI61</f>
        <v>0</v>
      </c>
    </row>
    <row r="62" customFormat="false" ht="15" hidden="false" customHeight="false" outlineLevel="0" collapsed="false">
      <c r="A62" s="58" t="n">
        <v>45326</v>
      </c>
      <c r="B62" s="59" t="n">
        <f aca="false">YEAR(A62)</f>
        <v>2024</v>
      </c>
      <c r="C62" s="59" t="n">
        <f aca="false">MONTH(A62)</f>
        <v>2</v>
      </c>
      <c r="D62" s="60" t="n">
        <v>29920</v>
      </c>
      <c r="E62" s="61" t="n">
        <v>0.6312</v>
      </c>
      <c r="F62" s="61" t="n">
        <v>0.0937</v>
      </c>
      <c r="G62" s="61" t="n">
        <v>3.6665</v>
      </c>
      <c r="H62" s="60" t="n">
        <v>203.2</v>
      </c>
      <c r="I62" s="60" t="n">
        <f aca="false">H62+'Level 4'!$C$12/100*I61</f>
        <v>203.2</v>
      </c>
      <c r="J62" s="60" t="n">
        <v>273.12</v>
      </c>
      <c r="K62" s="60" t="n">
        <v>57.54</v>
      </c>
      <c r="L62" s="60" t="n">
        <v>0.94</v>
      </c>
      <c r="M62" s="60" t="n">
        <f aca="false">L62+Answers!$C$14/100*M61</f>
        <v>15.2579262754752</v>
      </c>
      <c r="N62" s="60" t="n">
        <v>32.86</v>
      </c>
      <c r="O62" s="60" t="n">
        <v>29.64</v>
      </c>
      <c r="P62" s="60" t="n">
        <v>18.17</v>
      </c>
      <c r="Q62" s="60" t="n">
        <v>3.5</v>
      </c>
      <c r="R62" s="60" t="n">
        <v>89.12</v>
      </c>
      <c r="S62" s="60" t="n">
        <f aca="false">N62+Answers!$C$16/100*S61</f>
        <v>147.187664681473</v>
      </c>
      <c r="T62" s="60" t="n">
        <f aca="false">O62+Answers!$C$17/100*T61</f>
        <v>103.40008420792</v>
      </c>
      <c r="U62" s="60" t="n">
        <f aca="false">P62+Answers!$C$18/100*U61</f>
        <v>127.126945979962</v>
      </c>
      <c r="V62" s="60" t="n">
        <f aca="false">Q62+Answers!$C$19/100*V61</f>
        <v>11.8194833433572</v>
      </c>
      <c r="W62" s="60" t="n">
        <f aca="false">R62+Answers!$C$20/100*W61</f>
        <v>430.872605306003</v>
      </c>
      <c r="X62" s="60" t="n">
        <f aca="false">IF('Level 1'!$C$11="",0,'Level 1'!$C$11)*E62</f>
        <v>0</v>
      </c>
      <c r="Y62" s="60" t="n">
        <f aca="false">-IF('Level 2'!$C$11="",0,'Level 2'!$C$11)*F62</f>
        <v>-0</v>
      </c>
      <c r="Z62" s="60" t="n">
        <f aca="false">IF('Level 3'!$C$11="",0,'Level 3'!$C$11)*G62</f>
        <v>0</v>
      </c>
      <c r="AA62" s="60" t="n">
        <f aca="false">IF('Level 4'!$C$11="",0,'Level 4'!$C$11)*(1-'Level 4'!$C$12/100)*I62</f>
        <v>0</v>
      </c>
      <c r="AB62" s="60" t="n">
        <f aca="false">IF('Level 5'!$C$11="",0,'Level 5'!$C$11)*J62</f>
        <v>0</v>
      </c>
      <c r="AC62" s="60" t="n">
        <f aca="false">IF('Level 5'!$C$12="",0,'Level 5'!$C$12)*K62</f>
        <v>0</v>
      </c>
      <c r="AD62" s="60" t="n">
        <f aca="false">IF('Level 5'!$C$13="",0,'Level 5'!$C$13)*(1-Answers!$C$14/100)*M62</f>
        <v>0</v>
      </c>
      <c r="AE62" s="60" t="n">
        <f aca="false">IF('Level 6'!$C$11="",0,'Level 6'!$C$11)*(1-Answers!$C$16/100)*S62</f>
        <v>0</v>
      </c>
      <c r="AF62" s="60" t="n">
        <f aca="false">IF('Level 6'!$C$12="",0,'Level 6'!$C$12)*(1-Answers!$C$17/100)*T62</f>
        <v>0</v>
      </c>
      <c r="AG62" s="60" t="n">
        <f aca="false">IF('Level 6'!$C$13="",0,'Level 6'!$C$13)*(1-Answers!$C$18/100)*U62</f>
        <v>0</v>
      </c>
      <c r="AH62" s="60" t="n">
        <f aca="false">IF('Level 6'!$C$14="",0,'Level 6'!$C$14)*(1-Answers!$C$19/100)*V62</f>
        <v>0</v>
      </c>
      <c r="AI62" s="60" t="n">
        <f aca="false">IF('Level 6'!$C$15="",0,'Level 6'!$C$15)*(1-Answers!$C$20/100)*W62</f>
        <v>0</v>
      </c>
      <c r="AJ62" s="60" t="n">
        <f aca="false">X62</f>
        <v>0</v>
      </c>
      <c r="AK62" s="60" t="n">
        <f aca="false">X62+Y62</f>
        <v>0</v>
      </c>
      <c r="AL62" s="60" t="n">
        <f aca="false">AK62+Z62</f>
        <v>0</v>
      </c>
      <c r="AM62" s="60" t="n">
        <f aca="false">AL62+AA62</f>
        <v>0</v>
      </c>
      <c r="AN62" s="60" t="n">
        <f aca="false">AM62+AB62+AC62+AD62</f>
        <v>0</v>
      </c>
      <c r="AO62" s="60" t="n">
        <f aca="false">AL62+AE62+AF62+AG62+AH62+AI62+AB62+AC62+AD62</f>
        <v>0</v>
      </c>
      <c r="AP62" s="60" t="n">
        <f aca="false">IF(Answers!$C$22="Yes",AO62,AN62)</f>
        <v>0</v>
      </c>
      <c r="AQ62" s="60" t="n">
        <v>552.7</v>
      </c>
      <c r="AR62" s="60" t="n">
        <v>-89.2</v>
      </c>
      <c r="AS62" s="60" t="n">
        <v>27856.1</v>
      </c>
      <c r="AT62" s="60" t="n">
        <v>2338.6</v>
      </c>
      <c r="AU62" s="60" t="n">
        <v>1024.2</v>
      </c>
      <c r="AV62" s="60" t="n">
        <v>210.5</v>
      </c>
      <c r="AW62" s="60" t="n">
        <v>0.2</v>
      </c>
      <c r="AX62" s="60" t="n">
        <v>431.9</v>
      </c>
      <c r="AY62" s="60" t="n">
        <v>303.9</v>
      </c>
      <c r="AZ62" s="60" t="n">
        <v>385.7</v>
      </c>
      <c r="BA62" s="60" t="n">
        <v>11.3</v>
      </c>
      <c r="BB62" s="60" t="n">
        <v>1205.7</v>
      </c>
      <c r="BC62" s="60" t="n">
        <f aca="false">AQ62+AR62+AS62+AT62+AU62+AV62+AW62</f>
        <v>31893.1</v>
      </c>
      <c r="BD62" s="60" t="n">
        <f aca="false">AQ62</f>
        <v>552.7</v>
      </c>
      <c r="BE62" s="60" t="n">
        <f aca="false">AQ62+AR62</f>
        <v>463.5</v>
      </c>
      <c r="BF62" s="60" t="n">
        <f aca="false">BE62+AS62</f>
        <v>28319.6</v>
      </c>
      <c r="BG62" s="60" t="n">
        <f aca="false">BF62+AT62</f>
        <v>30658.2</v>
      </c>
      <c r="BH62" s="60" t="n">
        <f aca="false">BG62+AU62+AV62+AW62</f>
        <v>31893.1</v>
      </c>
      <c r="BI62" s="60" t="n">
        <f aca="false">BC62</f>
        <v>31893.1</v>
      </c>
      <c r="BJ62" s="60" t="n">
        <f aca="false">IF('Level 1'!$C$31="Yes",BD62,AJ62)</f>
        <v>0</v>
      </c>
      <c r="BK62" s="60" t="n">
        <f aca="false">IF('Level 2'!$C$31="Yes",BE62,AK62)</f>
        <v>0</v>
      </c>
      <c r="BL62" s="60" t="n">
        <f aca="false">IF('Level 3'!$C$31="Yes",BF62,AL62)</f>
        <v>0</v>
      </c>
      <c r="BM62" s="60" t="n">
        <f aca="false">IF('Level 4'!$C$31="Yes",BG62,AM62)</f>
        <v>0</v>
      </c>
      <c r="BN62" s="60" t="n">
        <f aca="false">IF('Level 5'!$C$31="Yes",BH62,AN62)</f>
        <v>0</v>
      </c>
      <c r="BO62" s="60" t="n">
        <f aca="false">IF('Level 6'!$C$31="Yes",BI62,AO62)</f>
        <v>0</v>
      </c>
      <c r="BP62" s="60" t="n">
        <f aca="false">IF('Level 7'!$C$31="Yes",BC62,AP62)</f>
        <v>0</v>
      </c>
      <c r="BQ62" s="60" t="n">
        <f aca="false">D62-AP62</f>
        <v>29920</v>
      </c>
      <c r="BR62" s="60" t="n">
        <f aca="false">BQ62^2</f>
        <v>895206400</v>
      </c>
      <c r="BS62" s="60" t="n">
        <f aca="false">(BQ62-BQ61)^2</f>
        <v>156150016</v>
      </c>
      <c r="BT62" s="60" t="n">
        <f aca="false">IF(D62&gt;2000,ABS(BQ62)/D62,"")</f>
        <v>1</v>
      </c>
      <c r="BU62" s="60" t="n">
        <v>294</v>
      </c>
      <c r="BV62" s="62" t="n">
        <v>0.5324</v>
      </c>
      <c r="BW62" s="60" t="n">
        <v>564.3</v>
      </c>
      <c r="BX62" s="60" t="n">
        <f aca="false">AA62</f>
        <v>0</v>
      </c>
      <c r="BY62" s="60" t="n">
        <f aca="false">H62</f>
        <v>203.2</v>
      </c>
      <c r="BZ62" s="60" t="n">
        <f aca="false">Z62</f>
        <v>0</v>
      </c>
      <c r="CA62" s="60" t="n">
        <f aca="false">AB62+AC62+AD62</f>
        <v>0</v>
      </c>
      <c r="CB62" s="60" t="n">
        <f aca="false">AE62+AF62+AG62+AH62+AI62</f>
        <v>0</v>
      </c>
    </row>
    <row r="63" customFormat="false" ht="15" hidden="false" customHeight="false" outlineLevel="0" collapsed="false">
      <c r="A63" s="58" t="n">
        <v>45333</v>
      </c>
      <c r="B63" s="59" t="n">
        <f aca="false">YEAR(A63)</f>
        <v>2024</v>
      </c>
      <c r="C63" s="59" t="n">
        <f aca="false">MONTH(A63)</f>
        <v>2</v>
      </c>
      <c r="D63" s="60" t="n">
        <v>3364</v>
      </c>
      <c r="E63" s="61" t="n">
        <v>1.4019</v>
      </c>
      <c r="F63" s="61" t="n">
        <v>1.4098</v>
      </c>
      <c r="G63" s="61" t="n">
        <v>-0.1072</v>
      </c>
      <c r="H63" s="60" t="n">
        <v>120.16</v>
      </c>
      <c r="I63" s="60" t="n">
        <f aca="false">H63+'Level 4'!$C$12/100*I62</f>
        <v>120.16</v>
      </c>
      <c r="J63" s="60" t="n">
        <v>222.4</v>
      </c>
      <c r="K63" s="60" t="n">
        <v>55.54</v>
      </c>
      <c r="L63" s="60" t="n">
        <v>0</v>
      </c>
      <c r="M63" s="60" t="n">
        <f aca="false">L63+Answers!$C$14/100*M62</f>
        <v>9.15475576528515</v>
      </c>
      <c r="N63" s="60" t="n">
        <v>0</v>
      </c>
      <c r="O63" s="60" t="n">
        <v>27.22</v>
      </c>
      <c r="P63" s="60" t="n">
        <v>32.04</v>
      </c>
      <c r="Q63" s="60" t="n">
        <v>3.5</v>
      </c>
      <c r="R63" s="60" t="n">
        <v>54.04</v>
      </c>
      <c r="S63" s="60" t="n">
        <f aca="false">N63+Answers!$C$16/100*S62</f>
        <v>117.750131745178</v>
      </c>
      <c r="T63" s="60" t="n">
        <f aca="false">O63+Answers!$C$17/100*T62</f>
        <v>109.940067366336</v>
      </c>
      <c r="U63" s="60" t="n">
        <f aca="false">P63+Answers!$C$18/100*U62</f>
        <v>133.74155678397</v>
      </c>
      <c r="V63" s="60" t="n">
        <f aca="false">Q63+Answers!$C$19/100*V62</f>
        <v>12.9555866746857</v>
      </c>
      <c r="W63" s="60" t="n">
        <f aca="false">R63+Answers!$C$20/100*W62</f>
        <v>398.738084244802</v>
      </c>
      <c r="X63" s="60" t="n">
        <f aca="false">IF('Level 1'!$C$11="",0,'Level 1'!$C$11)*E63</f>
        <v>0</v>
      </c>
      <c r="Y63" s="60" t="n">
        <f aca="false">-IF('Level 2'!$C$11="",0,'Level 2'!$C$11)*F63</f>
        <v>-0</v>
      </c>
      <c r="Z63" s="60" t="n">
        <f aca="false">IF('Level 3'!$C$11="",0,'Level 3'!$C$11)*G63</f>
        <v>-0</v>
      </c>
      <c r="AA63" s="60" t="n">
        <f aca="false">IF('Level 4'!$C$11="",0,'Level 4'!$C$11)*(1-'Level 4'!$C$12/100)*I63</f>
        <v>0</v>
      </c>
      <c r="AB63" s="60" t="n">
        <f aca="false">IF('Level 5'!$C$11="",0,'Level 5'!$C$11)*J63</f>
        <v>0</v>
      </c>
      <c r="AC63" s="60" t="n">
        <f aca="false">IF('Level 5'!$C$12="",0,'Level 5'!$C$12)*K63</f>
        <v>0</v>
      </c>
      <c r="AD63" s="60" t="n">
        <f aca="false">IF('Level 5'!$C$13="",0,'Level 5'!$C$13)*(1-Answers!$C$14/100)*M63</f>
        <v>0</v>
      </c>
      <c r="AE63" s="60" t="n">
        <f aca="false">IF('Level 6'!$C$11="",0,'Level 6'!$C$11)*(1-Answers!$C$16/100)*S63</f>
        <v>0</v>
      </c>
      <c r="AF63" s="60" t="n">
        <f aca="false">IF('Level 6'!$C$12="",0,'Level 6'!$C$12)*(1-Answers!$C$17/100)*T63</f>
        <v>0</v>
      </c>
      <c r="AG63" s="60" t="n">
        <f aca="false">IF('Level 6'!$C$13="",0,'Level 6'!$C$13)*(1-Answers!$C$18/100)*U63</f>
        <v>0</v>
      </c>
      <c r="AH63" s="60" t="n">
        <f aca="false">IF('Level 6'!$C$14="",0,'Level 6'!$C$14)*(1-Answers!$C$19/100)*V63</f>
        <v>0</v>
      </c>
      <c r="AI63" s="60" t="n">
        <f aca="false">IF('Level 6'!$C$15="",0,'Level 6'!$C$15)*(1-Answers!$C$20/100)*W63</f>
        <v>0</v>
      </c>
      <c r="AJ63" s="60" t="n">
        <f aca="false">X63</f>
        <v>0</v>
      </c>
      <c r="AK63" s="60" t="n">
        <f aca="false">X63+Y63</f>
        <v>0</v>
      </c>
      <c r="AL63" s="60" t="n">
        <f aca="false">AK63+Z63</f>
        <v>0</v>
      </c>
      <c r="AM63" s="60" t="n">
        <f aca="false">AL63+AA63</f>
        <v>0</v>
      </c>
      <c r="AN63" s="60" t="n">
        <f aca="false">AM63+AB63+AC63+AD63</f>
        <v>0</v>
      </c>
      <c r="AO63" s="60" t="n">
        <f aca="false">AL63+AE63+AF63+AG63+AH63+AI63+AB63+AC63+AD63</f>
        <v>0</v>
      </c>
      <c r="AP63" s="60" t="n">
        <f aca="false">IF(Answers!$C$22="Yes",AO63,AN63)</f>
        <v>0</v>
      </c>
      <c r="AQ63" s="60" t="n">
        <v>1227.6</v>
      </c>
      <c r="AR63" s="60" t="n">
        <v>-1342.7</v>
      </c>
      <c r="AS63" s="60" t="n">
        <v>-814.8</v>
      </c>
      <c r="AT63" s="60" t="n">
        <v>2281.9</v>
      </c>
      <c r="AU63" s="60" t="n">
        <v>825.5</v>
      </c>
      <c r="AV63" s="60" t="n">
        <v>203.2</v>
      </c>
      <c r="AW63" s="60" t="n">
        <v>0.1</v>
      </c>
      <c r="AX63" s="60" t="n">
        <v>367.1</v>
      </c>
      <c r="AY63" s="60" t="n">
        <v>329.3</v>
      </c>
      <c r="AZ63" s="60" t="n">
        <v>411.6</v>
      </c>
      <c r="BA63" s="60" t="n">
        <v>12.5</v>
      </c>
      <c r="BB63" s="60" t="n">
        <v>1161.4</v>
      </c>
      <c r="BC63" s="60" t="n">
        <f aca="false">AQ63+AR63+AS63+AT63+AU63+AV63+AW63</f>
        <v>2380.8</v>
      </c>
      <c r="BD63" s="60" t="n">
        <f aca="false">AQ63</f>
        <v>1227.6</v>
      </c>
      <c r="BE63" s="60" t="n">
        <f aca="false">AQ63+AR63</f>
        <v>-115.1</v>
      </c>
      <c r="BF63" s="60" t="n">
        <f aca="false">BE63+AS63</f>
        <v>-929.9</v>
      </c>
      <c r="BG63" s="60" t="n">
        <f aca="false">BF63+AT63</f>
        <v>1352</v>
      </c>
      <c r="BH63" s="60" t="n">
        <f aca="false">BG63+AU63+AV63+AW63</f>
        <v>2380.8</v>
      </c>
      <c r="BI63" s="60" t="n">
        <f aca="false">BC63</f>
        <v>2380.8</v>
      </c>
      <c r="BJ63" s="60" t="n">
        <f aca="false">IF('Level 1'!$C$31="Yes",BD63,AJ63)</f>
        <v>0</v>
      </c>
      <c r="BK63" s="60" t="n">
        <f aca="false">IF('Level 2'!$C$31="Yes",BE63,AK63)</f>
        <v>0</v>
      </c>
      <c r="BL63" s="60" t="n">
        <f aca="false">IF('Level 3'!$C$31="Yes",BF63,AL63)</f>
        <v>0</v>
      </c>
      <c r="BM63" s="60" t="n">
        <f aca="false">IF('Level 4'!$C$31="Yes",BG63,AM63)</f>
        <v>0</v>
      </c>
      <c r="BN63" s="60" t="n">
        <f aca="false">IF('Level 5'!$C$31="Yes",BH63,AN63)</f>
        <v>0</v>
      </c>
      <c r="BO63" s="60" t="n">
        <f aca="false">IF('Level 6'!$C$31="Yes",BI63,AO63)</f>
        <v>0</v>
      </c>
      <c r="BP63" s="60" t="n">
        <f aca="false">IF('Level 7'!$C$31="Yes",BC63,AP63)</f>
        <v>0</v>
      </c>
      <c r="BQ63" s="60" t="n">
        <f aca="false">D63-AP63</f>
        <v>3364</v>
      </c>
      <c r="BR63" s="60" t="n">
        <f aca="false">BQ63^2</f>
        <v>11316496</v>
      </c>
      <c r="BS63" s="60" t="n">
        <f aca="false">(BQ63-BQ62)^2</f>
        <v>705221136</v>
      </c>
      <c r="BT63" s="60" t="n">
        <f aca="false">IF(D63&gt;2000,ABS(BQ63)/D63,"")</f>
        <v>1</v>
      </c>
      <c r="BU63" s="60" t="n">
        <v>362</v>
      </c>
      <c r="BV63" s="62" t="n">
        <v>0.5324</v>
      </c>
      <c r="BW63" s="60" t="n">
        <v>546.8</v>
      </c>
      <c r="BX63" s="60" t="n">
        <f aca="false">AA63</f>
        <v>0</v>
      </c>
      <c r="BY63" s="60" t="n">
        <f aca="false">H63</f>
        <v>120.16</v>
      </c>
      <c r="BZ63" s="60" t="n">
        <f aca="false">Z63</f>
        <v>-0</v>
      </c>
      <c r="CA63" s="60" t="n">
        <f aca="false">AB63+AC63+AD63</f>
        <v>0</v>
      </c>
      <c r="CB63" s="60" t="n">
        <f aca="false">AE63+AF63+AG63+AH63+AI63</f>
        <v>0</v>
      </c>
    </row>
    <row r="64" customFormat="false" ht="15" hidden="false" customHeight="false" outlineLevel="0" collapsed="false">
      <c r="A64" s="58" t="n">
        <v>45340</v>
      </c>
      <c r="B64" s="59" t="n">
        <f aca="false">YEAR(A64)</f>
        <v>2024</v>
      </c>
      <c r="C64" s="59" t="n">
        <f aca="false">MONTH(A64)</f>
        <v>2</v>
      </c>
      <c r="D64" s="60" t="n">
        <v>3134</v>
      </c>
      <c r="E64" s="61" t="n">
        <v>1.3931</v>
      </c>
      <c r="F64" s="61" t="n">
        <v>1.4807</v>
      </c>
      <c r="G64" s="61" t="n">
        <v>-0.1072</v>
      </c>
      <c r="H64" s="60" t="n">
        <v>108.48</v>
      </c>
      <c r="I64" s="60" t="n">
        <f aca="false">H64+'Level 4'!$C$12/100*I63</f>
        <v>108.48</v>
      </c>
      <c r="J64" s="60" t="n">
        <v>164.18</v>
      </c>
      <c r="K64" s="60" t="n">
        <v>67.67</v>
      </c>
      <c r="L64" s="60" t="n">
        <v>0</v>
      </c>
      <c r="M64" s="60" t="n">
        <f aca="false">L64+Answers!$C$14/100*M63</f>
        <v>5.49285345917109</v>
      </c>
      <c r="N64" s="60" t="n">
        <v>0</v>
      </c>
      <c r="O64" s="60" t="n">
        <v>20.35</v>
      </c>
      <c r="P64" s="60" t="n">
        <v>30.34</v>
      </c>
      <c r="Q64" s="60" t="n">
        <v>3.5</v>
      </c>
      <c r="R64" s="60" t="n">
        <v>51.16</v>
      </c>
      <c r="S64" s="60" t="n">
        <f aca="false">N64+Answers!$C$16/100*S63</f>
        <v>94.2001053961426</v>
      </c>
      <c r="T64" s="60" t="n">
        <f aca="false">O64+Answers!$C$17/100*T63</f>
        <v>108.302053893069</v>
      </c>
      <c r="U64" s="60" t="n">
        <f aca="false">P64+Answers!$C$18/100*U63</f>
        <v>137.333245427176</v>
      </c>
      <c r="V64" s="60" t="n">
        <f aca="false">Q64+Answers!$C$19/100*V63</f>
        <v>13.8644693397486</v>
      </c>
      <c r="W64" s="60" t="n">
        <f aca="false">R64+Answers!$C$20/100*W63</f>
        <v>370.150467395842</v>
      </c>
      <c r="X64" s="60" t="n">
        <f aca="false">IF('Level 1'!$C$11="",0,'Level 1'!$C$11)*E64</f>
        <v>0</v>
      </c>
      <c r="Y64" s="60" t="n">
        <f aca="false">-IF('Level 2'!$C$11="",0,'Level 2'!$C$11)*F64</f>
        <v>-0</v>
      </c>
      <c r="Z64" s="60" t="n">
        <f aca="false">IF('Level 3'!$C$11="",0,'Level 3'!$C$11)*G64</f>
        <v>-0</v>
      </c>
      <c r="AA64" s="60" t="n">
        <f aca="false">IF('Level 4'!$C$11="",0,'Level 4'!$C$11)*(1-'Level 4'!$C$12/100)*I64</f>
        <v>0</v>
      </c>
      <c r="AB64" s="60" t="n">
        <f aca="false">IF('Level 5'!$C$11="",0,'Level 5'!$C$11)*J64</f>
        <v>0</v>
      </c>
      <c r="AC64" s="60" t="n">
        <f aca="false">IF('Level 5'!$C$12="",0,'Level 5'!$C$12)*K64</f>
        <v>0</v>
      </c>
      <c r="AD64" s="60" t="n">
        <f aca="false">IF('Level 5'!$C$13="",0,'Level 5'!$C$13)*(1-Answers!$C$14/100)*M64</f>
        <v>0</v>
      </c>
      <c r="AE64" s="60" t="n">
        <f aca="false">IF('Level 6'!$C$11="",0,'Level 6'!$C$11)*(1-Answers!$C$16/100)*S64</f>
        <v>0</v>
      </c>
      <c r="AF64" s="60" t="n">
        <f aca="false">IF('Level 6'!$C$12="",0,'Level 6'!$C$12)*(1-Answers!$C$17/100)*T64</f>
        <v>0</v>
      </c>
      <c r="AG64" s="60" t="n">
        <f aca="false">IF('Level 6'!$C$13="",0,'Level 6'!$C$13)*(1-Answers!$C$18/100)*U64</f>
        <v>0</v>
      </c>
      <c r="AH64" s="60" t="n">
        <f aca="false">IF('Level 6'!$C$14="",0,'Level 6'!$C$14)*(1-Answers!$C$19/100)*V64</f>
        <v>0</v>
      </c>
      <c r="AI64" s="60" t="n">
        <f aca="false">IF('Level 6'!$C$15="",0,'Level 6'!$C$15)*(1-Answers!$C$20/100)*W64</f>
        <v>0</v>
      </c>
      <c r="AJ64" s="60" t="n">
        <f aca="false">X64</f>
        <v>0</v>
      </c>
      <c r="AK64" s="60" t="n">
        <f aca="false">X64+Y64</f>
        <v>0</v>
      </c>
      <c r="AL64" s="60" t="n">
        <f aca="false">AK64+Z64</f>
        <v>0</v>
      </c>
      <c r="AM64" s="60" t="n">
        <f aca="false">AL64+AA64</f>
        <v>0</v>
      </c>
      <c r="AN64" s="60" t="n">
        <f aca="false">AM64+AB64+AC64+AD64</f>
        <v>0</v>
      </c>
      <c r="AO64" s="60" t="n">
        <f aca="false">AL64+AE64+AF64+AG64+AH64+AI64+AB64+AC64+AD64</f>
        <v>0</v>
      </c>
      <c r="AP64" s="60" t="n">
        <f aca="false">IF(Answers!$C$22="Yes",AO64,AN64)</f>
        <v>0</v>
      </c>
      <c r="AQ64" s="60" t="n">
        <v>1219.8</v>
      </c>
      <c r="AR64" s="60" t="n">
        <v>-1410.2</v>
      </c>
      <c r="AS64" s="60" t="n">
        <v>-814.8</v>
      </c>
      <c r="AT64" s="60" t="n">
        <v>2223.7</v>
      </c>
      <c r="AU64" s="60" t="n">
        <v>597.2</v>
      </c>
      <c r="AV64" s="60" t="n">
        <v>247.6</v>
      </c>
      <c r="AW64" s="60" t="n">
        <v>0.1</v>
      </c>
      <c r="AX64" s="60" t="n">
        <v>312.1</v>
      </c>
      <c r="AY64" s="60" t="n">
        <v>332.9</v>
      </c>
      <c r="AZ64" s="60" t="n">
        <v>429.1</v>
      </c>
      <c r="BA64" s="60" t="n">
        <v>13.5</v>
      </c>
      <c r="BB64" s="60" t="n">
        <v>1136.1</v>
      </c>
      <c r="BC64" s="60" t="n">
        <f aca="false">AQ64+AR64+AS64+AT64+AU64+AV64+AW64</f>
        <v>2063.4</v>
      </c>
      <c r="BD64" s="60" t="n">
        <f aca="false">AQ64</f>
        <v>1219.8</v>
      </c>
      <c r="BE64" s="60" t="n">
        <f aca="false">AQ64+AR64</f>
        <v>-190.4</v>
      </c>
      <c r="BF64" s="60" t="n">
        <f aca="false">BE64+AS64</f>
        <v>-1005.2</v>
      </c>
      <c r="BG64" s="60" t="n">
        <f aca="false">BF64+AT64</f>
        <v>1218.5</v>
      </c>
      <c r="BH64" s="60" t="n">
        <f aca="false">BG64+AU64+AV64+AW64</f>
        <v>2063.4</v>
      </c>
      <c r="BI64" s="60" t="n">
        <f aca="false">BC64</f>
        <v>2063.4</v>
      </c>
      <c r="BJ64" s="60" t="n">
        <f aca="false">IF('Level 1'!$C$31="Yes",BD64,AJ64)</f>
        <v>0</v>
      </c>
      <c r="BK64" s="60" t="n">
        <f aca="false">IF('Level 2'!$C$31="Yes",BE64,AK64)</f>
        <v>0</v>
      </c>
      <c r="BL64" s="60" t="n">
        <f aca="false">IF('Level 3'!$C$31="Yes",BF64,AL64)</f>
        <v>0</v>
      </c>
      <c r="BM64" s="60" t="n">
        <f aca="false">IF('Level 4'!$C$31="Yes",BG64,AM64)</f>
        <v>0</v>
      </c>
      <c r="BN64" s="60" t="n">
        <f aca="false">IF('Level 5'!$C$31="Yes",BH64,AN64)</f>
        <v>0</v>
      </c>
      <c r="BO64" s="60" t="n">
        <f aca="false">IF('Level 6'!$C$31="Yes",BI64,AO64)</f>
        <v>0</v>
      </c>
      <c r="BP64" s="60" t="n">
        <f aca="false">IF('Level 7'!$C$31="Yes",BC64,AP64)</f>
        <v>0</v>
      </c>
      <c r="BQ64" s="60" t="n">
        <f aca="false">D64-AP64</f>
        <v>3134</v>
      </c>
      <c r="BR64" s="60" t="n">
        <f aca="false">BQ64^2</f>
        <v>9821956</v>
      </c>
      <c r="BS64" s="60" t="n">
        <f aca="false">(BQ64-BQ63)^2</f>
        <v>52900</v>
      </c>
      <c r="BT64" s="60" t="n">
        <f aca="false">IF(D64&gt;2000,ABS(BQ64)/D64,"")</f>
        <v>1</v>
      </c>
      <c r="BU64" s="60" t="n">
        <v>278</v>
      </c>
      <c r="BV64" s="62" t="n">
        <v>0.5324</v>
      </c>
      <c r="BW64" s="60" t="n">
        <v>544.1</v>
      </c>
      <c r="BX64" s="60" t="n">
        <f aca="false">AA64</f>
        <v>0</v>
      </c>
      <c r="BY64" s="60" t="n">
        <f aca="false">H64</f>
        <v>108.48</v>
      </c>
      <c r="BZ64" s="60" t="n">
        <f aca="false">Z64</f>
        <v>-0</v>
      </c>
      <c r="CA64" s="60" t="n">
        <f aca="false">AB64+AC64+AD64</f>
        <v>0</v>
      </c>
      <c r="CB64" s="60" t="n">
        <f aca="false">AE64+AF64+AG64+AH64+AI64</f>
        <v>0</v>
      </c>
    </row>
    <row r="65" customFormat="false" ht="15" hidden="false" customHeight="false" outlineLevel="0" collapsed="false">
      <c r="A65" s="58" t="n">
        <v>45347</v>
      </c>
      <c r="B65" s="59" t="n">
        <f aca="false">YEAR(A65)</f>
        <v>2024</v>
      </c>
      <c r="C65" s="59" t="n">
        <f aca="false">MONTH(A65)</f>
        <v>2</v>
      </c>
      <c r="D65" s="60" t="n">
        <v>3133</v>
      </c>
      <c r="E65" s="61" t="n">
        <v>0.7651</v>
      </c>
      <c r="F65" s="61" t="n">
        <v>1.2567</v>
      </c>
      <c r="G65" s="61" t="n">
        <v>-0.1072</v>
      </c>
      <c r="H65" s="60" t="n">
        <v>104.16</v>
      </c>
      <c r="I65" s="60" t="n">
        <f aca="false">H65+'Level 4'!$C$12/100*I64</f>
        <v>104.16</v>
      </c>
      <c r="J65" s="60" t="n">
        <v>160.56</v>
      </c>
      <c r="K65" s="60" t="n">
        <v>53.68</v>
      </c>
      <c r="L65" s="60" t="n">
        <v>0</v>
      </c>
      <c r="M65" s="60" t="n">
        <f aca="false">L65+Answers!$C$14/100*M64</f>
        <v>3.29571207550265</v>
      </c>
      <c r="N65" s="60" t="n">
        <v>0</v>
      </c>
      <c r="O65" s="60" t="n">
        <v>15.13</v>
      </c>
      <c r="P65" s="60" t="n">
        <v>31.14</v>
      </c>
      <c r="Q65" s="60" t="n">
        <v>3.5</v>
      </c>
      <c r="R65" s="60" t="n">
        <v>51.25</v>
      </c>
      <c r="S65" s="60" t="n">
        <f aca="false">N65+Answers!$C$16/100*S64</f>
        <v>75.3600843169141</v>
      </c>
      <c r="T65" s="60" t="n">
        <f aca="false">O65+Answers!$C$17/100*T64</f>
        <v>101.771643114455</v>
      </c>
      <c r="U65" s="60" t="n">
        <f aca="false">P65+Answers!$C$18/100*U64</f>
        <v>141.006596341741</v>
      </c>
      <c r="V65" s="60" t="n">
        <f aca="false">Q65+Answers!$C$19/100*V64</f>
        <v>14.5915754717989</v>
      </c>
      <c r="W65" s="60" t="n">
        <f aca="false">R65+Answers!$C$20/100*W64</f>
        <v>347.370373916673</v>
      </c>
      <c r="X65" s="60" t="n">
        <f aca="false">IF('Level 1'!$C$11="",0,'Level 1'!$C$11)*E65</f>
        <v>0</v>
      </c>
      <c r="Y65" s="60" t="n">
        <f aca="false">-IF('Level 2'!$C$11="",0,'Level 2'!$C$11)*F65</f>
        <v>-0</v>
      </c>
      <c r="Z65" s="60" t="n">
        <f aca="false">IF('Level 3'!$C$11="",0,'Level 3'!$C$11)*G65</f>
        <v>-0</v>
      </c>
      <c r="AA65" s="60" t="n">
        <f aca="false">IF('Level 4'!$C$11="",0,'Level 4'!$C$11)*(1-'Level 4'!$C$12/100)*I65</f>
        <v>0</v>
      </c>
      <c r="AB65" s="60" t="n">
        <f aca="false">IF('Level 5'!$C$11="",0,'Level 5'!$C$11)*J65</f>
        <v>0</v>
      </c>
      <c r="AC65" s="60" t="n">
        <f aca="false">IF('Level 5'!$C$12="",0,'Level 5'!$C$12)*K65</f>
        <v>0</v>
      </c>
      <c r="AD65" s="60" t="n">
        <f aca="false">IF('Level 5'!$C$13="",0,'Level 5'!$C$13)*(1-Answers!$C$14/100)*M65</f>
        <v>0</v>
      </c>
      <c r="AE65" s="60" t="n">
        <f aca="false">IF('Level 6'!$C$11="",0,'Level 6'!$C$11)*(1-Answers!$C$16/100)*S65</f>
        <v>0</v>
      </c>
      <c r="AF65" s="60" t="n">
        <f aca="false">IF('Level 6'!$C$12="",0,'Level 6'!$C$12)*(1-Answers!$C$17/100)*T65</f>
        <v>0</v>
      </c>
      <c r="AG65" s="60" t="n">
        <f aca="false">IF('Level 6'!$C$13="",0,'Level 6'!$C$13)*(1-Answers!$C$18/100)*U65</f>
        <v>0</v>
      </c>
      <c r="AH65" s="60" t="n">
        <f aca="false">IF('Level 6'!$C$14="",0,'Level 6'!$C$14)*(1-Answers!$C$19/100)*V65</f>
        <v>0</v>
      </c>
      <c r="AI65" s="60" t="n">
        <f aca="false">IF('Level 6'!$C$15="",0,'Level 6'!$C$15)*(1-Answers!$C$20/100)*W65</f>
        <v>0</v>
      </c>
      <c r="AJ65" s="60" t="n">
        <f aca="false">X65</f>
        <v>0</v>
      </c>
      <c r="AK65" s="60" t="n">
        <f aca="false">X65+Y65</f>
        <v>0</v>
      </c>
      <c r="AL65" s="60" t="n">
        <f aca="false">AK65+Z65</f>
        <v>0</v>
      </c>
      <c r="AM65" s="60" t="n">
        <f aca="false">AL65+AA65</f>
        <v>0</v>
      </c>
      <c r="AN65" s="60" t="n">
        <f aca="false">AM65+AB65+AC65+AD65</f>
        <v>0</v>
      </c>
      <c r="AO65" s="60" t="n">
        <f aca="false">AL65+AE65+AF65+AG65+AH65+AI65+AB65+AC65+AD65</f>
        <v>0</v>
      </c>
      <c r="AP65" s="60" t="n">
        <f aca="false">IF(Answers!$C$22="Yes",AO65,AN65)</f>
        <v>0</v>
      </c>
      <c r="AQ65" s="60" t="n">
        <v>669.9</v>
      </c>
      <c r="AR65" s="60" t="n">
        <v>-1196.9</v>
      </c>
      <c r="AS65" s="60" t="n">
        <v>-814.8</v>
      </c>
      <c r="AT65" s="60" t="n">
        <v>2181.3</v>
      </c>
      <c r="AU65" s="60" t="n">
        <v>553.4</v>
      </c>
      <c r="AV65" s="60" t="n">
        <v>196.4</v>
      </c>
      <c r="AW65" s="60" t="n">
        <v>0</v>
      </c>
      <c r="AX65" s="60" t="n">
        <v>265.3</v>
      </c>
      <c r="AY65" s="60" t="n">
        <v>322.4</v>
      </c>
      <c r="AZ65" s="60" t="n">
        <v>446.1</v>
      </c>
      <c r="BA65" s="60" t="n">
        <v>14.4</v>
      </c>
      <c r="BB65" s="60" t="n">
        <v>1133.1</v>
      </c>
      <c r="BC65" s="60" t="n">
        <f aca="false">AQ65+AR65+AS65+AT65+AU65+AV65+AW65</f>
        <v>1589.3</v>
      </c>
      <c r="BD65" s="60" t="n">
        <f aca="false">AQ65</f>
        <v>669.9</v>
      </c>
      <c r="BE65" s="60" t="n">
        <f aca="false">AQ65+AR65</f>
        <v>-527</v>
      </c>
      <c r="BF65" s="60" t="n">
        <f aca="false">BE65+AS65</f>
        <v>-1341.8</v>
      </c>
      <c r="BG65" s="60" t="n">
        <f aca="false">BF65+AT65</f>
        <v>839.5</v>
      </c>
      <c r="BH65" s="60" t="n">
        <f aca="false">BG65+AU65+AV65+AW65</f>
        <v>1589.3</v>
      </c>
      <c r="BI65" s="60" t="n">
        <f aca="false">BC65</f>
        <v>1589.3</v>
      </c>
      <c r="BJ65" s="60" t="n">
        <f aca="false">IF('Level 1'!$C$31="Yes",BD65,AJ65)</f>
        <v>0</v>
      </c>
      <c r="BK65" s="60" t="n">
        <f aca="false">IF('Level 2'!$C$31="Yes",BE65,AK65)</f>
        <v>0</v>
      </c>
      <c r="BL65" s="60" t="n">
        <f aca="false">IF('Level 3'!$C$31="Yes",BF65,AL65)</f>
        <v>0</v>
      </c>
      <c r="BM65" s="60" t="n">
        <f aca="false">IF('Level 4'!$C$31="Yes",BG65,AM65)</f>
        <v>0</v>
      </c>
      <c r="BN65" s="60" t="n">
        <f aca="false">IF('Level 5'!$C$31="Yes",BH65,AN65)</f>
        <v>0</v>
      </c>
      <c r="BO65" s="60" t="n">
        <f aca="false">IF('Level 6'!$C$31="Yes",BI65,AO65)</f>
        <v>0</v>
      </c>
      <c r="BP65" s="60" t="n">
        <f aca="false">IF('Level 7'!$C$31="Yes",BC65,AP65)</f>
        <v>0</v>
      </c>
      <c r="BQ65" s="60" t="n">
        <f aca="false">D65-AP65</f>
        <v>3133</v>
      </c>
      <c r="BR65" s="60" t="n">
        <f aca="false">BQ65^2</f>
        <v>9815689</v>
      </c>
      <c r="BS65" s="60" t="n">
        <f aca="false">(BQ65-BQ64)^2</f>
        <v>1</v>
      </c>
      <c r="BT65" s="60" t="n">
        <f aca="false">IF(D65&gt;2000,ABS(BQ65)/D65,"")</f>
        <v>1</v>
      </c>
      <c r="BU65" s="60" t="n">
        <v>316</v>
      </c>
      <c r="BV65" s="62" t="n">
        <v>0.5421</v>
      </c>
      <c r="BW65" s="60" t="n">
        <v>596.5</v>
      </c>
      <c r="BX65" s="60" t="n">
        <f aca="false">AA65</f>
        <v>0</v>
      </c>
      <c r="BY65" s="60" t="n">
        <f aca="false">H65</f>
        <v>104.16</v>
      </c>
      <c r="BZ65" s="60" t="n">
        <f aca="false">Z65</f>
        <v>-0</v>
      </c>
      <c r="CA65" s="60" t="n">
        <f aca="false">AB65+AC65+AD65</f>
        <v>0</v>
      </c>
      <c r="CB65" s="60" t="n">
        <f aca="false">AE65+AF65+AG65+AH65+AI65</f>
        <v>0</v>
      </c>
    </row>
    <row r="66" customFormat="false" ht="15" hidden="false" customHeight="false" outlineLevel="0" collapsed="false">
      <c r="A66" s="58" t="n">
        <v>45354</v>
      </c>
      <c r="B66" s="59" t="n">
        <f aca="false">YEAR(A66)</f>
        <v>2024</v>
      </c>
      <c r="C66" s="59" t="n">
        <f aca="false">MONTH(A66)</f>
        <v>3</v>
      </c>
      <c r="D66" s="60" t="n">
        <v>4742</v>
      </c>
      <c r="E66" s="61" t="n">
        <v>1.2156</v>
      </c>
      <c r="F66" s="61" t="n">
        <v>1.0465</v>
      </c>
      <c r="G66" s="61" t="n">
        <v>0</v>
      </c>
      <c r="H66" s="60" t="n">
        <v>115.38</v>
      </c>
      <c r="I66" s="60" t="n">
        <f aca="false">H66+'Level 4'!$C$12/100*I65</f>
        <v>115.38</v>
      </c>
      <c r="J66" s="60" t="n">
        <v>126.01</v>
      </c>
      <c r="K66" s="60" t="n">
        <v>509.42</v>
      </c>
      <c r="L66" s="60" t="n">
        <v>0</v>
      </c>
      <c r="M66" s="60" t="n">
        <f aca="false">L66+Answers!$C$14/100*M65</f>
        <v>1.97742724530159</v>
      </c>
      <c r="N66" s="60" t="n">
        <v>0</v>
      </c>
      <c r="O66" s="60" t="n">
        <v>15.01</v>
      </c>
      <c r="P66" s="60" t="n">
        <v>41.43</v>
      </c>
      <c r="Q66" s="60" t="n">
        <v>3.5</v>
      </c>
      <c r="R66" s="60" t="n">
        <v>50.7</v>
      </c>
      <c r="S66" s="60" t="n">
        <f aca="false">N66+Answers!$C$16/100*S65</f>
        <v>60.2880674535313</v>
      </c>
      <c r="T66" s="60" t="n">
        <f aca="false">O66+Answers!$C$17/100*T65</f>
        <v>96.4273144915642</v>
      </c>
      <c r="U66" s="60" t="n">
        <f aca="false">P66+Answers!$C$18/100*U65</f>
        <v>154.235277073393</v>
      </c>
      <c r="V66" s="60" t="n">
        <f aca="false">Q66+Answers!$C$19/100*V65</f>
        <v>15.1732603774391</v>
      </c>
      <c r="W66" s="60" t="n">
        <f aca="false">R66+Answers!$C$20/100*W65</f>
        <v>328.596299133339</v>
      </c>
      <c r="X66" s="60" t="n">
        <f aca="false">IF('Level 1'!$C$11="",0,'Level 1'!$C$11)*E66</f>
        <v>0</v>
      </c>
      <c r="Y66" s="60" t="n">
        <f aca="false">-IF('Level 2'!$C$11="",0,'Level 2'!$C$11)*F66</f>
        <v>-0</v>
      </c>
      <c r="Z66" s="60" t="n">
        <f aca="false">IF('Level 3'!$C$11="",0,'Level 3'!$C$11)*G66</f>
        <v>0</v>
      </c>
      <c r="AA66" s="60" t="n">
        <f aca="false">IF('Level 4'!$C$11="",0,'Level 4'!$C$11)*(1-'Level 4'!$C$12/100)*I66</f>
        <v>0</v>
      </c>
      <c r="AB66" s="60" t="n">
        <f aca="false">IF('Level 5'!$C$11="",0,'Level 5'!$C$11)*J66</f>
        <v>0</v>
      </c>
      <c r="AC66" s="60" t="n">
        <f aca="false">IF('Level 5'!$C$12="",0,'Level 5'!$C$12)*K66</f>
        <v>0</v>
      </c>
      <c r="AD66" s="60" t="n">
        <f aca="false">IF('Level 5'!$C$13="",0,'Level 5'!$C$13)*(1-Answers!$C$14/100)*M66</f>
        <v>0</v>
      </c>
      <c r="AE66" s="60" t="n">
        <f aca="false">IF('Level 6'!$C$11="",0,'Level 6'!$C$11)*(1-Answers!$C$16/100)*S66</f>
        <v>0</v>
      </c>
      <c r="AF66" s="60" t="n">
        <f aca="false">IF('Level 6'!$C$12="",0,'Level 6'!$C$12)*(1-Answers!$C$17/100)*T66</f>
        <v>0</v>
      </c>
      <c r="AG66" s="60" t="n">
        <f aca="false">IF('Level 6'!$C$13="",0,'Level 6'!$C$13)*(1-Answers!$C$18/100)*U66</f>
        <v>0</v>
      </c>
      <c r="AH66" s="60" t="n">
        <f aca="false">IF('Level 6'!$C$14="",0,'Level 6'!$C$14)*(1-Answers!$C$19/100)*V66</f>
        <v>0</v>
      </c>
      <c r="AI66" s="60" t="n">
        <f aca="false">IF('Level 6'!$C$15="",0,'Level 6'!$C$15)*(1-Answers!$C$20/100)*W66</f>
        <v>0</v>
      </c>
      <c r="AJ66" s="60" t="n">
        <f aca="false">X66</f>
        <v>0</v>
      </c>
      <c r="AK66" s="60" t="n">
        <f aca="false">X66+Y66</f>
        <v>0</v>
      </c>
      <c r="AL66" s="60" t="n">
        <f aca="false">AK66+Z66</f>
        <v>0</v>
      </c>
      <c r="AM66" s="60" t="n">
        <f aca="false">AL66+AA66</f>
        <v>0</v>
      </c>
      <c r="AN66" s="60" t="n">
        <f aca="false">AM66+AB66+AC66+AD66</f>
        <v>0</v>
      </c>
      <c r="AO66" s="60" t="n">
        <f aca="false">AL66+AE66+AF66+AG66+AH66+AI66+AB66+AC66+AD66</f>
        <v>0</v>
      </c>
      <c r="AP66" s="60" t="n">
        <f aca="false">IF(Answers!$C$22="Yes",AO66,AN66)</f>
        <v>0</v>
      </c>
      <c r="AQ66" s="60" t="n">
        <v>1064.4</v>
      </c>
      <c r="AR66" s="60" t="n">
        <v>-996.7</v>
      </c>
      <c r="AS66" s="60" t="n">
        <v>0</v>
      </c>
      <c r="AT66" s="60" t="n">
        <v>2151.2</v>
      </c>
      <c r="AU66" s="60" t="n">
        <v>441.6</v>
      </c>
      <c r="AV66" s="60" t="n">
        <v>1863.8</v>
      </c>
      <c r="AW66" s="60" t="n">
        <v>0</v>
      </c>
      <c r="AX66" s="60" t="n">
        <v>225.5</v>
      </c>
      <c r="AY66" s="60" t="n">
        <v>313.2</v>
      </c>
      <c r="AZ66" s="60" t="n">
        <v>487.5</v>
      </c>
      <c r="BA66" s="60" t="n">
        <v>15.1</v>
      </c>
      <c r="BB66" s="60" t="n">
        <v>1110</v>
      </c>
      <c r="BC66" s="60" t="n">
        <f aca="false">AQ66+AR66+AS66+AT66+AU66+AV66+AW66</f>
        <v>4524.3</v>
      </c>
      <c r="BD66" s="60" t="n">
        <f aca="false">AQ66</f>
        <v>1064.4</v>
      </c>
      <c r="BE66" s="60" t="n">
        <f aca="false">AQ66+AR66</f>
        <v>67.7000000000001</v>
      </c>
      <c r="BF66" s="60" t="n">
        <f aca="false">BE66+AS66</f>
        <v>67.7000000000001</v>
      </c>
      <c r="BG66" s="60" t="n">
        <f aca="false">BF66+AT66</f>
        <v>2218.9</v>
      </c>
      <c r="BH66" s="60" t="n">
        <f aca="false">BG66+AU66+AV66+AW66</f>
        <v>4524.3</v>
      </c>
      <c r="BI66" s="60" t="n">
        <f aca="false">BC66</f>
        <v>4524.3</v>
      </c>
      <c r="BJ66" s="60" t="n">
        <f aca="false">IF('Level 1'!$C$31="Yes",BD66,AJ66)</f>
        <v>0</v>
      </c>
      <c r="BK66" s="60" t="n">
        <f aca="false">IF('Level 2'!$C$31="Yes",BE66,AK66)</f>
        <v>0</v>
      </c>
      <c r="BL66" s="60" t="n">
        <f aca="false">IF('Level 3'!$C$31="Yes",BF66,AL66)</f>
        <v>0</v>
      </c>
      <c r="BM66" s="60" t="n">
        <f aca="false">IF('Level 4'!$C$31="Yes",BG66,AM66)</f>
        <v>0</v>
      </c>
      <c r="BN66" s="60" t="n">
        <f aca="false">IF('Level 5'!$C$31="Yes",BH66,AN66)</f>
        <v>0</v>
      </c>
      <c r="BO66" s="60" t="n">
        <f aca="false">IF('Level 6'!$C$31="Yes",BI66,AO66)</f>
        <v>0</v>
      </c>
      <c r="BP66" s="60" t="n">
        <f aca="false">IF('Level 7'!$C$31="Yes",BC66,AP66)</f>
        <v>0</v>
      </c>
      <c r="BQ66" s="60" t="n">
        <f aca="false">D66-AP66</f>
        <v>4742</v>
      </c>
      <c r="BR66" s="60" t="n">
        <f aca="false">BQ66^2</f>
        <v>22486564</v>
      </c>
      <c r="BS66" s="60" t="n">
        <f aca="false">(BQ66-BQ65)^2</f>
        <v>2588881</v>
      </c>
      <c r="BT66" s="60" t="n">
        <f aca="false">IF(D66&gt;2000,ABS(BQ66)/D66,"")</f>
        <v>1</v>
      </c>
      <c r="BU66" s="60" t="n">
        <v>236</v>
      </c>
      <c r="BV66" s="62" t="n">
        <v>0.555</v>
      </c>
      <c r="BW66" s="60" t="n">
        <v>975.6</v>
      </c>
      <c r="BX66" s="60" t="n">
        <f aca="false">AA66</f>
        <v>0</v>
      </c>
      <c r="BY66" s="60" t="n">
        <f aca="false">H66</f>
        <v>115.38</v>
      </c>
      <c r="BZ66" s="60" t="n">
        <f aca="false">Z66</f>
        <v>0</v>
      </c>
      <c r="CA66" s="60" t="n">
        <f aca="false">AB66+AC66+AD66</f>
        <v>0</v>
      </c>
      <c r="CB66" s="60" t="n">
        <f aca="false">AE66+AF66+AG66+AH66+AI66</f>
        <v>0</v>
      </c>
    </row>
    <row r="67" customFormat="false" ht="15" hidden="false" customHeight="false" outlineLevel="0" collapsed="false">
      <c r="A67" s="58" t="n">
        <v>45361</v>
      </c>
      <c r="B67" s="59" t="n">
        <f aca="false">YEAR(A67)</f>
        <v>2024</v>
      </c>
      <c r="C67" s="59" t="n">
        <f aca="false">MONTH(A67)</f>
        <v>3</v>
      </c>
      <c r="D67" s="60" t="n">
        <v>5043</v>
      </c>
      <c r="E67" s="61" t="n">
        <v>0.6877</v>
      </c>
      <c r="F67" s="61" t="n">
        <v>1.0488</v>
      </c>
      <c r="G67" s="61" t="n">
        <v>0</v>
      </c>
      <c r="H67" s="60" t="n">
        <v>167.12</v>
      </c>
      <c r="I67" s="60" t="n">
        <f aca="false">H67+'Level 4'!$C$12/100*I66</f>
        <v>167.12</v>
      </c>
      <c r="J67" s="60" t="n">
        <v>133.58</v>
      </c>
      <c r="K67" s="60" t="n">
        <v>455.11</v>
      </c>
      <c r="L67" s="60" t="n">
        <v>0</v>
      </c>
      <c r="M67" s="60" t="n">
        <f aca="false">L67+Answers!$C$14/100*M66</f>
        <v>1.18645634718095</v>
      </c>
      <c r="N67" s="60" t="n">
        <v>0</v>
      </c>
      <c r="O67" s="60" t="n">
        <v>49.13</v>
      </c>
      <c r="P67" s="60" t="n">
        <v>19.06</v>
      </c>
      <c r="Q67" s="60" t="n">
        <v>3.5</v>
      </c>
      <c r="R67" s="60" t="n">
        <v>90.39</v>
      </c>
      <c r="S67" s="60" t="n">
        <f aca="false">N67+Answers!$C$16/100*S66</f>
        <v>48.230453962825</v>
      </c>
      <c r="T67" s="60" t="n">
        <f aca="false">O67+Answers!$C$17/100*T66</f>
        <v>126.271851593251</v>
      </c>
      <c r="U67" s="60" t="n">
        <f aca="false">P67+Answers!$C$18/100*U66</f>
        <v>142.448221658714</v>
      </c>
      <c r="V67" s="60" t="n">
        <f aca="false">Q67+Answers!$C$19/100*V66</f>
        <v>15.6386083019513</v>
      </c>
      <c r="W67" s="60" t="n">
        <f aca="false">R67+Answers!$C$20/100*W66</f>
        <v>353.267039306671</v>
      </c>
      <c r="X67" s="60" t="n">
        <f aca="false">IF('Level 1'!$C$11="",0,'Level 1'!$C$11)*E67</f>
        <v>0</v>
      </c>
      <c r="Y67" s="60" t="n">
        <f aca="false">-IF('Level 2'!$C$11="",0,'Level 2'!$C$11)*F67</f>
        <v>-0</v>
      </c>
      <c r="Z67" s="60" t="n">
        <f aca="false">IF('Level 3'!$C$11="",0,'Level 3'!$C$11)*G67</f>
        <v>0</v>
      </c>
      <c r="AA67" s="60" t="n">
        <f aca="false">IF('Level 4'!$C$11="",0,'Level 4'!$C$11)*(1-'Level 4'!$C$12/100)*I67</f>
        <v>0</v>
      </c>
      <c r="AB67" s="60" t="n">
        <f aca="false">IF('Level 5'!$C$11="",0,'Level 5'!$C$11)*J67</f>
        <v>0</v>
      </c>
      <c r="AC67" s="60" t="n">
        <f aca="false">IF('Level 5'!$C$12="",0,'Level 5'!$C$12)*K67</f>
        <v>0</v>
      </c>
      <c r="AD67" s="60" t="n">
        <f aca="false">IF('Level 5'!$C$13="",0,'Level 5'!$C$13)*(1-Answers!$C$14/100)*M67</f>
        <v>0</v>
      </c>
      <c r="AE67" s="60" t="n">
        <f aca="false">IF('Level 6'!$C$11="",0,'Level 6'!$C$11)*(1-Answers!$C$16/100)*S67</f>
        <v>0</v>
      </c>
      <c r="AF67" s="60" t="n">
        <f aca="false">IF('Level 6'!$C$12="",0,'Level 6'!$C$12)*(1-Answers!$C$17/100)*T67</f>
        <v>0</v>
      </c>
      <c r="AG67" s="60" t="n">
        <f aca="false">IF('Level 6'!$C$13="",0,'Level 6'!$C$13)*(1-Answers!$C$18/100)*U67</f>
        <v>0</v>
      </c>
      <c r="AH67" s="60" t="n">
        <f aca="false">IF('Level 6'!$C$14="",0,'Level 6'!$C$14)*(1-Answers!$C$19/100)*V67</f>
        <v>0</v>
      </c>
      <c r="AI67" s="60" t="n">
        <f aca="false">IF('Level 6'!$C$15="",0,'Level 6'!$C$15)*(1-Answers!$C$20/100)*W67</f>
        <v>0</v>
      </c>
      <c r="AJ67" s="60" t="n">
        <f aca="false">X67</f>
        <v>0</v>
      </c>
      <c r="AK67" s="60" t="n">
        <f aca="false">X67+Y67</f>
        <v>0</v>
      </c>
      <c r="AL67" s="60" t="n">
        <f aca="false">AK67+Z67</f>
        <v>0</v>
      </c>
      <c r="AM67" s="60" t="n">
        <f aca="false">AL67+AA67</f>
        <v>0</v>
      </c>
      <c r="AN67" s="60" t="n">
        <f aca="false">AM67+AB67+AC67+AD67</f>
        <v>0</v>
      </c>
      <c r="AO67" s="60" t="n">
        <f aca="false">AL67+AE67+AF67+AG67+AH67+AI67+AB67+AC67+AD67</f>
        <v>0</v>
      </c>
      <c r="AP67" s="60" t="n">
        <f aca="false">IF(Answers!$C$22="Yes",AO67,AN67)</f>
        <v>0</v>
      </c>
      <c r="AQ67" s="60" t="n">
        <v>602.1</v>
      </c>
      <c r="AR67" s="60" t="n">
        <v>-998.9</v>
      </c>
      <c r="AS67" s="60" t="n">
        <v>0</v>
      </c>
      <c r="AT67" s="60" t="n">
        <v>2232.4</v>
      </c>
      <c r="AU67" s="60" t="n">
        <v>490.9</v>
      </c>
      <c r="AV67" s="60" t="n">
        <v>1665.1</v>
      </c>
      <c r="AW67" s="60" t="n">
        <v>0</v>
      </c>
      <c r="AX67" s="60" t="n">
        <v>191.6</v>
      </c>
      <c r="AY67" s="60" t="n">
        <v>394.3</v>
      </c>
      <c r="AZ67" s="60" t="n">
        <v>464.1</v>
      </c>
      <c r="BA67" s="60" t="n">
        <v>15.8</v>
      </c>
      <c r="BB67" s="60" t="n">
        <v>1166.5</v>
      </c>
      <c r="BC67" s="60" t="n">
        <f aca="false">AQ67+AR67+AS67+AT67+AU67+AV67+AW67</f>
        <v>3991.6</v>
      </c>
      <c r="BD67" s="60" t="n">
        <f aca="false">AQ67</f>
        <v>602.1</v>
      </c>
      <c r="BE67" s="60" t="n">
        <f aca="false">AQ67+AR67</f>
        <v>-396.8</v>
      </c>
      <c r="BF67" s="60" t="n">
        <f aca="false">BE67+AS67</f>
        <v>-396.8</v>
      </c>
      <c r="BG67" s="60" t="n">
        <f aca="false">BF67+AT67</f>
        <v>1835.6</v>
      </c>
      <c r="BH67" s="60" t="n">
        <f aca="false">BG67+AU67+AV67+AW67</f>
        <v>3991.6</v>
      </c>
      <c r="BI67" s="60" t="n">
        <f aca="false">BC67</f>
        <v>3991.6</v>
      </c>
      <c r="BJ67" s="60" t="n">
        <f aca="false">IF('Level 1'!$C$31="Yes",BD67,AJ67)</f>
        <v>0</v>
      </c>
      <c r="BK67" s="60" t="n">
        <f aca="false">IF('Level 2'!$C$31="Yes",BE67,AK67)</f>
        <v>0</v>
      </c>
      <c r="BL67" s="60" t="n">
        <f aca="false">IF('Level 3'!$C$31="Yes",BF67,AL67)</f>
        <v>0</v>
      </c>
      <c r="BM67" s="60" t="n">
        <f aca="false">IF('Level 4'!$C$31="Yes",BG67,AM67)</f>
        <v>0</v>
      </c>
      <c r="BN67" s="60" t="n">
        <f aca="false">IF('Level 5'!$C$31="Yes",BH67,AN67)</f>
        <v>0</v>
      </c>
      <c r="BO67" s="60" t="n">
        <f aca="false">IF('Level 6'!$C$31="Yes",BI67,AO67)</f>
        <v>0</v>
      </c>
      <c r="BP67" s="60" t="n">
        <f aca="false">IF('Level 7'!$C$31="Yes",BC67,AP67)</f>
        <v>0</v>
      </c>
      <c r="BQ67" s="60" t="n">
        <f aca="false">D67-AP67</f>
        <v>5043</v>
      </c>
      <c r="BR67" s="60" t="n">
        <f aca="false">BQ67^2</f>
        <v>25431849</v>
      </c>
      <c r="BS67" s="60" t="n">
        <f aca="false">(BQ67-BQ66)^2</f>
        <v>90601</v>
      </c>
      <c r="BT67" s="60" t="n">
        <f aca="false">IF(D67&gt;2000,ABS(BQ67)/D67,"")</f>
        <v>1</v>
      </c>
      <c r="BU67" s="60" t="n">
        <v>238</v>
      </c>
      <c r="BV67" s="62" t="n">
        <v>0.555</v>
      </c>
      <c r="BW67" s="60" t="n">
        <v>855</v>
      </c>
      <c r="BX67" s="60" t="n">
        <f aca="false">AA67</f>
        <v>0</v>
      </c>
      <c r="BY67" s="60" t="n">
        <f aca="false">H67</f>
        <v>167.12</v>
      </c>
      <c r="BZ67" s="60" t="n">
        <f aca="false">Z67</f>
        <v>0</v>
      </c>
      <c r="CA67" s="60" t="n">
        <f aca="false">AB67+AC67+AD67</f>
        <v>0</v>
      </c>
      <c r="CB67" s="60" t="n">
        <f aca="false">AE67+AF67+AG67+AH67+AI67</f>
        <v>0</v>
      </c>
    </row>
    <row r="68" customFormat="false" ht="15" hidden="false" customHeight="false" outlineLevel="0" collapsed="false">
      <c r="A68" s="58" t="n">
        <v>45368</v>
      </c>
      <c r="B68" s="59" t="n">
        <f aca="false">YEAR(A68)</f>
        <v>2024</v>
      </c>
      <c r="C68" s="59" t="n">
        <f aca="false">MONTH(A68)</f>
        <v>3</v>
      </c>
      <c r="D68" s="60" t="n">
        <v>6334</v>
      </c>
      <c r="E68" s="61" t="n">
        <v>0.6852</v>
      </c>
      <c r="F68" s="61" t="n">
        <v>0.7015</v>
      </c>
      <c r="G68" s="61" t="n">
        <v>0.3125</v>
      </c>
      <c r="H68" s="60" t="n">
        <v>114.23</v>
      </c>
      <c r="I68" s="60" t="n">
        <f aca="false">H68+'Level 4'!$C$12/100*I67</f>
        <v>114.23</v>
      </c>
      <c r="J68" s="60" t="n">
        <v>107.4</v>
      </c>
      <c r="K68" s="60" t="n">
        <v>131.61</v>
      </c>
      <c r="L68" s="60" t="n">
        <v>0</v>
      </c>
      <c r="M68" s="60" t="n">
        <f aca="false">L68+Answers!$C$14/100*M67</f>
        <v>0.711873808308573</v>
      </c>
      <c r="N68" s="60" t="n">
        <v>0</v>
      </c>
      <c r="O68" s="60" t="n">
        <v>34.79</v>
      </c>
      <c r="P68" s="60" t="n">
        <v>20.81</v>
      </c>
      <c r="Q68" s="60" t="n">
        <v>3.5</v>
      </c>
      <c r="R68" s="60" t="n">
        <v>48.79</v>
      </c>
      <c r="S68" s="60" t="n">
        <f aca="false">N68+Answers!$C$16/100*S67</f>
        <v>38.58436317026</v>
      </c>
      <c r="T68" s="60" t="n">
        <f aca="false">O68+Answers!$C$17/100*T67</f>
        <v>135.807481274601</v>
      </c>
      <c r="U68" s="60" t="n">
        <f aca="false">P68+Answers!$C$18/100*U67</f>
        <v>134.768577326971</v>
      </c>
      <c r="V68" s="60" t="n">
        <f aca="false">Q68+Answers!$C$19/100*V67</f>
        <v>16.010886641561</v>
      </c>
      <c r="W68" s="60" t="n">
        <f aca="false">R68+Answers!$C$20/100*W67</f>
        <v>331.403631445337</v>
      </c>
      <c r="X68" s="60" t="n">
        <f aca="false">IF('Level 1'!$C$11="",0,'Level 1'!$C$11)*E68</f>
        <v>0</v>
      </c>
      <c r="Y68" s="60" t="n">
        <f aca="false">-IF('Level 2'!$C$11="",0,'Level 2'!$C$11)*F68</f>
        <v>-0</v>
      </c>
      <c r="Z68" s="60" t="n">
        <f aca="false">IF('Level 3'!$C$11="",0,'Level 3'!$C$11)*G68</f>
        <v>0</v>
      </c>
      <c r="AA68" s="60" t="n">
        <f aca="false">IF('Level 4'!$C$11="",0,'Level 4'!$C$11)*(1-'Level 4'!$C$12/100)*I68</f>
        <v>0</v>
      </c>
      <c r="AB68" s="60" t="n">
        <f aca="false">IF('Level 5'!$C$11="",0,'Level 5'!$C$11)*J68</f>
        <v>0</v>
      </c>
      <c r="AC68" s="60" t="n">
        <f aca="false">IF('Level 5'!$C$12="",0,'Level 5'!$C$12)*K68</f>
        <v>0</v>
      </c>
      <c r="AD68" s="60" t="n">
        <f aca="false">IF('Level 5'!$C$13="",0,'Level 5'!$C$13)*(1-Answers!$C$14/100)*M68</f>
        <v>0</v>
      </c>
      <c r="AE68" s="60" t="n">
        <f aca="false">IF('Level 6'!$C$11="",0,'Level 6'!$C$11)*(1-Answers!$C$16/100)*S68</f>
        <v>0</v>
      </c>
      <c r="AF68" s="60" t="n">
        <f aca="false">IF('Level 6'!$C$12="",0,'Level 6'!$C$12)*(1-Answers!$C$17/100)*T68</f>
        <v>0</v>
      </c>
      <c r="AG68" s="60" t="n">
        <f aca="false">IF('Level 6'!$C$13="",0,'Level 6'!$C$13)*(1-Answers!$C$18/100)*U68</f>
        <v>0</v>
      </c>
      <c r="AH68" s="60" t="n">
        <f aca="false">IF('Level 6'!$C$14="",0,'Level 6'!$C$14)*(1-Answers!$C$19/100)*V68</f>
        <v>0</v>
      </c>
      <c r="AI68" s="60" t="n">
        <f aca="false">IF('Level 6'!$C$15="",0,'Level 6'!$C$15)*(1-Answers!$C$20/100)*W68</f>
        <v>0</v>
      </c>
      <c r="AJ68" s="60" t="n">
        <f aca="false">X68</f>
        <v>0</v>
      </c>
      <c r="AK68" s="60" t="n">
        <f aca="false">X68+Y68</f>
        <v>0</v>
      </c>
      <c r="AL68" s="60" t="n">
        <f aca="false">AK68+Z68</f>
        <v>0</v>
      </c>
      <c r="AM68" s="60" t="n">
        <f aca="false">AL68+AA68</f>
        <v>0</v>
      </c>
      <c r="AN68" s="60" t="n">
        <f aca="false">AM68+AB68+AC68+AD68</f>
        <v>0</v>
      </c>
      <c r="AO68" s="60" t="n">
        <f aca="false">AL68+AE68+AF68+AG68+AH68+AI68+AB68+AC68+AD68</f>
        <v>0</v>
      </c>
      <c r="AP68" s="60" t="n">
        <f aca="false">IF(Answers!$C$22="Yes",AO68,AN68)</f>
        <v>0</v>
      </c>
      <c r="AQ68" s="60" t="n">
        <v>599.9</v>
      </c>
      <c r="AR68" s="60" t="n">
        <v>-668.1</v>
      </c>
      <c r="AS68" s="60" t="n">
        <v>2373.9</v>
      </c>
      <c r="AT68" s="60" t="n">
        <v>2170.6</v>
      </c>
      <c r="AU68" s="60" t="n">
        <v>388</v>
      </c>
      <c r="AV68" s="60" t="n">
        <v>481.5</v>
      </c>
      <c r="AW68" s="60" t="n">
        <v>0</v>
      </c>
      <c r="AX68" s="60" t="n">
        <v>162.9</v>
      </c>
      <c r="AY68" s="60" t="n">
        <v>425.8</v>
      </c>
      <c r="AZ68" s="60" t="n">
        <v>448.9</v>
      </c>
      <c r="BA68" s="60" t="n">
        <v>16.3</v>
      </c>
      <c r="BB68" s="60" t="n">
        <v>1116.6</v>
      </c>
      <c r="BC68" s="60" t="n">
        <f aca="false">AQ68+AR68+AS68+AT68+AU68+AV68+AW68</f>
        <v>5345.8</v>
      </c>
      <c r="BD68" s="60" t="n">
        <f aca="false">AQ68</f>
        <v>599.9</v>
      </c>
      <c r="BE68" s="60" t="n">
        <f aca="false">AQ68+AR68</f>
        <v>-68.2000000000001</v>
      </c>
      <c r="BF68" s="60" t="n">
        <f aca="false">BE68+AS68</f>
        <v>2305.7</v>
      </c>
      <c r="BG68" s="60" t="n">
        <f aca="false">BF68+AT68</f>
        <v>4476.3</v>
      </c>
      <c r="BH68" s="60" t="n">
        <f aca="false">BG68+AU68+AV68+AW68</f>
        <v>5345.8</v>
      </c>
      <c r="BI68" s="60" t="n">
        <f aca="false">BC68</f>
        <v>5345.8</v>
      </c>
      <c r="BJ68" s="60" t="n">
        <f aca="false">IF('Level 1'!$C$31="Yes",BD68,AJ68)</f>
        <v>0</v>
      </c>
      <c r="BK68" s="60" t="n">
        <f aca="false">IF('Level 2'!$C$31="Yes",BE68,AK68)</f>
        <v>0</v>
      </c>
      <c r="BL68" s="60" t="n">
        <f aca="false">IF('Level 3'!$C$31="Yes",BF68,AL68)</f>
        <v>0</v>
      </c>
      <c r="BM68" s="60" t="n">
        <f aca="false">IF('Level 4'!$C$31="Yes",BG68,AM68)</f>
        <v>0</v>
      </c>
      <c r="BN68" s="60" t="n">
        <f aca="false">IF('Level 5'!$C$31="Yes",BH68,AN68)</f>
        <v>0</v>
      </c>
      <c r="BO68" s="60" t="n">
        <f aca="false">IF('Level 6'!$C$31="Yes",BI68,AO68)</f>
        <v>0</v>
      </c>
      <c r="BP68" s="60" t="n">
        <f aca="false">IF('Level 7'!$C$31="Yes",BC68,AP68)</f>
        <v>0</v>
      </c>
      <c r="BQ68" s="60" t="n">
        <f aca="false">D68-AP68</f>
        <v>6334</v>
      </c>
      <c r="BR68" s="60" t="n">
        <f aca="false">BQ68^2</f>
        <v>40119556</v>
      </c>
      <c r="BS68" s="60" t="n">
        <f aca="false">(BQ68-BQ67)^2</f>
        <v>1666681</v>
      </c>
      <c r="BT68" s="60" t="n">
        <f aca="false">IF(D68&gt;2000,ABS(BQ68)/D68,"")</f>
        <v>1</v>
      </c>
      <c r="BU68" s="60" t="n">
        <v>175</v>
      </c>
      <c r="BV68" s="62" t="n">
        <v>0.555</v>
      </c>
      <c r="BW68" s="60" t="n">
        <v>515.4</v>
      </c>
      <c r="BX68" s="60" t="n">
        <f aca="false">AA68</f>
        <v>0</v>
      </c>
      <c r="BY68" s="60" t="n">
        <f aca="false">H68</f>
        <v>114.23</v>
      </c>
      <c r="BZ68" s="60" t="n">
        <f aca="false">Z68</f>
        <v>0</v>
      </c>
      <c r="CA68" s="60" t="n">
        <f aca="false">AB68+AC68+AD68</f>
        <v>0</v>
      </c>
      <c r="CB68" s="60" t="n">
        <f aca="false">AE68+AF68+AG68+AH68+AI68</f>
        <v>0</v>
      </c>
    </row>
    <row r="69" customFormat="false" ht="15" hidden="false" customHeight="false" outlineLevel="0" collapsed="false">
      <c r="A69" s="58" t="n">
        <v>45375</v>
      </c>
      <c r="B69" s="59" t="n">
        <f aca="false">YEAR(A69)</f>
        <v>2024</v>
      </c>
      <c r="C69" s="59" t="n">
        <f aca="false">MONTH(A69)</f>
        <v>3</v>
      </c>
      <c r="D69" s="60" t="n">
        <v>8687</v>
      </c>
      <c r="E69" s="61" t="n">
        <v>0.6914</v>
      </c>
      <c r="F69" s="61" t="n">
        <v>0.5872</v>
      </c>
      <c r="G69" s="61" t="n">
        <v>0.7291</v>
      </c>
      <c r="H69" s="60" t="n">
        <v>874.25</v>
      </c>
      <c r="I69" s="60" t="n">
        <f aca="false">H69+'Level 4'!$C$12/100*I68</f>
        <v>874.25</v>
      </c>
      <c r="J69" s="60" t="n">
        <v>94.38</v>
      </c>
      <c r="K69" s="60" t="n">
        <v>70.44</v>
      </c>
      <c r="L69" s="60" t="n">
        <v>0</v>
      </c>
      <c r="M69" s="60" t="n">
        <f aca="false">L69+Answers!$C$14/100*M68</f>
        <v>0.427124284985144</v>
      </c>
      <c r="N69" s="60" t="n">
        <v>607.04</v>
      </c>
      <c r="O69" s="60" t="n">
        <v>19.73</v>
      </c>
      <c r="P69" s="60" t="n">
        <v>45.89</v>
      </c>
      <c r="Q69" s="60" t="n">
        <v>3.5</v>
      </c>
      <c r="R69" s="60" t="n">
        <v>189.4</v>
      </c>
      <c r="S69" s="60" t="n">
        <f aca="false">N69+Answers!$C$16/100*S68</f>
        <v>637.907490536208</v>
      </c>
      <c r="T69" s="60" t="n">
        <f aca="false">O69+Answers!$C$17/100*T68</f>
        <v>128.375985019681</v>
      </c>
      <c r="U69" s="60" t="n">
        <f aca="false">P69+Answers!$C$18/100*U68</f>
        <v>153.704861861577</v>
      </c>
      <c r="V69" s="60" t="n">
        <f aca="false">Q69+Answers!$C$19/100*V68</f>
        <v>16.3087093132488</v>
      </c>
      <c r="W69" s="60" t="n">
        <f aca="false">R69+Answers!$C$20/100*W68</f>
        <v>454.522905156269</v>
      </c>
      <c r="X69" s="60" t="n">
        <f aca="false">IF('Level 1'!$C$11="",0,'Level 1'!$C$11)*E69</f>
        <v>0</v>
      </c>
      <c r="Y69" s="60" t="n">
        <f aca="false">-IF('Level 2'!$C$11="",0,'Level 2'!$C$11)*F69</f>
        <v>-0</v>
      </c>
      <c r="Z69" s="60" t="n">
        <f aca="false">IF('Level 3'!$C$11="",0,'Level 3'!$C$11)*G69</f>
        <v>0</v>
      </c>
      <c r="AA69" s="60" t="n">
        <f aca="false">IF('Level 4'!$C$11="",0,'Level 4'!$C$11)*(1-'Level 4'!$C$12/100)*I69</f>
        <v>0</v>
      </c>
      <c r="AB69" s="60" t="n">
        <f aca="false">IF('Level 5'!$C$11="",0,'Level 5'!$C$11)*J69</f>
        <v>0</v>
      </c>
      <c r="AC69" s="60" t="n">
        <f aca="false">IF('Level 5'!$C$12="",0,'Level 5'!$C$12)*K69</f>
        <v>0</v>
      </c>
      <c r="AD69" s="60" t="n">
        <f aca="false">IF('Level 5'!$C$13="",0,'Level 5'!$C$13)*(1-Answers!$C$14/100)*M69</f>
        <v>0</v>
      </c>
      <c r="AE69" s="60" t="n">
        <f aca="false">IF('Level 6'!$C$11="",0,'Level 6'!$C$11)*(1-Answers!$C$16/100)*S69</f>
        <v>0</v>
      </c>
      <c r="AF69" s="60" t="n">
        <f aca="false">IF('Level 6'!$C$12="",0,'Level 6'!$C$12)*(1-Answers!$C$17/100)*T69</f>
        <v>0</v>
      </c>
      <c r="AG69" s="60" t="n">
        <f aca="false">IF('Level 6'!$C$13="",0,'Level 6'!$C$13)*(1-Answers!$C$18/100)*U69</f>
        <v>0</v>
      </c>
      <c r="AH69" s="60" t="n">
        <f aca="false">IF('Level 6'!$C$14="",0,'Level 6'!$C$14)*(1-Answers!$C$19/100)*V69</f>
        <v>0</v>
      </c>
      <c r="AI69" s="60" t="n">
        <f aca="false">IF('Level 6'!$C$15="",0,'Level 6'!$C$15)*(1-Answers!$C$20/100)*W69</f>
        <v>0</v>
      </c>
      <c r="AJ69" s="60" t="n">
        <f aca="false">X69</f>
        <v>0</v>
      </c>
      <c r="AK69" s="60" t="n">
        <f aca="false">X69+Y69</f>
        <v>0</v>
      </c>
      <c r="AL69" s="60" t="n">
        <f aca="false">AK69+Z69</f>
        <v>0</v>
      </c>
      <c r="AM69" s="60" t="n">
        <f aca="false">AL69+AA69</f>
        <v>0</v>
      </c>
      <c r="AN69" s="60" t="n">
        <f aca="false">AM69+AB69+AC69+AD69</f>
        <v>0</v>
      </c>
      <c r="AO69" s="60" t="n">
        <f aca="false">AL69+AE69+AF69+AG69+AH69+AI69+AB69+AC69+AD69</f>
        <v>0</v>
      </c>
      <c r="AP69" s="60" t="n">
        <f aca="false">IF(Answers!$C$22="Yes",AO69,AN69)</f>
        <v>0</v>
      </c>
      <c r="AQ69" s="60" t="n">
        <v>605.4</v>
      </c>
      <c r="AR69" s="60" t="n">
        <v>-559.3</v>
      </c>
      <c r="AS69" s="60" t="n">
        <v>5539.2</v>
      </c>
      <c r="AT69" s="60" t="n">
        <v>4065.9</v>
      </c>
      <c r="AU69" s="60" t="n">
        <v>335.4</v>
      </c>
      <c r="AV69" s="60" t="n">
        <v>257.7</v>
      </c>
      <c r="AW69" s="60" t="n">
        <v>0</v>
      </c>
      <c r="AX69" s="60" t="n">
        <v>1719.4</v>
      </c>
      <c r="AY69" s="60" t="n">
        <v>413.4</v>
      </c>
      <c r="AZ69" s="60" t="n">
        <v>501.5</v>
      </c>
      <c r="BA69" s="60" t="n">
        <v>16.8</v>
      </c>
      <c r="BB69" s="60" t="n">
        <v>1414.8</v>
      </c>
      <c r="BC69" s="60" t="n">
        <f aca="false">AQ69+AR69+AS69+AT69+AU69+AV69+AW69</f>
        <v>10244.3</v>
      </c>
      <c r="BD69" s="60" t="n">
        <f aca="false">AQ69</f>
        <v>605.4</v>
      </c>
      <c r="BE69" s="60" t="n">
        <f aca="false">AQ69+AR69</f>
        <v>46.1</v>
      </c>
      <c r="BF69" s="60" t="n">
        <f aca="false">BE69+AS69</f>
        <v>5585.3</v>
      </c>
      <c r="BG69" s="60" t="n">
        <f aca="false">BF69+AT69</f>
        <v>9651.2</v>
      </c>
      <c r="BH69" s="60" t="n">
        <f aca="false">BG69+AU69+AV69+AW69</f>
        <v>10244.3</v>
      </c>
      <c r="BI69" s="60" t="n">
        <f aca="false">BC69</f>
        <v>10244.3</v>
      </c>
      <c r="BJ69" s="60" t="n">
        <f aca="false">IF('Level 1'!$C$31="Yes",BD69,AJ69)</f>
        <v>0</v>
      </c>
      <c r="BK69" s="60" t="n">
        <f aca="false">IF('Level 2'!$C$31="Yes",BE69,AK69)</f>
        <v>0</v>
      </c>
      <c r="BL69" s="60" t="n">
        <f aca="false">IF('Level 3'!$C$31="Yes",BF69,AL69)</f>
        <v>0</v>
      </c>
      <c r="BM69" s="60" t="n">
        <f aca="false">IF('Level 4'!$C$31="Yes",BG69,AM69)</f>
        <v>0</v>
      </c>
      <c r="BN69" s="60" t="n">
        <f aca="false">IF('Level 5'!$C$31="Yes",BH69,AN69)</f>
        <v>0</v>
      </c>
      <c r="BO69" s="60" t="n">
        <f aca="false">IF('Level 6'!$C$31="Yes",BI69,AO69)</f>
        <v>0</v>
      </c>
      <c r="BP69" s="60" t="n">
        <f aca="false">IF('Level 7'!$C$31="Yes",BC69,AP69)</f>
        <v>0</v>
      </c>
      <c r="BQ69" s="60" t="n">
        <f aca="false">D69-AP69</f>
        <v>8687</v>
      </c>
      <c r="BR69" s="60" t="n">
        <f aca="false">BQ69^2</f>
        <v>75463969</v>
      </c>
      <c r="BS69" s="60" t="n">
        <f aca="false">(BQ69-BQ68)^2</f>
        <v>5536609</v>
      </c>
      <c r="BT69" s="60" t="n">
        <f aca="false">IF(D69&gt;2000,ABS(BQ69)/D69,"")</f>
        <v>1</v>
      </c>
      <c r="BU69" s="60" t="n">
        <v>208</v>
      </c>
      <c r="BV69" s="62" t="n">
        <v>0.555</v>
      </c>
      <c r="BW69" s="60" t="n">
        <v>1163.3</v>
      </c>
      <c r="BX69" s="60" t="n">
        <f aca="false">AA69</f>
        <v>0</v>
      </c>
      <c r="BY69" s="60" t="n">
        <f aca="false">H69</f>
        <v>874.25</v>
      </c>
      <c r="BZ69" s="60" t="n">
        <f aca="false">Z69</f>
        <v>0</v>
      </c>
      <c r="CA69" s="60" t="n">
        <f aca="false">AB69+AC69+AD69</f>
        <v>0</v>
      </c>
      <c r="CB69" s="60" t="n">
        <f aca="false">AE69+AF69+AG69+AH69+AI69</f>
        <v>0</v>
      </c>
    </row>
    <row r="70" customFormat="false" ht="15" hidden="false" customHeight="false" outlineLevel="0" collapsed="false">
      <c r="A70" s="58" t="n">
        <v>45382</v>
      </c>
      <c r="B70" s="59" t="n">
        <f aca="false">YEAR(A70)</f>
        <v>2024</v>
      </c>
      <c r="C70" s="59" t="n">
        <f aca="false">MONTH(A70)</f>
        <v>3</v>
      </c>
      <c r="D70" s="60" t="n">
        <v>9170</v>
      </c>
      <c r="E70" s="61" t="n">
        <v>0.6791</v>
      </c>
      <c r="F70" s="61" t="n">
        <v>0.6855</v>
      </c>
      <c r="G70" s="61" t="n">
        <v>0.7291</v>
      </c>
      <c r="H70" s="60" t="n">
        <v>911.11</v>
      </c>
      <c r="I70" s="60" t="n">
        <f aca="false">H70+'Level 4'!$C$12/100*I69</f>
        <v>911.11</v>
      </c>
      <c r="J70" s="60" t="n">
        <v>77.31</v>
      </c>
      <c r="K70" s="60" t="n">
        <v>64.17</v>
      </c>
      <c r="L70" s="60" t="n">
        <v>0</v>
      </c>
      <c r="M70" s="60" t="n">
        <f aca="false">L70+Answers!$C$14/100*M69</f>
        <v>0.256274570991086</v>
      </c>
      <c r="N70" s="60" t="n">
        <v>592.95</v>
      </c>
      <c r="O70" s="60" t="n">
        <v>10.25</v>
      </c>
      <c r="P70" s="60" t="n">
        <v>66.64</v>
      </c>
      <c r="Q70" s="60" t="n">
        <v>3.5</v>
      </c>
      <c r="R70" s="60" t="n">
        <v>228.6</v>
      </c>
      <c r="S70" s="60" t="n">
        <f aca="false">N70+Answers!$C$16/100*S69</f>
        <v>1103.27599242897</v>
      </c>
      <c r="T70" s="60" t="n">
        <f aca="false">O70+Answers!$C$17/100*T69</f>
        <v>112.950788015745</v>
      </c>
      <c r="U70" s="60" t="n">
        <f aca="false">P70+Answers!$C$18/100*U69</f>
        <v>189.603889489262</v>
      </c>
      <c r="V70" s="60" t="n">
        <f aca="false">Q70+Answers!$C$19/100*V69</f>
        <v>16.5469674505991</v>
      </c>
      <c r="W70" s="60" t="n">
        <f aca="false">R70+Answers!$C$20/100*W69</f>
        <v>592.218324125016</v>
      </c>
      <c r="X70" s="60" t="n">
        <f aca="false">IF('Level 1'!$C$11="",0,'Level 1'!$C$11)*E70</f>
        <v>0</v>
      </c>
      <c r="Y70" s="60" t="n">
        <f aca="false">-IF('Level 2'!$C$11="",0,'Level 2'!$C$11)*F70</f>
        <v>-0</v>
      </c>
      <c r="Z70" s="60" t="n">
        <f aca="false">IF('Level 3'!$C$11="",0,'Level 3'!$C$11)*G70</f>
        <v>0</v>
      </c>
      <c r="AA70" s="60" t="n">
        <f aca="false">IF('Level 4'!$C$11="",0,'Level 4'!$C$11)*(1-'Level 4'!$C$12/100)*I70</f>
        <v>0</v>
      </c>
      <c r="AB70" s="60" t="n">
        <f aca="false">IF('Level 5'!$C$11="",0,'Level 5'!$C$11)*J70</f>
        <v>0</v>
      </c>
      <c r="AC70" s="60" t="n">
        <f aca="false">IF('Level 5'!$C$12="",0,'Level 5'!$C$12)*K70</f>
        <v>0</v>
      </c>
      <c r="AD70" s="60" t="n">
        <f aca="false">IF('Level 5'!$C$13="",0,'Level 5'!$C$13)*(1-Answers!$C$14/100)*M70</f>
        <v>0</v>
      </c>
      <c r="AE70" s="60" t="n">
        <f aca="false">IF('Level 6'!$C$11="",0,'Level 6'!$C$11)*(1-Answers!$C$16/100)*S70</f>
        <v>0</v>
      </c>
      <c r="AF70" s="60" t="n">
        <f aca="false">IF('Level 6'!$C$12="",0,'Level 6'!$C$12)*(1-Answers!$C$17/100)*T70</f>
        <v>0</v>
      </c>
      <c r="AG70" s="60" t="n">
        <f aca="false">IF('Level 6'!$C$13="",0,'Level 6'!$C$13)*(1-Answers!$C$18/100)*U70</f>
        <v>0</v>
      </c>
      <c r="AH70" s="60" t="n">
        <f aca="false">IF('Level 6'!$C$14="",0,'Level 6'!$C$14)*(1-Answers!$C$19/100)*V70</f>
        <v>0</v>
      </c>
      <c r="AI70" s="60" t="n">
        <f aca="false">IF('Level 6'!$C$15="",0,'Level 6'!$C$15)*(1-Answers!$C$20/100)*W70</f>
        <v>0</v>
      </c>
      <c r="AJ70" s="60" t="n">
        <f aca="false">X70</f>
        <v>0</v>
      </c>
      <c r="AK70" s="60" t="n">
        <f aca="false">X70+Y70</f>
        <v>0</v>
      </c>
      <c r="AL70" s="60" t="n">
        <f aca="false">AK70+Z70</f>
        <v>0</v>
      </c>
      <c r="AM70" s="60" t="n">
        <f aca="false">AL70+AA70</f>
        <v>0</v>
      </c>
      <c r="AN70" s="60" t="n">
        <f aca="false">AM70+AB70+AC70+AD70</f>
        <v>0</v>
      </c>
      <c r="AO70" s="60" t="n">
        <f aca="false">AL70+AE70+AF70+AG70+AH70+AI70+AB70+AC70+AD70</f>
        <v>0</v>
      </c>
      <c r="AP70" s="60" t="n">
        <f aca="false">IF(Answers!$C$22="Yes",AO70,AN70)</f>
        <v>0</v>
      </c>
      <c r="AQ70" s="60" t="n">
        <v>594.6</v>
      </c>
      <c r="AR70" s="60" t="n">
        <v>-652.9</v>
      </c>
      <c r="AS70" s="60" t="n">
        <v>5539.2</v>
      </c>
      <c r="AT70" s="60" t="n">
        <v>5747.7</v>
      </c>
      <c r="AU70" s="60" t="n">
        <v>271.3</v>
      </c>
      <c r="AV70" s="60" t="n">
        <v>234.8</v>
      </c>
      <c r="AW70" s="60" t="n">
        <v>0</v>
      </c>
      <c r="AX70" s="60" t="n">
        <v>3005.8</v>
      </c>
      <c r="AY70" s="60" t="n">
        <v>378.1</v>
      </c>
      <c r="AZ70" s="60" t="n">
        <v>600.4</v>
      </c>
      <c r="BA70" s="60" t="n">
        <v>17.1</v>
      </c>
      <c r="BB70" s="60" t="n">
        <v>1746.3</v>
      </c>
      <c r="BC70" s="60" t="n">
        <f aca="false">AQ70+AR70+AS70+AT70+AU70+AV70+AW70</f>
        <v>11734.7</v>
      </c>
      <c r="BD70" s="60" t="n">
        <f aca="false">AQ70</f>
        <v>594.6</v>
      </c>
      <c r="BE70" s="60" t="n">
        <f aca="false">AQ70+AR70</f>
        <v>-58.3</v>
      </c>
      <c r="BF70" s="60" t="n">
        <f aca="false">BE70+AS70</f>
        <v>5480.9</v>
      </c>
      <c r="BG70" s="60" t="n">
        <f aca="false">BF70+AT70</f>
        <v>11228.6</v>
      </c>
      <c r="BH70" s="60" t="n">
        <f aca="false">BG70+AU70+AV70+AW70</f>
        <v>11734.7</v>
      </c>
      <c r="BI70" s="60" t="n">
        <f aca="false">BC70</f>
        <v>11734.7</v>
      </c>
      <c r="BJ70" s="60" t="n">
        <f aca="false">IF('Level 1'!$C$31="Yes",BD70,AJ70)</f>
        <v>0</v>
      </c>
      <c r="BK70" s="60" t="n">
        <f aca="false">IF('Level 2'!$C$31="Yes",BE70,AK70)</f>
        <v>0</v>
      </c>
      <c r="BL70" s="60" t="n">
        <f aca="false">IF('Level 3'!$C$31="Yes",BF70,AL70)</f>
        <v>0</v>
      </c>
      <c r="BM70" s="60" t="n">
        <f aca="false">IF('Level 4'!$C$31="Yes",BG70,AM70)</f>
        <v>0</v>
      </c>
      <c r="BN70" s="60" t="n">
        <f aca="false">IF('Level 5'!$C$31="Yes",BH70,AN70)</f>
        <v>0</v>
      </c>
      <c r="BO70" s="60" t="n">
        <f aca="false">IF('Level 6'!$C$31="Yes",BI70,AO70)</f>
        <v>0</v>
      </c>
      <c r="BP70" s="60" t="n">
        <f aca="false">IF('Level 7'!$C$31="Yes",BC70,AP70)</f>
        <v>0</v>
      </c>
      <c r="BQ70" s="60" t="n">
        <f aca="false">D70-AP70</f>
        <v>9170</v>
      </c>
      <c r="BR70" s="60" t="n">
        <f aca="false">BQ70^2</f>
        <v>84088900</v>
      </c>
      <c r="BS70" s="60" t="n">
        <f aca="false">(BQ70-BQ69)^2</f>
        <v>233289</v>
      </c>
      <c r="BT70" s="60" t="n">
        <f aca="false">IF(D70&gt;2000,ABS(BQ70)/D70,"")</f>
        <v>1</v>
      </c>
      <c r="BU70" s="60" t="n">
        <v>198</v>
      </c>
      <c r="BV70" s="62" t="n">
        <v>0.5375</v>
      </c>
      <c r="BW70" s="60" t="n">
        <v>1135.1</v>
      </c>
      <c r="BX70" s="60" t="n">
        <f aca="false">AA70</f>
        <v>0</v>
      </c>
      <c r="BY70" s="60" t="n">
        <f aca="false">H70</f>
        <v>911.11</v>
      </c>
      <c r="BZ70" s="60" t="n">
        <f aca="false">Z70</f>
        <v>0</v>
      </c>
      <c r="CA70" s="60" t="n">
        <f aca="false">AB70+AC70+AD70</f>
        <v>0</v>
      </c>
      <c r="CB70" s="60" t="n">
        <f aca="false">AE70+AF70+AG70+AH70+AI70</f>
        <v>0</v>
      </c>
    </row>
    <row r="71" customFormat="false" ht="15" hidden="false" customHeight="false" outlineLevel="0" collapsed="false">
      <c r="A71" s="58" t="n">
        <v>45389</v>
      </c>
      <c r="B71" s="59" t="n">
        <f aca="false">YEAR(A71)</f>
        <v>2024</v>
      </c>
      <c r="C71" s="59" t="n">
        <f aca="false">MONTH(A71)</f>
        <v>4</v>
      </c>
      <c r="D71" s="60" t="n">
        <v>9821</v>
      </c>
      <c r="E71" s="61" t="n">
        <v>0.7907</v>
      </c>
      <c r="F71" s="61" t="n">
        <v>0.6695</v>
      </c>
      <c r="G71" s="61" t="n">
        <v>0.7291</v>
      </c>
      <c r="H71" s="60" t="n">
        <v>374.22</v>
      </c>
      <c r="I71" s="60" t="n">
        <f aca="false">H71+'Level 4'!$C$12/100*I70</f>
        <v>374.22</v>
      </c>
      <c r="J71" s="60" t="n">
        <v>85.68</v>
      </c>
      <c r="K71" s="60" t="n">
        <v>47.47</v>
      </c>
      <c r="L71" s="60" t="n">
        <v>593.91</v>
      </c>
      <c r="M71" s="60" t="n">
        <f aca="false">L71+Answers!$C$14/100*M70</f>
        <v>594.063764742595</v>
      </c>
      <c r="N71" s="60" t="n">
        <v>67.42</v>
      </c>
      <c r="O71" s="60" t="n">
        <v>17.29</v>
      </c>
      <c r="P71" s="60" t="n">
        <v>50.61</v>
      </c>
      <c r="Q71" s="60" t="n">
        <v>3.27</v>
      </c>
      <c r="R71" s="60" t="n">
        <v>225.82</v>
      </c>
      <c r="S71" s="60" t="n">
        <f aca="false">N71+Answers!$C$16/100*S70</f>
        <v>950.040793943173</v>
      </c>
      <c r="T71" s="60" t="n">
        <f aca="false">O71+Answers!$C$17/100*T70</f>
        <v>107.650630412596</v>
      </c>
      <c r="U71" s="60" t="n">
        <f aca="false">P71+Answers!$C$18/100*U70</f>
        <v>202.293111591409</v>
      </c>
      <c r="V71" s="60" t="n">
        <f aca="false">Q71+Answers!$C$19/100*V70</f>
        <v>16.5075739604792</v>
      </c>
      <c r="W71" s="60" t="n">
        <f aca="false">R71+Answers!$C$20/100*W70</f>
        <v>699.594659300012</v>
      </c>
      <c r="X71" s="60" t="n">
        <f aca="false">IF('Level 1'!$C$11="",0,'Level 1'!$C$11)*E71</f>
        <v>0</v>
      </c>
      <c r="Y71" s="60" t="n">
        <f aca="false">-IF('Level 2'!$C$11="",0,'Level 2'!$C$11)*F71</f>
        <v>-0</v>
      </c>
      <c r="Z71" s="60" t="n">
        <f aca="false">IF('Level 3'!$C$11="",0,'Level 3'!$C$11)*G71</f>
        <v>0</v>
      </c>
      <c r="AA71" s="60" t="n">
        <f aca="false">IF('Level 4'!$C$11="",0,'Level 4'!$C$11)*(1-'Level 4'!$C$12/100)*I71</f>
        <v>0</v>
      </c>
      <c r="AB71" s="60" t="n">
        <f aca="false">IF('Level 5'!$C$11="",0,'Level 5'!$C$11)*J71</f>
        <v>0</v>
      </c>
      <c r="AC71" s="60" t="n">
        <f aca="false">IF('Level 5'!$C$12="",0,'Level 5'!$C$12)*K71</f>
        <v>0</v>
      </c>
      <c r="AD71" s="60" t="n">
        <f aca="false">IF('Level 5'!$C$13="",0,'Level 5'!$C$13)*(1-Answers!$C$14/100)*M71</f>
        <v>0</v>
      </c>
      <c r="AE71" s="60" t="n">
        <f aca="false">IF('Level 6'!$C$11="",0,'Level 6'!$C$11)*(1-Answers!$C$16/100)*S71</f>
        <v>0</v>
      </c>
      <c r="AF71" s="60" t="n">
        <f aca="false">IF('Level 6'!$C$12="",0,'Level 6'!$C$12)*(1-Answers!$C$17/100)*T71</f>
        <v>0</v>
      </c>
      <c r="AG71" s="60" t="n">
        <f aca="false">IF('Level 6'!$C$13="",0,'Level 6'!$C$13)*(1-Answers!$C$18/100)*U71</f>
        <v>0</v>
      </c>
      <c r="AH71" s="60" t="n">
        <f aca="false">IF('Level 6'!$C$14="",0,'Level 6'!$C$14)*(1-Answers!$C$19/100)*V71</f>
        <v>0</v>
      </c>
      <c r="AI71" s="60" t="n">
        <f aca="false">IF('Level 6'!$C$15="",0,'Level 6'!$C$15)*(1-Answers!$C$20/100)*W71</f>
        <v>0</v>
      </c>
      <c r="AJ71" s="60" t="n">
        <f aca="false">X71</f>
        <v>0</v>
      </c>
      <c r="AK71" s="60" t="n">
        <f aca="false">X71+Y71</f>
        <v>0</v>
      </c>
      <c r="AL71" s="60" t="n">
        <f aca="false">AK71+Z71</f>
        <v>0</v>
      </c>
      <c r="AM71" s="60" t="n">
        <f aca="false">AL71+AA71</f>
        <v>0</v>
      </c>
      <c r="AN71" s="60" t="n">
        <f aca="false">AM71+AB71+AC71+AD71</f>
        <v>0</v>
      </c>
      <c r="AO71" s="60" t="n">
        <f aca="false">AL71+AE71+AF71+AG71+AH71+AI71+AB71+AC71+AD71</f>
        <v>0</v>
      </c>
      <c r="AP71" s="60" t="n">
        <f aca="false">IF(Answers!$C$22="Yes",AO71,AN71)</f>
        <v>0</v>
      </c>
      <c r="AQ71" s="60" t="n">
        <v>692.4</v>
      </c>
      <c r="AR71" s="60" t="n">
        <v>-637.6</v>
      </c>
      <c r="AS71" s="60" t="n">
        <v>5539.2</v>
      </c>
      <c r="AT71" s="60" t="n">
        <v>5765.5</v>
      </c>
      <c r="AU71" s="60" t="n">
        <v>319.4</v>
      </c>
      <c r="AV71" s="60" t="n">
        <v>173.7</v>
      </c>
      <c r="AW71" s="60" t="n">
        <v>1072.4</v>
      </c>
      <c r="AX71" s="60" t="n">
        <v>2730.4</v>
      </c>
      <c r="AY71" s="60" t="n">
        <v>366.5</v>
      </c>
      <c r="AZ71" s="60" t="n">
        <v>642.5</v>
      </c>
      <c r="BA71" s="60" t="n">
        <v>17.3</v>
      </c>
      <c r="BB71" s="60" t="n">
        <v>2008.8</v>
      </c>
      <c r="BC71" s="60" t="n">
        <f aca="false">AQ71+AR71+AS71+AT71+AU71+AV71+AW71</f>
        <v>12925</v>
      </c>
      <c r="BD71" s="60" t="n">
        <f aca="false">AQ71</f>
        <v>692.4</v>
      </c>
      <c r="BE71" s="60" t="n">
        <f aca="false">AQ71+AR71</f>
        <v>54.8</v>
      </c>
      <c r="BF71" s="60" t="n">
        <f aca="false">BE71+AS71</f>
        <v>5594</v>
      </c>
      <c r="BG71" s="60" t="n">
        <f aca="false">BF71+AT71</f>
        <v>11359.5</v>
      </c>
      <c r="BH71" s="60" t="n">
        <f aca="false">BG71+AU71+AV71+AW71</f>
        <v>12925</v>
      </c>
      <c r="BI71" s="60" t="n">
        <f aca="false">BC71</f>
        <v>12925</v>
      </c>
      <c r="BJ71" s="60" t="n">
        <f aca="false">IF('Level 1'!$C$31="Yes",BD71,AJ71)</f>
        <v>0</v>
      </c>
      <c r="BK71" s="60" t="n">
        <f aca="false">IF('Level 2'!$C$31="Yes",BE71,AK71)</f>
        <v>0</v>
      </c>
      <c r="BL71" s="60" t="n">
        <f aca="false">IF('Level 3'!$C$31="Yes",BF71,AL71)</f>
        <v>0</v>
      </c>
      <c r="BM71" s="60" t="n">
        <f aca="false">IF('Level 4'!$C$31="Yes",BG71,AM71)</f>
        <v>0</v>
      </c>
      <c r="BN71" s="60" t="n">
        <f aca="false">IF('Level 5'!$C$31="Yes",BH71,AN71)</f>
        <v>0</v>
      </c>
      <c r="BO71" s="60" t="n">
        <f aca="false">IF('Level 6'!$C$31="Yes",BI71,AO71)</f>
        <v>0</v>
      </c>
      <c r="BP71" s="60" t="n">
        <f aca="false">IF('Level 7'!$C$31="Yes",BC71,AP71)</f>
        <v>0</v>
      </c>
      <c r="BQ71" s="60" t="n">
        <f aca="false">D71-AP71</f>
        <v>9821</v>
      </c>
      <c r="BR71" s="60" t="n">
        <f aca="false">BQ71^2</f>
        <v>96452041</v>
      </c>
      <c r="BS71" s="60" t="n">
        <f aca="false">(BQ71-BQ70)^2</f>
        <v>423801</v>
      </c>
      <c r="BT71" s="60" t="n">
        <f aca="false">IF(D71&gt;2000,ABS(BQ71)/D71,"")</f>
        <v>1</v>
      </c>
      <c r="BU71" s="60" t="n">
        <v>253</v>
      </c>
      <c r="BV71" s="62" t="n">
        <v>0.5375</v>
      </c>
      <c r="BW71" s="60" t="n">
        <v>1113.1</v>
      </c>
      <c r="BX71" s="60" t="n">
        <f aca="false">AA71</f>
        <v>0</v>
      </c>
      <c r="BY71" s="60" t="n">
        <f aca="false">H71</f>
        <v>374.22</v>
      </c>
      <c r="BZ71" s="60" t="n">
        <f aca="false">Z71</f>
        <v>0</v>
      </c>
      <c r="CA71" s="60" t="n">
        <f aca="false">AB71+AC71+AD71</f>
        <v>0</v>
      </c>
      <c r="CB71" s="60" t="n">
        <f aca="false">AE71+AF71+AG71+AH71+AI71</f>
        <v>0</v>
      </c>
    </row>
    <row r="72" customFormat="false" ht="15" hidden="false" customHeight="false" outlineLevel="0" collapsed="false">
      <c r="A72" s="58" t="n">
        <v>45396</v>
      </c>
      <c r="B72" s="59" t="n">
        <f aca="false">YEAR(A72)</f>
        <v>2024</v>
      </c>
      <c r="C72" s="59" t="n">
        <f aca="false">MONTH(A72)</f>
        <v>4</v>
      </c>
      <c r="D72" s="60" t="n">
        <v>10422</v>
      </c>
      <c r="E72" s="61" t="n">
        <v>1.3731</v>
      </c>
      <c r="F72" s="61" t="n">
        <v>0.6649</v>
      </c>
      <c r="G72" s="61" t="n">
        <v>0.7291</v>
      </c>
      <c r="H72" s="60" t="n">
        <v>339.04</v>
      </c>
      <c r="I72" s="60" t="n">
        <f aca="false">H72+'Level 4'!$C$12/100*I71</f>
        <v>339.04</v>
      </c>
      <c r="J72" s="60" t="n">
        <v>74.28</v>
      </c>
      <c r="K72" s="60" t="n">
        <v>47.49</v>
      </c>
      <c r="L72" s="60" t="n">
        <v>501.16</v>
      </c>
      <c r="M72" s="60" t="n">
        <f aca="false">L72+Answers!$C$14/100*M71</f>
        <v>857.598258845557</v>
      </c>
      <c r="N72" s="60" t="n">
        <v>61.97</v>
      </c>
      <c r="O72" s="60" t="n">
        <v>13.77</v>
      </c>
      <c r="P72" s="60" t="n">
        <v>50.94</v>
      </c>
      <c r="Q72" s="60" t="n">
        <v>3.27</v>
      </c>
      <c r="R72" s="60" t="n">
        <v>198.68</v>
      </c>
      <c r="S72" s="60" t="n">
        <f aca="false">N72+Answers!$C$16/100*S71</f>
        <v>822.002635154539</v>
      </c>
      <c r="T72" s="60" t="n">
        <f aca="false">O72+Answers!$C$17/100*T71</f>
        <v>99.8905043300766</v>
      </c>
      <c r="U72" s="60" t="n">
        <f aca="false">P72+Answers!$C$18/100*U71</f>
        <v>212.774489273127</v>
      </c>
      <c r="V72" s="60" t="n">
        <f aca="false">Q72+Answers!$C$19/100*V71</f>
        <v>16.4760591683834</v>
      </c>
      <c r="W72" s="60" t="n">
        <f aca="false">R72+Answers!$C$20/100*W71</f>
        <v>758.35572744001</v>
      </c>
      <c r="X72" s="60" t="n">
        <f aca="false">IF('Level 1'!$C$11="",0,'Level 1'!$C$11)*E72</f>
        <v>0</v>
      </c>
      <c r="Y72" s="60" t="n">
        <f aca="false">-IF('Level 2'!$C$11="",0,'Level 2'!$C$11)*F72</f>
        <v>-0</v>
      </c>
      <c r="Z72" s="60" t="n">
        <f aca="false">IF('Level 3'!$C$11="",0,'Level 3'!$C$11)*G72</f>
        <v>0</v>
      </c>
      <c r="AA72" s="60" t="n">
        <f aca="false">IF('Level 4'!$C$11="",0,'Level 4'!$C$11)*(1-'Level 4'!$C$12/100)*I72</f>
        <v>0</v>
      </c>
      <c r="AB72" s="60" t="n">
        <f aca="false">IF('Level 5'!$C$11="",0,'Level 5'!$C$11)*J72</f>
        <v>0</v>
      </c>
      <c r="AC72" s="60" t="n">
        <f aca="false">IF('Level 5'!$C$12="",0,'Level 5'!$C$12)*K72</f>
        <v>0</v>
      </c>
      <c r="AD72" s="60" t="n">
        <f aca="false">IF('Level 5'!$C$13="",0,'Level 5'!$C$13)*(1-Answers!$C$14/100)*M72</f>
        <v>0</v>
      </c>
      <c r="AE72" s="60" t="n">
        <f aca="false">IF('Level 6'!$C$11="",0,'Level 6'!$C$11)*(1-Answers!$C$16/100)*S72</f>
        <v>0</v>
      </c>
      <c r="AF72" s="60" t="n">
        <f aca="false">IF('Level 6'!$C$12="",0,'Level 6'!$C$12)*(1-Answers!$C$17/100)*T72</f>
        <v>0</v>
      </c>
      <c r="AG72" s="60" t="n">
        <f aca="false">IF('Level 6'!$C$13="",0,'Level 6'!$C$13)*(1-Answers!$C$18/100)*U72</f>
        <v>0</v>
      </c>
      <c r="AH72" s="60" t="n">
        <f aca="false">IF('Level 6'!$C$14="",0,'Level 6'!$C$14)*(1-Answers!$C$19/100)*V72</f>
        <v>0</v>
      </c>
      <c r="AI72" s="60" t="n">
        <f aca="false">IF('Level 6'!$C$15="",0,'Level 6'!$C$15)*(1-Answers!$C$20/100)*W72</f>
        <v>0</v>
      </c>
      <c r="AJ72" s="60" t="n">
        <f aca="false">X72</f>
        <v>0</v>
      </c>
      <c r="AK72" s="60" t="n">
        <f aca="false">X72+Y72</f>
        <v>0</v>
      </c>
      <c r="AL72" s="60" t="n">
        <f aca="false">AK72+Z72</f>
        <v>0</v>
      </c>
      <c r="AM72" s="60" t="n">
        <f aca="false">AL72+AA72</f>
        <v>0</v>
      </c>
      <c r="AN72" s="60" t="n">
        <f aca="false">AM72+AB72+AC72+AD72</f>
        <v>0</v>
      </c>
      <c r="AO72" s="60" t="n">
        <f aca="false">AL72+AE72+AF72+AG72+AH72+AI72+AB72+AC72+AD72</f>
        <v>0</v>
      </c>
      <c r="AP72" s="60" t="n">
        <f aca="false">IF(Answers!$C$22="Yes",AO72,AN72)</f>
        <v>0</v>
      </c>
      <c r="AQ72" s="60" t="n">
        <v>1202.3</v>
      </c>
      <c r="AR72" s="60" t="n">
        <v>-633.3</v>
      </c>
      <c r="AS72" s="60" t="n">
        <v>5539.2</v>
      </c>
      <c r="AT72" s="60" t="n">
        <v>5701.8</v>
      </c>
      <c r="AU72" s="60" t="n">
        <v>274.9</v>
      </c>
      <c r="AV72" s="60" t="n">
        <v>173.8</v>
      </c>
      <c r="AW72" s="60" t="n">
        <v>1601.9</v>
      </c>
      <c r="AX72" s="60" t="n">
        <v>2482</v>
      </c>
      <c r="AY72" s="60" t="n">
        <v>347.4</v>
      </c>
      <c r="AZ72" s="60" t="n">
        <v>679.2</v>
      </c>
      <c r="BA72" s="60" t="n">
        <v>17.4</v>
      </c>
      <c r="BB72" s="60" t="n">
        <v>2175.8</v>
      </c>
      <c r="BC72" s="60" t="n">
        <f aca="false">AQ72+AR72+AS72+AT72+AU72+AV72+AW72</f>
        <v>13860.6</v>
      </c>
      <c r="BD72" s="60" t="n">
        <f aca="false">AQ72</f>
        <v>1202.3</v>
      </c>
      <c r="BE72" s="60" t="n">
        <f aca="false">AQ72+AR72</f>
        <v>569</v>
      </c>
      <c r="BF72" s="60" t="n">
        <f aca="false">BE72+AS72</f>
        <v>6108.2</v>
      </c>
      <c r="BG72" s="60" t="n">
        <f aca="false">BF72+AT72</f>
        <v>11810</v>
      </c>
      <c r="BH72" s="60" t="n">
        <f aca="false">BG72+AU72+AV72+AW72</f>
        <v>13860.6</v>
      </c>
      <c r="BI72" s="60" t="n">
        <f aca="false">BC72</f>
        <v>13860.6</v>
      </c>
      <c r="BJ72" s="60" t="n">
        <f aca="false">IF('Level 1'!$C$31="Yes",BD72,AJ72)</f>
        <v>0</v>
      </c>
      <c r="BK72" s="60" t="n">
        <f aca="false">IF('Level 2'!$C$31="Yes",BE72,AK72)</f>
        <v>0</v>
      </c>
      <c r="BL72" s="60" t="n">
        <f aca="false">IF('Level 3'!$C$31="Yes",BF72,AL72)</f>
        <v>0</v>
      </c>
      <c r="BM72" s="60" t="n">
        <f aca="false">IF('Level 4'!$C$31="Yes",BG72,AM72)</f>
        <v>0</v>
      </c>
      <c r="BN72" s="60" t="n">
        <f aca="false">IF('Level 5'!$C$31="Yes",BH72,AN72)</f>
        <v>0</v>
      </c>
      <c r="BO72" s="60" t="n">
        <f aca="false">IF('Level 6'!$C$31="Yes",BI72,AO72)</f>
        <v>0</v>
      </c>
      <c r="BP72" s="60" t="n">
        <f aca="false">IF('Level 7'!$C$31="Yes",BC72,AP72)</f>
        <v>0</v>
      </c>
      <c r="BQ72" s="60" t="n">
        <f aca="false">D72-AP72</f>
        <v>10422</v>
      </c>
      <c r="BR72" s="60" t="n">
        <f aca="false">BQ72^2</f>
        <v>108618084</v>
      </c>
      <c r="BS72" s="60" t="n">
        <f aca="false">(BQ72-BQ71)^2</f>
        <v>361201</v>
      </c>
      <c r="BT72" s="60" t="n">
        <f aca="false">IF(D72&gt;2000,ABS(BQ72)/D72,"")</f>
        <v>1</v>
      </c>
      <c r="BU72" s="60" t="n">
        <v>233</v>
      </c>
      <c r="BV72" s="62" t="n">
        <v>0.5375</v>
      </c>
      <c r="BW72" s="60" t="n">
        <v>1015.7</v>
      </c>
      <c r="BX72" s="60" t="n">
        <f aca="false">AA72</f>
        <v>0</v>
      </c>
      <c r="BY72" s="60" t="n">
        <f aca="false">H72</f>
        <v>339.04</v>
      </c>
      <c r="BZ72" s="60" t="n">
        <f aca="false">Z72</f>
        <v>0</v>
      </c>
      <c r="CA72" s="60" t="n">
        <f aca="false">AB72+AC72+AD72</f>
        <v>0</v>
      </c>
      <c r="CB72" s="60" t="n">
        <f aca="false">AE72+AF72+AG72+AH72+AI72</f>
        <v>0</v>
      </c>
    </row>
    <row r="73" customFormat="false" ht="15" hidden="false" customHeight="false" outlineLevel="0" collapsed="false">
      <c r="A73" s="58" t="n">
        <v>45403</v>
      </c>
      <c r="B73" s="59" t="n">
        <f aca="false">YEAR(A73)</f>
        <v>2024</v>
      </c>
      <c r="C73" s="59" t="n">
        <f aca="false">MONTH(A73)</f>
        <v>4</v>
      </c>
      <c r="D73" s="60" t="n">
        <v>11546</v>
      </c>
      <c r="E73" s="61" t="n">
        <v>0.7471</v>
      </c>
      <c r="F73" s="61" t="n">
        <v>0.5849</v>
      </c>
      <c r="G73" s="61" t="n">
        <v>0.7291</v>
      </c>
      <c r="H73" s="60" t="n">
        <v>345.42</v>
      </c>
      <c r="I73" s="60" t="n">
        <f aca="false">H73+'Level 4'!$C$12/100*I72</f>
        <v>345.42</v>
      </c>
      <c r="J73" s="60" t="n">
        <v>83.11</v>
      </c>
      <c r="K73" s="60" t="n">
        <v>33.11</v>
      </c>
      <c r="L73" s="60" t="n">
        <v>59.68</v>
      </c>
      <c r="M73" s="60" t="n">
        <f aca="false">L73+Answers!$C$14/100*M72</f>
        <v>574.238955307334</v>
      </c>
      <c r="N73" s="60" t="n">
        <v>67.87</v>
      </c>
      <c r="O73" s="60" t="n">
        <v>12.68</v>
      </c>
      <c r="P73" s="60" t="n">
        <v>46.71</v>
      </c>
      <c r="Q73" s="60" t="n">
        <v>3.27</v>
      </c>
      <c r="R73" s="60" t="n">
        <v>203.35</v>
      </c>
      <c r="S73" s="60" t="n">
        <f aca="false">N73+Answers!$C$16/100*S72</f>
        <v>725.472108123631</v>
      </c>
      <c r="T73" s="60" t="n">
        <f aca="false">O73+Answers!$C$17/100*T72</f>
        <v>92.5924034640613</v>
      </c>
      <c r="U73" s="60" t="n">
        <f aca="false">P73+Answers!$C$18/100*U72</f>
        <v>216.929591418502</v>
      </c>
      <c r="V73" s="60" t="n">
        <f aca="false">Q73+Answers!$C$19/100*V72</f>
        <v>16.4508473347067</v>
      </c>
      <c r="W73" s="60" t="n">
        <f aca="false">R73+Answers!$C$20/100*W72</f>
        <v>810.034581952008</v>
      </c>
      <c r="X73" s="60" t="n">
        <f aca="false">IF('Level 1'!$C$11="",0,'Level 1'!$C$11)*E73</f>
        <v>0</v>
      </c>
      <c r="Y73" s="60" t="n">
        <f aca="false">-IF('Level 2'!$C$11="",0,'Level 2'!$C$11)*F73</f>
        <v>-0</v>
      </c>
      <c r="Z73" s="60" t="n">
        <f aca="false">IF('Level 3'!$C$11="",0,'Level 3'!$C$11)*G73</f>
        <v>0</v>
      </c>
      <c r="AA73" s="60" t="n">
        <f aca="false">IF('Level 4'!$C$11="",0,'Level 4'!$C$11)*(1-'Level 4'!$C$12/100)*I73</f>
        <v>0</v>
      </c>
      <c r="AB73" s="60" t="n">
        <f aca="false">IF('Level 5'!$C$11="",0,'Level 5'!$C$11)*J73</f>
        <v>0</v>
      </c>
      <c r="AC73" s="60" t="n">
        <f aca="false">IF('Level 5'!$C$12="",0,'Level 5'!$C$12)*K73</f>
        <v>0</v>
      </c>
      <c r="AD73" s="60" t="n">
        <f aca="false">IF('Level 5'!$C$13="",0,'Level 5'!$C$13)*(1-Answers!$C$14/100)*M73</f>
        <v>0</v>
      </c>
      <c r="AE73" s="60" t="n">
        <f aca="false">IF('Level 6'!$C$11="",0,'Level 6'!$C$11)*(1-Answers!$C$16/100)*S73</f>
        <v>0</v>
      </c>
      <c r="AF73" s="60" t="n">
        <f aca="false">IF('Level 6'!$C$12="",0,'Level 6'!$C$12)*(1-Answers!$C$17/100)*T73</f>
        <v>0</v>
      </c>
      <c r="AG73" s="60" t="n">
        <f aca="false">IF('Level 6'!$C$13="",0,'Level 6'!$C$13)*(1-Answers!$C$18/100)*U73</f>
        <v>0</v>
      </c>
      <c r="AH73" s="60" t="n">
        <f aca="false">IF('Level 6'!$C$14="",0,'Level 6'!$C$14)*(1-Answers!$C$19/100)*V73</f>
        <v>0</v>
      </c>
      <c r="AI73" s="60" t="n">
        <f aca="false">IF('Level 6'!$C$15="",0,'Level 6'!$C$15)*(1-Answers!$C$20/100)*W73</f>
        <v>0</v>
      </c>
      <c r="AJ73" s="60" t="n">
        <f aca="false">X73</f>
        <v>0</v>
      </c>
      <c r="AK73" s="60" t="n">
        <f aca="false">X73+Y73</f>
        <v>0</v>
      </c>
      <c r="AL73" s="60" t="n">
        <f aca="false">AK73+Z73</f>
        <v>0</v>
      </c>
      <c r="AM73" s="60" t="n">
        <f aca="false">AL73+AA73</f>
        <v>0</v>
      </c>
      <c r="AN73" s="60" t="n">
        <f aca="false">AM73+AB73+AC73+AD73</f>
        <v>0</v>
      </c>
      <c r="AO73" s="60" t="n">
        <f aca="false">AL73+AE73+AF73+AG73+AH73+AI73+AB73+AC73+AD73</f>
        <v>0</v>
      </c>
      <c r="AP73" s="60" t="n">
        <f aca="false">IF(Answers!$C$22="Yes",AO73,AN73)</f>
        <v>0</v>
      </c>
      <c r="AQ73" s="60" t="n">
        <v>654.2</v>
      </c>
      <c r="AR73" s="60" t="n">
        <v>-557.1</v>
      </c>
      <c r="AS73" s="60" t="n">
        <v>5539.2</v>
      </c>
      <c r="AT73" s="60" t="n">
        <v>5664.2</v>
      </c>
      <c r="AU73" s="60" t="n">
        <v>307.5</v>
      </c>
      <c r="AV73" s="60" t="n">
        <v>121.2</v>
      </c>
      <c r="AW73" s="60" t="n">
        <v>1149</v>
      </c>
      <c r="AX73" s="60" t="n">
        <v>2286.3</v>
      </c>
      <c r="AY73" s="60" t="n">
        <v>328.3</v>
      </c>
      <c r="AZ73" s="60" t="n">
        <v>699.4</v>
      </c>
      <c r="BA73" s="60" t="n">
        <v>17.5</v>
      </c>
      <c r="BB73" s="60" t="n">
        <v>2332.7</v>
      </c>
      <c r="BC73" s="60" t="n">
        <f aca="false">AQ73+AR73+AS73+AT73+AU73+AV73+AW73</f>
        <v>12878.2</v>
      </c>
      <c r="BD73" s="60" t="n">
        <f aca="false">AQ73</f>
        <v>654.2</v>
      </c>
      <c r="BE73" s="60" t="n">
        <f aca="false">AQ73+AR73</f>
        <v>97.1</v>
      </c>
      <c r="BF73" s="60" t="n">
        <f aca="false">BE73+AS73</f>
        <v>5636.3</v>
      </c>
      <c r="BG73" s="60" t="n">
        <f aca="false">BF73+AT73</f>
        <v>11300.5</v>
      </c>
      <c r="BH73" s="60" t="n">
        <f aca="false">BG73+AU73+AV73+AW73</f>
        <v>12878.2</v>
      </c>
      <c r="BI73" s="60" t="n">
        <f aca="false">BC73</f>
        <v>12878.2</v>
      </c>
      <c r="BJ73" s="60" t="n">
        <f aca="false">IF('Level 1'!$C$31="Yes",BD73,AJ73)</f>
        <v>0</v>
      </c>
      <c r="BK73" s="60" t="n">
        <f aca="false">IF('Level 2'!$C$31="Yes",BE73,AK73)</f>
        <v>0</v>
      </c>
      <c r="BL73" s="60" t="n">
        <f aca="false">IF('Level 3'!$C$31="Yes",BF73,AL73)</f>
        <v>0</v>
      </c>
      <c r="BM73" s="60" t="n">
        <f aca="false">IF('Level 4'!$C$31="Yes",BG73,AM73)</f>
        <v>0</v>
      </c>
      <c r="BN73" s="60" t="n">
        <f aca="false">IF('Level 5'!$C$31="Yes",BH73,AN73)</f>
        <v>0</v>
      </c>
      <c r="BO73" s="60" t="n">
        <f aca="false">IF('Level 6'!$C$31="Yes",BI73,AO73)</f>
        <v>0</v>
      </c>
      <c r="BP73" s="60" t="n">
        <f aca="false">IF('Level 7'!$C$31="Yes",BC73,AP73)</f>
        <v>0</v>
      </c>
      <c r="BQ73" s="60" t="n">
        <f aca="false">D73-AP73</f>
        <v>11546</v>
      </c>
      <c r="BR73" s="60" t="n">
        <f aca="false">BQ73^2</f>
        <v>133310116</v>
      </c>
      <c r="BS73" s="60" t="n">
        <f aca="false">(BQ73-BQ72)^2</f>
        <v>1263376</v>
      </c>
      <c r="BT73" s="60" t="n">
        <f aca="false">IF(D73&gt;2000,ABS(BQ73)/D73,"")</f>
        <v>1</v>
      </c>
      <c r="BU73" s="60" t="n">
        <v>134</v>
      </c>
      <c r="BV73" s="62" t="n">
        <v>0.5375</v>
      </c>
      <c r="BW73" s="60" t="n">
        <v>609.1</v>
      </c>
      <c r="BX73" s="60" t="n">
        <f aca="false">AA73</f>
        <v>0</v>
      </c>
      <c r="BY73" s="60" t="n">
        <f aca="false">H73</f>
        <v>345.42</v>
      </c>
      <c r="BZ73" s="60" t="n">
        <f aca="false">Z73</f>
        <v>0</v>
      </c>
      <c r="CA73" s="60" t="n">
        <f aca="false">AB73+AC73+AD73</f>
        <v>0</v>
      </c>
      <c r="CB73" s="60" t="n">
        <f aca="false">AE73+AF73+AG73+AH73+AI73</f>
        <v>0</v>
      </c>
    </row>
    <row r="74" customFormat="false" ht="15" hidden="false" customHeight="false" outlineLevel="0" collapsed="false">
      <c r="A74" s="58" t="n">
        <v>45410</v>
      </c>
      <c r="B74" s="59" t="n">
        <f aca="false">YEAR(A74)</f>
        <v>2024</v>
      </c>
      <c r="C74" s="59" t="n">
        <f aca="false">MONTH(A74)</f>
        <v>4</v>
      </c>
      <c r="D74" s="60" t="n">
        <v>20655</v>
      </c>
      <c r="E74" s="61" t="n">
        <v>0.745</v>
      </c>
      <c r="F74" s="61" t="n">
        <v>0.6763</v>
      </c>
      <c r="G74" s="61" t="n">
        <v>1.7411</v>
      </c>
      <c r="H74" s="60" t="n">
        <v>368.47</v>
      </c>
      <c r="I74" s="60" t="n">
        <f aca="false">H74+'Level 4'!$C$12/100*I73</f>
        <v>368.47</v>
      </c>
      <c r="J74" s="60" t="n">
        <v>71.7</v>
      </c>
      <c r="K74" s="60" t="n">
        <v>30.76</v>
      </c>
      <c r="L74" s="60" t="n">
        <v>38.85</v>
      </c>
      <c r="M74" s="60" t="n">
        <f aca="false">L74+Answers!$C$14/100*M73</f>
        <v>383.3933731844</v>
      </c>
      <c r="N74" s="60" t="n">
        <v>49.01</v>
      </c>
      <c r="O74" s="60" t="n">
        <v>12.45</v>
      </c>
      <c r="P74" s="60" t="n">
        <v>41.21</v>
      </c>
      <c r="Q74" s="60" t="n">
        <v>45.73</v>
      </c>
      <c r="R74" s="60" t="n">
        <v>199.41</v>
      </c>
      <c r="S74" s="60" t="n">
        <f aca="false">N74+Answers!$C$16/100*S73</f>
        <v>629.387686498905</v>
      </c>
      <c r="T74" s="60" t="n">
        <f aca="false">O74+Answers!$C$17/100*T73</f>
        <v>86.5239227712491</v>
      </c>
      <c r="U74" s="60" t="n">
        <f aca="false">P74+Answers!$C$18/100*U73</f>
        <v>214.753673134802</v>
      </c>
      <c r="V74" s="60" t="n">
        <f aca="false">Q74+Answers!$C$19/100*V73</f>
        <v>58.8906778677654</v>
      </c>
      <c r="W74" s="60" t="n">
        <f aca="false">R74+Answers!$C$20/100*W73</f>
        <v>847.437665561606</v>
      </c>
      <c r="X74" s="60" t="n">
        <f aca="false">IF('Level 1'!$C$11="",0,'Level 1'!$C$11)*E74</f>
        <v>0</v>
      </c>
      <c r="Y74" s="60" t="n">
        <f aca="false">-IF('Level 2'!$C$11="",0,'Level 2'!$C$11)*F74</f>
        <v>-0</v>
      </c>
      <c r="Z74" s="60" t="n">
        <f aca="false">IF('Level 3'!$C$11="",0,'Level 3'!$C$11)*G74</f>
        <v>0</v>
      </c>
      <c r="AA74" s="60" t="n">
        <f aca="false">IF('Level 4'!$C$11="",0,'Level 4'!$C$11)*(1-'Level 4'!$C$12/100)*I74</f>
        <v>0</v>
      </c>
      <c r="AB74" s="60" t="n">
        <f aca="false">IF('Level 5'!$C$11="",0,'Level 5'!$C$11)*J74</f>
        <v>0</v>
      </c>
      <c r="AC74" s="60" t="n">
        <f aca="false">IF('Level 5'!$C$12="",0,'Level 5'!$C$12)*K74</f>
        <v>0</v>
      </c>
      <c r="AD74" s="60" t="n">
        <f aca="false">IF('Level 5'!$C$13="",0,'Level 5'!$C$13)*(1-Answers!$C$14/100)*M74</f>
        <v>0</v>
      </c>
      <c r="AE74" s="60" t="n">
        <f aca="false">IF('Level 6'!$C$11="",0,'Level 6'!$C$11)*(1-Answers!$C$16/100)*S74</f>
        <v>0</v>
      </c>
      <c r="AF74" s="60" t="n">
        <f aca="false">IF('Level 6'!$C$12="",0,'Level 6'!$C$12)*(1-Answers!$C$17/100)*T74</f>
        <v>0</v>
      </c>
      <c r="AG74" s="60" t="n">
        <f aca="false">IF('Level 6'!$C$13="",0,'Level 6'!$C$13)*(1-Answers!$C$18/100)*U74</f>
        <v>0</v>
      </c>
      <c r="AH74" s="60" t="n">
        <f aca="false">IF('Level 6'!$C$14="",0,'Level 6'!$C$14)*(1-Answers!$C$19/100)*V74</f>
        <v>0</v>
      </c>
      <c r="AI74" s="60" t="n">
        <f aca="false">IF('Level 6'!$C$15="",0,'Level 6'!$C$15)*(1-Answers!$C$20/100)*W74</f>
        <v>0</v>
      </c>
      <c r="AJ74" s="60" t="n">
        <f aca="false">X74</f>
        <v>0</v>
      </c>
      <c r="AK74" s="60" t="n">
        <f aca="false">X74+Y74</f>
        <v>0</v>
      </c>
      <c r="AL74" s="60" t="n">
        <f aca="false">AK74+Z74</f>
        <v>0</v>
      </c>
      <c r="AM74" s="60" t="n">
        <f aca="false">AL74+AA74</f>
        <v>0</v>
      </c>
      <c r="AN74" s="60" t="n">
        <f aca="false">AM74+AB74+AC74+AD74</f>
        <v>0</v>
      </c>
      <c r="AO74" s="60" t="n">
        <f aca="false">AL74+AE74+AF74+AG74+AH74+AI74+AB74+AC74+AD74</f>
        <v>0</v>
      </c>
      <c r="AP74" s="60" t="n">
        <f aca="false">IF(Answers!$C$22="Yes",AO74,AN74)</f>
        <v>0</v>
      </c>
      <c r="AQ74" s="60" t="n">
        <v>652.3</v>
      </c>
      <c r="AR74" s="60" t="n">
        <v>-644.2</v>
      </c>
      <c r="AS74" s="60" t="n">
        <v>13227.7</v>
      </c>
      <c r="AT74" s="60" t="n">
        <v>5606</v>
      </c>
      <c r="AU74" s="60" t="n">
        <v>261.7</v>
      </c>
      <c r="AV74" s="60" t="n">
        <v>112.5</v>
      </c>
      <c r="AW74" s="60" t="n">
        <v>817</v>
      </c>
      <c r="AX74" s="60" t="n">
        <v>2070.9</v>
      </c>
      <c r="AY74" s="60" t="n">
        <v>311.5</v>
      </c>
      <c r="AZ74" s="60" t="n">
        <v>702.2</v>
      </c>
      <c r="BA74" s="60" t="n">
        <v>52.8</v>
      </c>
      <c r="BB74" s="60" t="n">
        <v>2468.6</v>
      </c>
      <c r="BC74" s="60" t="n">
        <f aca="false">AQ74+AR74+AS74+AT74+AU74+AV74+AW74</f>
        <v>20033</v>
      </c>
      <c r="BD74" s="60" t="n">
        <f aca="false">AQ74</f>
        <v>652.3</v>
      </c>
      <c r="BE74" s="60" t="n">
        <f aca="false">AQ74+AR74</f>
        <v>8.09999999999991</v>
      </c>
      <c r="BF74" s="60" t="n">
        <f aca="false">BE74+AS74</f>
        <v>13235.8</v>
      </c>
      <c r="BG74" s="60" t="n">
        <f aca="false">BF74+AT74</f>
        <v>18841.8</v>
      </c>
      <c r="BH74" s="60" t="n">
        <f aca="false">BG74+AU74+AV74+AW74</f>
        <v>20033</v>
      </c>
      <c r="BI74" s="60" t="n">
        <f aca="false">BC74</f>
        <v>20033</v>
      </c>
      <c r="BJ74" s="60" t="n">
        <f aca="false">IF('Level 1'!$C$31="Yes",BD74,AJ74)</f>
        <v>0</v>
      </c>
      <c r="BK74" s="60" t="n">
        <f aca="false">IF('Level 2'!$C$31="Yes",BE74,AK74)</f>
        <v>0</v>
      </c>
      <c r="BL74" s="60" t="n">
        <f aca="false">IF('Level 3'!$C$31="Yes",BF74,AL74)</f>
        <v>0</v>
      </c>
      <c r="BM74" s="60" t="n">
        <f aca="false">IF('Level 4'!$C$31="Yes",BG74,AM74)</f>
        <v>0</v>
      </c>
      <c r="BN74" s="60" t="n">
        <f aca="false">IF('Level 5'!$C$31="Yes",BH74,AN74)</f>
        <v>0</v>
      </c>
      <c r="BO74" s="60" t="n">
        <f aca="false">IF('Level 6'!$C$31="Yes",BI74,AO74)</f>
        <v>0</v>
      </c>
      <c r="BP74" s="60" t="n">
        <f aca="false">IF('Level 7'!$C$31="Yes",BC74,AP74)</f>
        <v>0</v>
      </c>
      <c r="BQ74" s="60" t="n">
        <f aca="false">D74-AP74</f>
        <v>20655</v>
      </c>
      <c r="BR74" s="60" t="n">
        <f aca="false">BQ74^2</f>
        <v>426629025</v>
      </c>
      <c r="BS74" s="60" t="n">
        <f aca="false">(BQ74-BQ73)^2</f>
        <v>82973881</v>
      </c>
      <c r="BT74" s="60" t="n">
        <f aca="false">IF(D74&gt;2000,ABS(BQ74)/D74,"")</f>
        <v>1</v>
      </c>
      <c r="BU74" s="60" t="n">
        <v>182</v>
      </c>
      <c r="BV74" s="62" t="n">
        <v>0.5724</v>
      </c>
      <c r="BW74" s="60" t="n">
        <v>653.4</v>
      </c>
      <c r="BX74" s="60" t="n">
        <f aca="false">AA74</f>
        <v>0</v>
      </c>
      <c r="BY74" s="60" t="n">
        <f aca="false">H74</f>
        <v>368.47</v>
      </c>
      <c r="BZ74" s="60" t="n">
        <f aca="false">Z74</f>
        <v>0</v>
      </c>
      <c r="CA74" s="60" t="n">
        <f aca="false">AB74+AC74+AD74</f>
        <v>0</v>
      </c>
      <c r="CB74" s="60" t="n">
        <f aca="false">AE74+AF74+AG74+AH74+AI74</f>
        <v>0</v>
      </c>
    </row>
    <row r="75" customFormat="false" ht="15" hidden="false" customHeight="false" outlineLevel="0" collapsed="false">
      <c r="A75" s="58" t="n">
        <v>45417</v>
      </c>
      <c r="B75" s="59" t="n">
        <f aca="false">YEAR(A75)</f>
        <v>2024</v>
      </c>
      <c r="C75" s="59" t="n">
        <f aca="false">MONTH(A75)</f>
        <v>5</v>
      </c>
      <c r="D75" s="60" t="n">
        <v>12844</v>
      </c>
      <c r="E75" s="61" t="n">
        <v>6.6978</v>
      </c>
      <c r="F75" s="61" t="n">
        <v>0.8177</v>
      </c>
      <c r="G75" s="61" t="n">
        <v>0.1042</v>
      </c>
      <c r="H75" s="60" t="n">
        <v>296.44</v>
      </c>
      <c r="I75" s="60" t="n">
        <f aca="false">H75+'Level 4'!$C$12/100*I74</f>
        <v>296.44</v>
      </c>
      <c r="J75" s="60" t="n">
        <v>73.25</v>
      </c>
      <c r="K75" s="60" t="n">
        <v>33.43</v>
      </c>
      <c r="L75" s="60" t="n">
        <v>0</v>
      </c>
      <c r="M75" s="60" t="n">
        <f aca="false">L75+Answers!$C$14/100*M74</f>
        <v>230.03602391064</v>
      </c>
      <c r="N75" s="60" t="n">
        <v>55.24</v>
      </c>
      <c r="O75" s="60" t="n">
        <v>22.08</v>
      </c>
      <c r="P75" s="60" t="n">
        <v>61.74</v>
      </c>
      <c r="Q75" s="60" t="n">
        <v>26.49</v>
      </c>
      <c r="R75" s="60" t="n">
        <v>118.05</v>
      </c>
      <c r="S75" s="60" t="n">
        <f aca="false">N75+Answers!$C$16/100*S74</f>
        <v>558.750149199124</v>
      </c>
      <c r="T75" s="60" t="n">
        <f aca="false">O75+Answers!$C$17/100*T74</f>
        <v>91.2991382169992</v>
      </c>
      <c r="U75" s="60" t="n">
        <f aca="false">P75+Answers!$C$18/100*U74</f>
        <v>233.542938507841</v>
      </c>
      <c r="V75" s="60" t="n">
        <f aca="false">Q75+Answers!$C$19/100*V74</f>
        <v>73.6025422942123</v>
      </c>
      <c r="W75" s="60" t="n">
        <f aca="false">R75+Answers!$C$20/100*W74</f>
        <v>796.000132449285</v>
      </c>
      <c r="X75" s="60" t="n">
        <f aca="false">IF('Level 1'!$C$11="",0,'Level 1'!$C$11)*E75</f>
        <v>0</v>
      </c>
      <c r="Y75" s="60" t="n">
        <f aca="false">-IF('Level 2'!$C$11="",0,'Level 2'!$C$11)*F75</f>
        <v>-0</v>
      </c>
      <c r="Z75" s="60" t="n">
        <f aca="false">IF('Level 3'!$C$11="",0,'Level 3'!$C$11)*G75</f>
        <v>0</v>
      </c>
      <c r="AA75" s="60" t="n">
        <f aca="false">IF('Level 4'!$C$11="",0,'Level 4'!$C$11)*(1-'Level 4'!$C$12/100)*I75</f>
        <v>0</v>
      </c>
      <c r="AB75" s="60" t="n">
        <f aca="false">IF('Level 5'!$C$11="",0,'Level 5'!$C$11)*J75</f>
        <v>0</v>
      </c>
      <c r="AC75" s="60" t="n">
        <f aca="false">IF('Level 5'!$C$12="",0,'Level 5'!$C$12)*K75</f>
        <v>0</v>
      </c>
      <c r="AD75" s="60" t="n">
        <f aca="false">IF('Level 5'!$C$13="",0,'Level 5'!$C$13)*(1-Answers!$C$14/100)*M75</f>
        <v>0</v>
      </c>
      <c r="AE75" s="60" t="n">
        <f aca="false">IF('Level 6'!$C$11="",0,'Level 6'!$C$11)*(1-Answers!$C$16/100)*S75</f>
        <v>0</v>
      </c>
      <c r="AF75" s="60" t="n">
        <f aca="false">IF('Level 6'!$C$12="",0,'Level 6'!$C$12)*(1-Answers!$C$17/100)*T75</f>
        <v>0</v>
      </c>
      <c r="AG75" s="60" t="n">
        <f aca="false">IF('Level 6'!$C$13="",0,'Level 6'!$C$13)*(1-Answers!$C$18/100)*U75</f>
        <v>0</v>
      </c>
      <c r="AH75" s="60" t="n">
        <f aca="false">IF('Level 6'!$C$14="",0,'Level 6'!$C$14)*(1-Answers!$C$19/100)*V75</f>
        <v>0</v>
      </c>
      <c r="AI75" s="60" t="n">
        <f aca="false">IF('Level 6'!$C$15="",0,'Level 6'!$C$15)*(1-Answers!$C$20/100)*W75</f>
        <v>0</v>
      </c>
      <c r="AJ75" s="60" t="n">
        <f aca="false">X75</f>
        <v>0</v>
      </c>
      <c r="AK75" s="60" t="n">
        <f aca="false">X75+Y75</f>
        <v>0</v>
      </c>
      <c r="AL75" s="60" t="n">
        <f aca="false">AK75+Z75</f>
        <v>0</v>
      </c>
      <c r="AM75" s="60" t="n">
        <f aca="false">AL75+AA75</f>
        <v>0</v>
      </c>
      <c r="AN75" s="60" t="n">
        <f aca="false">AM75+AB75+AC75+AD75</f>
        <v>0</v>
      </c>
      <c r="AO75" s="60" t="n">
        <f aca="false">AL75+AE75+AF75+AG75+AH75+AI75+AB75+AC75+AD75</f>
        <v>0</v>
      </c>
      <c r="AP75" s="60" t="n">
        <f aca="false">IF(Answers!$C$22="Yes",AO75,AN75)</f>
        <v>0</v>
      </c>
      <c r="AQ75" s="60" t="n">
        <v>5864.7</v>
      </c>
      <c r="AR75" s="60" t="n">
        <v>-778.8</v>
      </c>
      <c r="AS75" s="60" t="n">
        <v>791.3</v>
      </c>
      <c r="AT75" s="60" t="n">
        <v>5432</v>
      </c>
      <c r="AU75" s="60" t="n">
        <v>254.9</v>
      </c>
      <c r="AV75" s="60" t="n">
        <v>122.3</v>
      </c>
      <c r="AW75" s="60" t="n">
        <v>531</v>
      </c>
      <c r="AX75" s="60" t="n">
        <v>1904</v>
      </c>
      <c r="AY75" s="60" t="n">
        <v>322.4</v>
      </c>
      <c r="AZ75" s="60" t="n">
        <v>758.2</v>
      </c>
      <c r="BA75" s="60" t="n">
        <v>66.8</v>
      </c>
      <c r="BB75" s="60" t="n">
        <v>2380.7</v>
      </c>
      <c r="BC75" s="60" t="n">
        <f aca="false">AQ75+AR75+AS75+AT75+AU75+AV75+AW75</f>
        <v>12217.4</v>
      </c>
      <c r="BD75" s="60" t="n">
        <f aca="false">AQ75</f>
        <v>5864.7</v>
      </c>
      <c r="BE75" s="60" t="n">
        <f aca="false">AQ75+AR75</f>
        <v>5085.9</v>
      </c>
      <c r="BF75" s="60" t="n">
        <f aca="false">BE75+AS75</f>
        <v>5877.2</v>
      </c>
      <c r="BG75" s="60" t="n">
        <f aca="false">BF75+AT75</f>
        <v>11309.2</v>
      </c>
      <c r="BH75" s="60" t="n">
        <f aca="false">BG75+AU75+AV75+AW75</f>
        <v>12217.4</v>
      </c>
      <c r="BI75" s="60" t="n">
        <f aca="false">BC75</f>
        <v>12217.4</v>
      </c>
      <c r="BJ75" s="60" t="n">
        <f aca="false">IF('Level 1'!$C$31="Yes",BD75,AJ75)</f>
        <v>0</v>
      </c>
      <c r="BK75" s="60" t="n">
        <f aca="false">IF('Level 2'!$C$31="Yes",BE75,AK75)</f>
        <v>0</v>
      </c>
      <c r="BL75" s="60" t="n">
        <f aca="false">IF('Level 3'!$C$31="Yes",BF75,AL75)</f>
        <v>0</v>
      </c>
      <c r="BM75" s="60" t="n">
        <f aca="false">IF('Level 4'!$C$31="Yes",BG75,AM75)</f>
        <v>0</v>
      </c>
      <c r="BN75" s="60" t="n">
        <f aca="false">IF('Level 5'!$C$31="Yes",BH75,AN75)</f>
        <v>0</v>
      </c>
      <c r="BO75" s="60" t="n">
        <f aca="false">IF('Level 6'!$C$31="Yes",BI75,AO75)</f>
        <v>0</v>
      </c>
      <c r="BP75" s="60" t="n">
        <f aca="false">IF('Level 7'!$C$31="Yes",BC75,AP75)</f>
        <v>0</v>
      </c>
      <c r="BQ75" s="60" t="n">
        <f aca="false">D75-AP75</f>
        <v>12844</v>
      </c>
      <c r="BR75" s="60" t="n">
        <f aca="false">BQ75^2</f>
        <v>164968336</v>
      </c>
      <c r="BS75" s="60" t="n">
        <f aca="false">(BQ75-BQ74)^2</f>
        <v>61011721</v>
      </c>
      <c r="BT75" s="60" t="n">
        <f aca="false">IF(D75&gt;2000,ABS(BQ75)/D75,"")</f>
        <v>1</v>
      </c>
      <c r="BU75" s="60" t="n">
        <v>153</v>
      </c>
      <c r="BV75" s="62" t="n">
        <v>0.5863</v>
      </c>
      <c r="BW75" s="60" t="n">
        <v>481.9</v>
      </c>
      <c r="BX75" s="60" t="n">
        <f aca="false">AA75</f>
        <v>0</v>
      </c>
      <c r="BY75" s="60" t="n">
        <f aca="false">H75</f>
        <v>296.44</v>
      </c>
      <c r="BZ75" s="60" t="n">
        <f aca="false">Z75</f>
        <v>0</v>
      </c>
      <c r="CA75" s="60" t="n">
        <f aca="false">AB75+AC75+AD75</f>
        <v>0</v>
      </c>
      <c r="CB75" s="60" t="n">
        <f aca="false">AE75+AF75+AG75+AH75+AI75</f>
        <v>0</v>
      </c>
    </row>
    <row r="76" customFormat="false" ht="15" hidden="false" customHeight="false" outlineLevel="0" collapsed="false">
      <c r="A76" s="58" t="n">
        <v>45424</v>
      </c>
      <c r="B76" s="59" t="n">
        <f aca="false">YEAR(A76)</f>
        <v>2024</v>
      </c>
      <c r="C76" s="59" t="n">
        <f aca="false">MONTH(A76)</f>
        <v>5</v>
      </c>
      <c r="D76" s="60" t="n">
        <v>7516</v>
      </c>
      <c r="E76" s="61" t="n">
        <v>1.4665</v>
      </c>
      <c r="F76" s="61" t="n">
        <v>1.0477</v>
      </c>
      <c r="G76" s="61" t="n">
        <v>0</v>
      </c>
      <c r="H76" s="60" t="n">
        <v>223.93</v>
      </c>
      <c r="I76" s="60" t="n">
        <f aca="false">H76+'Level 4'!$C$12/100*I75</f>
        <v>223.93</v>
      </c>
      <c r="J76" s="60" t="n">
        <v>86.11</v>
      </c>
      <c r="K76" s="60" t="n">
        <v>26.36</v>
      </c>
      <c r="L76" s="60" t="n">
        <v>0</v>
      </c>
      <c r="M76" s="60" t="n">
        <f aca="false">L76+Answers!$C$14/100*M75</f>
        <v>138.021614346384</v>
      </c>
      <c r="N76" s="60" t="n">
        <v>0</v>
      </c>
      <c r="O76" s="60" t="n">
        <v>19.12</v>
      </c>
      <c r="P76" s="60" t="n">
        <v>39.09</v>
      </c>
      <c r="Q76" s="60" t="n">
        <v>63.23</v>
      </c>
      <c r="R76" s="60" t="n">
        <v>94.96</v>
      </c>
      <c r="S76" s="60" t="n">
        <f aca="false">N76+Answers!$C$16/100*S75</f>
        <v>447.000119359299</v>
      </c>
      <c r="T76" s="60" t="n">
        <f aca="false">O76+Answers!$C$17/100*T75</f>
        <v>92.1593105735994</v>
      </c>
      <c r="U76" s="60" t="n">
        <f aca="false">P76+Answers!$C$18/100*U75</f>
        <v>225.924350806273</v>
      </c>
      <c r="V76" s="60" t="n">
        <f aca="false">Q76+Answers!$C$19/100*V75</f>
        <v>122.11203383537</v>
      </c>
      <c r="W76" s="60" t="n">
        <f aca="false">R76+Answers!$C$20/100*W75</f>
        <v>731.760105959428</v>
      </c>
      <c r="X76" s="60" t="n">
        <f aca="false">IF('Level 1'!$C$11="",0,'Level 1'!$C$11)*E76</f>
        <v>0</v>
      </c>
      <c r="Y76" s="60" t="n">
        <f aca="false">-IF('Level 2'!$C$11="",0,'Level 2'!$C$11)*F76</f>
        <v>-0</v>
      </c>
      <c r="Z76" s="60" t="n">
        <f aca="false">IF('Level 3'!$C$11="",0,'Level 3'!$C$11)*G76</f>
        <v>0</v>
      </c>
      <c r="AA76" s="60" t="n">
        <f aca="false">IF('Level 4'!$C$11="",0,'Level 4'!$C$11)*(1-'Level 4'!$C$12/100)*I76</f>
        <v>0</v>
      </c>
      <c r="AB76" s="60" t="n">
        <f aca="false">IF('Level 5'!$C$11="",0,'Level 5'!$C$11)*J76</f>
        <v>0</v>
      </c>
      <c r="AC76" s="60" t="n">
        <f aca="false">IF('Level 5'!$C$12="",0,'Level 5'!$C$12)*K76</f>
        <v>0</v>
      </c>
      <c r="AD76" s="60" t="n">
        <f aca="false">IF('Level 5'!$C$13="",0,'Level 5'!$C$13)*(1-Answers!$C$14/100)*M76</f>
        <v>0</v>
      </c>
      <c r="AE76" s="60" t="n">
        <f aca="false">IF('Level 6'!$C$11="",0,'Level 6'!$C$11)*(1-Answers!$C$16/100)*S76</f>
        <v>0</v>
      </c>
      <c r="AF76" s="60" t="n">
        <f aca="false">IF('Level 6'!$C$12="",0,'Level 6'!$C$12)*(1-Answers!$C$17/100)*T76</f>
        <v>0</v>
      </c>
      <c r="AG76" s="60" t="n">
        <f aca="false">IF('Level 6'!$C$13="",0,'Level 6'!$C$13)*(1-Answers!$C$18/100)*U76</f>
        <v>0</v>
      </c>
      <c r="AH76" s="60" t="n">
        <f aca="false">IF('Level 6'!$C$14="",0,'Level 6'!$C$14)*(1-Answers!$C$19/100)*V76</f>
        <v>0</v>
      </c>
      <c r="AI76" s="60" t="n">
        <f aca="false">IF('Level 6'!$C$15="",0,'Level 6'!$C$15)*(1-Answers!$C$20/100)*W76</f>
        <v>0</v>
      </c>
      <c r="AJ76" s="60" t="n">
        <f aca="false">X76</f>
        <v>0</v>
      </c>
      <c r="AK76" s="60" t="n">
        <f aca="false">X76+Y76</f>
        <v>0</v>
      </c>
      <c r="AL76" s="60" t="n">
        <f aca="false">AK76+Z76</f>
        <v>0</v>
      </c>
      <c r="AM76" s="60" t="n">
        <f aca="false">AL76+AA76</f>
        <v>0</v>
      </c>
      <c r="AN76" s="60" t="n">
        <f aca="false">AM76+AB76+AC76+AD76</f>
        <v>0</v>
      </c>
      <c r="AO76" s="60" t="n">
        <f aca="false">AL76+AE76+AF76+AG76+AH76+AI76+AB76+AC76+AD76</f>
        <v>0</v>
      </c>
      <c r="AP76" s="60" t="n">
        <f aca="false">IF(Answers!$C$22="Yes",AO76,AN76)</f>
        <v>0</v>
      </c>
      <c r="AQ76" s="60" t="n">
        <v>1284.1</v>
      </c>
      <c r="AR76" s="60" t="n">
        <v>-997.9</v>
      </c>
      <c r="AS76" s="60" t="n">
        <v>0</v>
      </c>
      <c r="AT76" s="60" t="n">
        <v>5051.3</v>
      </c>
      <c r="AU76" s="60" t="n">
        <v>301.8</v>
      </c>
      <c r="AV76" s="60" t="n">
        <v>96.4</v>
      </c>
      <c r="AW76" s="60" t="n">
        <v>345.2</v>
      </c>
      <c r="AX76" s="60" t="n">
        <v>1618.4</v>
      </c>
      <c r="AY76" s="60" t="n">
        <v>323.9</v>
      </c>
      <c r="AZ76" s="60" t="n">
        <v>746.6</v>
      </c>
      <c r="BA76" s="60" t="n">
        <v>109.2</v>
      </c>
      <c r="BB76" s="60" t="n">
        <v>2253.4</v>
      </c>
      <c r="BC76" s="60" t="n">
        <f aca="false">AQ76+AR76+AS76+AT76+AU76+AV76+AW76</f>
        <v>6080.9</v>
      </c>
      <c r="BD76" s="60" t="n">
        <f aca="false">AQ76</f>
        <v>1284.1</v>
      </c>
      <c r="BE76" s="60" t="n">
        <f aca="false">AQ76+AR76</f>
        <v>286.2</v>
      </c>
      <c r="BF76" s="60" t="n">
        <f aca="false">BE76+AS76</f>
        <v>286.2</v>
      </c>
      <c r="BG76" s="60" t="n">
        <f aca="false">BF76+AT76</f>
        <v>5337.5</v>
      </c>
      <c r="BH76" s="60" t="n">
        <f aca="false">BG76+AU76+AV76+AW76</f>
        <v>6080.9</v>
      </c>
      <c r="BI76" s="60" t="n">
        <f aca="false">BC76</f>
        <v>6080.9</v>
      </c>
      <c r="BJ76" s="60" t="n">
        <f aca="false">IF('Level 1'!$C$31="Yes",BD76,AJ76)</f>
        <v>0</v>
      </c>
      <c r="BK76" s="60" t="n">
        <f aca="false">IF('Level 2'!$C$31="Yes",BE76,AK76)</f>
        <v>0</v>
      </c>
      <c r="BL76" s="60" t="n">
        <f aca="false">IF('Level 3'!$C$31="Yes",BF76,AL76)</f>
        <v>0</v>
      </c>
      <c r="BM76" s="60" t="n">
        <f aca="false">IF('Level 4'!$C$31="Yes",BG76,AM76)</f>
        <v>0</v>
      </c>
      <c r="BN76" s="60" t="n">
        <f aca="false">IF('Level 5'!$C$31="Yes",BH76,AN76)</f>
        <v>0</v>
      </c>
      <c r="BO76" s="60" t="n">
        <f aca="false">IF('Level 6'!$C$31="Yes",BI76,AO76)</f>
        <v>0</v>
      </c>
      <c r="BP76" s="60" t="n">
        <f aca="false">IF('Level 7'!$C$31="Yes",BC76,AP76)</f>
        <v>0</v>
      </c>
      <c r="BQ76" s="60" t="n">
        <f aca="false">D76-AP76</f>
        <v>7516</v>
      </c>
      <c r="BR76" s="60" t="n">
        <f aca="false">BQ76^2</f>
        <v>56490256</v>
      </c>
      <c r="BS76" s="60" t="n">
        <f aca="false">(BQ76-BQ75)^2</f>
        <v>28387584</v>
      </c>
      <c r="BT76" s="60" t="n">
        <f aca="false">IF(D76&gt;2000,ABS(BQ76)/D76,"")</f>
        <v>1</v>
      </c>
      <c r="BU76" s="60" t="n">
        <v>119</v>
      </c>
      <c r="BV76" s="62" t="n">
        <v>0.5863</v>
      </c>
      <c r="BW76" s="60" t="n">
        <v>489.2</v>
      </c>
      <c r="BX76" s="60" t="n">
        <f aca="false">AA76</f>
        <v>0</v>
      </c>
      <c r="BY76" s="60" t="n">
        <f aca="false">H76</f>
        <v>223.93</v>
      </c>
      <c r="BZ76" s="60" t="n">
        <f aca="false">Z76</f>
        <v>0</v>
      </c>
      <c r="CA76" s="60" t="n">
        <f aca="false">AB76+AC76+AD76</f>
        <v>0</v>
      </c>
      <c r="CB76" s="60" t="n">
        <f aca="false">AE76+AF76+AG76+AH76+AI76</f>
        <v>0</v>
      </c>
    </row>
    <row r="77" customFormat="false" ht="15" hidden="false" customHeight="false" outlineLevel="0" collapsed="false">
      <c r="A77" s="58" t="n">
        <v>45431</v>
      </c>
      <c r="B77" s="59" t="n">
        <f aca="false">YEAR(A77)</f>
        <v>2024</v>
      </c>
      <c r="C77" s="59" t="n">
        <f aca="false">MONTH(A77)</f>
        <v>5</v>
      </c>
      <c r="D77" s="60" t="n">
        <v>6687</v>
      </c>
      <c r="E77" s="61" t="n">
        <v>0.915</v>
      </c>
      <c r="F77" s="61" t="n">
        <v>0.9581</v>
      </c>
      <c r="G77" s="61" t="n">
        <v>0</v>
      </c>
      <c r="H77" s="60" t="n">
        <v>260.72</v>
      </c>
      <c r="I77" s="60" t="n">
        <f aca="false">H77+'Level 4'!$C$12/100*I76</f>
        <v>260.72</v>
      </c>
      <c r="J77" s="60" t="n">
        <v>106.03</v>
      </c>
      <c r="K77" s="60" t="n">
        <v>23.4</v>
      </c>
      <c r="L77" s="60" t="n">
        <v>0</v>
      </c>
      <c r="M77" s="60" t="n">
        <f aca="false">L77+Answers!$C$14/100*M76</f>
        <v>82.8129686078305</v>
      </c>
      <c r="N77" s="60" t="n">
        <v>52.21</v>
      </c>
      <c r="O77" s="60" t="n">
        <v>20.61</v>
      </c>
      <c r="P77" s="60" t="n">
        <v>37.21</v>
      </c>
      <c r="Q77" s="60" t="n">
        <v>58.24</v>
      </c>
      <c r="R77" s="60" t="n">
        <v>85.76</v>
      </c>
      <c r="S77" s="60" t="n">
        <f aca="false">N77+Answers!$C$16/100*S76</f>
        <v>409.810095487439</v>
      </c>
      <c r="T77" s="60" t="n">
        <f aca="false">O77+Answers!$C$17/100*T76</f>
        <v>94.3374484588795</v>
      </c>
      <c r="U77" s="60" t="n">
        <f aca="false">P77+Answers!$C$18/100*U76</f>
        <v>217.949480645018</v>
      </c>
      <c r="V77" s="60" t="n">
        <f aca="false">Q77+Answers!$C$19/100*V76</f>
        <v>155.929627068296</v>
      </c>
      <c r="W77" s="60" t="n">
        <f aca="false">R77+Answers!$C$20/100*W76</f>
        <v>671.168084767543</v>
      </c>
      <c r="X77" s="60" t="n">
        <f aca="false">IF('Level 1'!$C$11="",0,'Level 1'!$C$11)*E77</f>
        <v>0</v>
      </c>
      <c r="Y77" s="60" t="n">
        <f aca="false">-IF('Level 2'!$C$11="",0,'Level 2'!$C$11)*F77</f>
        <v>-0</v>
      </c>
      <c r="Z77" s="60" t="n">
        <f aca="false">IF('Level 3'!$C$11="",0,'Level 3'!$C$11)*G77</f>
        <v>0</v>
      </c>
      <c r="AA77" s="60" t="n">
        <f aca="false">IF('Level 4'!$C$11="",0,'Level 4'!$C$11)*(1-'Level 4'!$C$12/100)*I77</f>
        <v>0</v>
      </c>
      <c r="AB77" s="60" t="n">
        <f aca="false">IF('Level 5'!$C$11="",0,'Level 5'!$C$11)*J77</f>
        <v>0</v>
      </c>
      <c r="AC77" s="60" t="n">
        <f aca="false">IF('Level 5'!$C$12="",0,'Level 5'!$C$12)*K77</f>
        <v>0</v>
      </c>
      <c r="AD77" s="60" t="n">
        <f aca="false">IF('Level 5'!$C$13="",0,'Level 5'!$C$13)*(1-Answers!$C$14/100)*M77</f>
        <v>0</v>
      </c>
      <c r="AE77" s="60" t="n">
        <f aca="false">IF('Level 6'!$C$11="",0,'Level 6'!$C$11)*(1-Answers!$C$16/100)*S77</f>
        <v>0</v>
      </c>
      <c r="AF77" s="60" t="n">
        <f aca="false">IF('Level 6'!$C$12="",0,'Level 6'!$C$12)*(1-Answers!$C$17/100)*T77</f>
        <v>0</v>
      </c>
      <c r="AG77" s="60" t="n">
        <f aca="false">IF('Level 6'!$C$13="",0,'Level 6'!$C$13)*(1-Answers!$C$18/100)*U77</f>
        <v>0</v>
      </c>
      <c r="AH77" s="60" t="n">
        <f aca="false">IF('Level 6'!$C$14="",0,'Level 6'!$C$14)*(1-Answers!$C$19/100)*V77</f>
        <v>0</v>
      </c>
      <c r="AI77" s="60" t="n">
        <f aca="false">IF('Level 6'!$C$15="",0,'Level 6'!$C$15)*(1-Answers!$C$20/100)*W77</f>
        <v>0</v>
      </c>
      <c r="AJ77" s="60" t="n">
        <f aca="false">X77</f>
        <v>0</v>
      </c>
      <c r="AK77" s="60" t="n">
        <f aca="false">X77+Y77</f>
        <v>0</v>
      </c>
      <c r="AL77" s="60" t="n">
        <f aca="false">AK77+Z77</f>
        <v>0</v>
      </c>
      <c r="AM77" s="60" t="n">
        <f aca="false">AL77+AA77</f>
        <v>0</v>
      </c>
      <c r="AN77" s="60" t="n">
        <f aca="false">AM77+AB77+AC77+AD77</f>
        <v>0</v>
      </c>
      <c r="AO77" s="60" t="n">
        <f aca="false">AL77+AE77+AF77+AG77+AH77+AI77+AB77+AC77+AD77</f>
        <v>0</v>
      </c>
      <c r="AP77" s="60" t="n">
        <f aca="false">IF(Answers!$C$22="Yes",AO77,AN77)</f>
        <v>0</v>
      </c>
      <c r="AQ77" s="60" t="n">
        <v>801.2</v>
      </c>
      <c r="AR77" s="60" t="n">
        <v>-912.5</v>
      </c>
      <c r="AS77" s="60" t="n">
        <v>0</v>
      </c>
      <c r="AT77" s="60" t="n">
        <v>4843.6</v>
      </c>
      <c r="AU77" s="60" t="n">
        <v>380</v>
      </c>
      <c r="AV77" s="60" t="n">
        <v>85.6</v>
      </c>
      <c r="AW77" s="60" t="n">
        <v>224.4</v>
      </c>
      <c r="AX77" s="60" t="n">
        <v>1511.5</v>
      </c>
      <c r="AY77" s="60" t="n">
        <v>329</v>
      </c>
      <c r="AZ77" s="60" t="n">
        <v>731.8</v>
      </c>
      <c r="BA77" s="60" t="n">
        <v>141</v>
      </c>
      <c r="BB77" s="60" t="n">
        <v>2130.3</v>
      </c>
      <c r="BC77" s="60" t="n">
        <f aca="false">AQ77+AR77+AS77+AT77+AU77+AV77+AW77</f>
        <v>5422.3</v>
      </c>
      <c r="BD77" s="60" t="n">
        <f aca="false">AQ77</f>
        <v>801.2</v>
      </c>
      <c r="BE77" s="60" t="n">
        <f aca="false">AQ77+AR77</f>
        <v>-111.3</v>
      </c>
      <c r="BF77" s="60" t="n">
        <f aca="false">BE77+AS77</f>
        <v>-111.3</v>
      </c>
      <c r="BG77" s="60" t="n">
        <f aca="false">BF77+AT77</f>
        <v>4732.3</v>
      </c>
      <c r="BH77" s="60" t="n">
        <f aca="false">BG77+AU77+AV77+AW77</f>
        <v>5422.3</v>
      </c>
      <c r="BI77" s="60" t="n">
        <f aca="false">BC77</f>
        <v>5422.3</v>
      </c>
      <c r="BJ77" s="60" t="n">
        <f aca="false">IF('Level 1'!$C$31="Yes",BD77,AJ77)</f>
        <v>0</v>
      </c>
      <c r="BK77" s="60" t="n">
        <f aca="false">IF('Level 2'!$C$31="Yes",BE77,AK77)</f>
        <v>0</v>
      </c>
      <c r="BL77" s="60" t="n">
        <f aca="false">IF('Level 3'!$C$31="Yes",BF77,AL77)</f>
        <v>0</v>
      </c>
      <c r="BM77" s="60" t="n">
        <f aca="false">IF('Level 4'!$C$31="Yes",BG77,AM77)</f>
        <v>0</v>
      </c>
      <c r="BN77" s="60" t="n">
        <f aca="false">IF('Level 5'!$C$31="Yes",BH77,AN77)</f>
        <v>0</v>
      </c>
      <c r="BO77" s="60" t="n">
        <f aca="false">IF('Level 6'!$C$31="Yes",BI77,AO77)</f>
        <v>0</v>
      </c>
      <c r="BP77" s="60" t="n">
        <f aca="false">IF('Level 7'!$C$31="Yes",BC77,AP77)</f>
        <v>0</v>
      </c>
      <c r="BQ77" s="60" t="n">
        <f aca="false">D77-AP77</f>
        <v>6687</v>
      </c>
      <c r="BR77" s="60" t="n">
        <f aca="false">BQ77^2</f>
        <v>44715969</v>
      </c>
      <c r="BS77" s="60" t="n">
        <f aca="false">(BQ77-BQ76)^2</f>
        <v>687241</v>
      </c>
      <c r="BT77" s="60" t="n">
        <f aca="false">IF(D77&gt;2000,ABS(BQ77)/D77,"")</f>
        <v>1</v>
      </c>
      <c r="BU77" s="60" t="n">
        <v>95</v>
      </c>
      <c r="BV77" s="62" t="n">
        <v>0.5863</v>
      </c>
      <c r="BW77" s="60" t="n">
        <v>570.4</v>
      </c>
      <c r="BX77" s="60" t="n">
        <f aca="false">AA77</f>
        <v>0</v>
      </c>
      <c r="BY77" s="60" t="n">
        <f aca="false">H77</f>
        <v>260.72</v>
      </c>
      <c r="BZ77" s="60" t="n">
        <f aca="false">Z77</f>
        <v>0</v>
      </c>
      <c r="CA77" s="60" t="n">
        <f aca="false">AB77+AC77+AD77</f>
        <v>0</v>
      </c>
      <c r="CB77" s="60" t="n">
        <f aca="false">AE77+AF77+AG77+AH77+AI77</f>
        <v>0</v>
      </c>
    </row>
    <row r="78" customFormat="false" ht="15" hidden="false" customHeight="false" outlineLevel="0" collapsed="false">
      <c r="A78" s="58" t="n">
        <v>45438</v>
      </c>
      <c r="B78" s="59" t="n">
        <f aca="false">YEAR(A78)</f>
        <v>2024</v>
      </c>
      <c r="C78" s="59" t="n">
        <f aca="false">MONTH(A78)</f>
        <v>5</v>
      </c>
      <c r="D78" s="60" t="n">
        <v>7477</v>
      </c>
      <c r="E78" s="61" t="n">
        <v>0.9682</v>
      </c>
      <c r="F78" s="61" t="n">
        <v>0.8851</v>
      </c>
      <c r="G78" s="61" t="n">
        <v>0</v>
      </c>
      <c r="H78" s="60" t="n">
        <v>158.64</v>
      </c>
      <c r="I78" s="60" t="n">
        <f aca="false">H78+'Level 4'!$C$12/100*I77</f>
        <v>158.64</v>
      </c>
      <c r="J78" s="60" t="n">
        <v>82.6</v>
      </c>
      <c r="K78" s="60" t="n">
        <v>21.94</v>
      </c>
      <c r="L78" s="60" t="n">
        <v>0</v>
      </c>
      <c r="M78" s="60" t="n">
        <f aca="false">L78+Answers!$C$14/100*M77</f>
        <v>49.6877811646983</v>
      </c>
      <c r="N78" s="60" t="n">
        <v>0</v>
      </c>
      <c r="O78" s="60" t="n">
        <v>17.81</v>
      </c>
      <c r="P78" s="60" t="n">
        <v>38.81</v>
      </c>
      <c r="Q78" s="60" t="n">
        <v>17</v>
      </c>
      <c r="R78" s="60" t="n">
        <v>77.54</v>
      </c>
      <c r="S78" s="60" t="n">
        <f aca="false">N78+Answers!$C$16/100*S77</f>
        <v>327.848076389952</v>
      </c>
      <c r="T78" s="60" t="n">
        <f aca="false">O78+Answers!$C$17/100*T77</f>
        <v>93.2799587671036</v>
      </c>
      <c r="U78" s="60" t="n">
        <f aca="false">P78+Answers!$C$18/100*U77</f>
        <v>213.169584516015</v>
      </c>
      <c r="V78" s="60" t="n">
        <f aca="false">Q78+Answers!$C$19/100*V77</f>
        <v>141.743701654637</v>
      </c>
      <c r="W78" s="60" t="n">
        <f aca="false">R78+Answers!$C$20/100*W77</f>
        <v>614.474467814034</v>
      </c>
      <c r="X78" s="60" t="n">
        <f aca="false">IF('Level 1'!$C$11="",0,'Level 1'!$C$11)*E78</f>
        <v>0</v>
      </c>
      <c r="Y78" s="60" t="n">
        <f aca="false">-IF('Level 2'!$C$11="",0,'Level 2'!$C$11)*F78</f>
        <v>-0</v>
      </c>
      <c r="Z78" s="60" t="n">
        <f aca="false">IF('Level 3'!$C$11="",0,'Level 3'!$C$11)*G78</f>
        <v>0</v>
      </c>
      <c r="AA78" s="60" t="n">
        <f aca="false">IF('Level 4'!$C$11="",0,'Level 4'!$C$11)*(1-'Level 4'!$C$12/100)*I78</f>
        <v>0</v>
      </c>
      <c r="AB78" s="60" t="n">
        <f aca="false">IF('Level 5'!$C$11="",0,'Level 5'!$C$11)*J78</f>
        <v>0</v>
      </c>
      <c r="AC78" s="60" t="n">
        <f aca="false">IF('Level 5'!$C$12="",0,'Level 5'!$C$12)*K78</f>
        <v>0</v>
      </c>
      <c r="AD78" s="60" t="n">
        <f aca="false">IF('Level 5'!$C$13="",0,'Level 5'!$C$13)*(1-Answers!$C$14/100)*M78</f>
        <v>0</v>
      </c>
      <c r="AE78" s="60" t="n">
        <f aca="false">IF('Level 6'!$C$11="",0,'Level 6'!$C$11)*(1-Answers!$C$16/100)*S78</f>
        <v>0</v>
      </c>
      <c r="AF78" s="60" t="n">
        <f aca="false">IF('Level 6'!$C$12="",0,'Level 6'!$C$12)*(1-Answers!$C$17/100)*T78</f>
        <v>0</v>
      </c>
      <c r="AG78" s="60" t="n">
        <f aca="false">IF('Level 6'!$C$13="",0,'Level 6'!$C$13)*(1-Answers!$C$18/100)*U78</f>
        <v>0</v>
      </c>
      <c r="AH78" s="60" t="n">
        <f aca="false">IF('Level 6'!$C$14="",0,'Level 6'!$C$14)*(1-Answers!$C$19/100)*V78</f>
        <v>0</v>
      </c>
      <c r="AI78" s="60" t="n">
        <f aca="false">IF('Level 6'!$C$15="",0,'Level 6'!$C$15)*(1-Answers!$C$20/100)*W78</f>
        <v>0</v>
      </c>
      <c r="AJ78" s="60" t="n">
        <f aca="false">X78</f>
        <v>0</v>
      </c>
      <c r="AK78" s="60" t="n">
        <f aca="false">X78+Y78</f>
        <v>0</v>
      </c>
      <c r="AL78" s="60" t="n">
        <f aca="false">AK78+Z78</f>
        <v>0</v>
      </c>
      <c r="AM78" s="60" t="n">
        <f aca="false">AL78+AA78</f>
        <v>0</v>
      </c>
      <c r="AN78" s="60" t="n">
        <f aca="false">AM78+AB78+AC78+AD78</f>
        <v>0</v>
      </c>
      <c r="AO78" s="60" t="n">
        <f aca="false">AL78+AE78+AF78+AG78+AH78+AI78+AB78+AC78+AD78</f>
        <v>0</v>
      </c>
      <c r="AP78" s="60" t="n">
        <f aca="false">IF(Answers!$C$22="Yes",AO78,AN78)</f>
        <v>0</v>
      </c>
      <c r="AQ78" s="60" t="n">
        <v>847.8</v>
      </c>
      <c r="AR78" s="60" t="n">
        <v>-843</v>
      </c>
      <c r="AS78" s="60" t="n">
        <v>0</v>
      </c>
      <c r="AT78" s="60" t="n">
        <v>4472.6</v>
      </c>
      <c r="AU78" s="60" t="n">
        <v>288.7</v>
      </c>
      <c r="AV78" s="60" t="n">
        <v>80.3</v>
      </c>
      <c r="AW78" s="60" t="n">
        <v>145.8</v>
      </c>
      <c r="AX78" s="60" t="n">
        <v>1284.7</v>
      </c>
      <c r="AY78" s="60" t="n">
        <v>326.1</v>
      </c>
      <c r="AZ78" s="60" t="n">
        <v>723.5</v>
      </c>
      <c r="BA78" s="60" t="n">
        <v>134</v>
      </c>
      <c r="BB78" s="60" t="n">
        <v>2004.4</v>
      </c>
      <c r="BC78" s="60" t="n">
        <f aca="false">AQ78+AR78+AS78+AT78+AU78+AV78+AW78</f>
        <v>4992.2</v>
      </c>
      <c r="BD78" s="60" t="n">
        <f aca="false">AQ78</f>
        <v>847.8</v>
      </c>
      <c r="BE78" s="60" t="n">
        <f aca="false">AQ78+AR78</f>
        <v>4.79999999999995</v>
      </c>
      <c r="BF78" s="60" t="n">
        <f aca="false">BE78+AS78</f>
        <v>4.79999999999995</v>
      </c>
      <c r="BG78" s="60" t="n">
        <f aca="false">BF78+AT78</f>
        <v>4477.4</v>
      </c>
      <c r="BH78" s="60" t="n">
        <f aca="false">BG78+AU78+AV78+AW78</f>
        <v>4992.2</v>
      </c>
      <c r="BI78" s="60" t="n">
        <f aca="false">BC78</f>
        <v>4992.2</v>
      </c>
      <c r="BJ78" s="60" t="n">
        <f aca="false">IF('Level 1'!$C$31="Yes",BD78,AJ78)</f>
        <v>0</v>
      </c>
      <c r="BK78" s="60" t="n">
        <f aca="false">IF('Level 2'!$C$31="Yes",BE78,AK78)</f>
        <v>0</v>
      </c>
      <c r="BL78" s="60" t="n">
        <f aca="false">IF('Level 3'!$C$31="Yes",BF78,AL78)</f>
        <v>0</v>
      </c>
      <c r="BM78" s="60" t="n">
        <f aca="false">IF('Level 4'!$C$31="Yes",BG78,AM78)</f>
        <v>0</v>
      </c>
      <c r="BN78" s="60" t="n">
        <f aca="false">IF('Level 5'!$C$31="Yes",BH78,AN78)</f>
        <v>0</v>
      </c>
      <c r="BO78" s="60" t="n">
        <f aca="false">IF('Level 6'!$C$31="Yes",BI78,AO78)</f>
        <v>0</v>
      </c>
      <c r="BP78" s="60" t="n">
        <f aca="false">IF('Level 7'!$C$31="Yes",BC78,AP78)</f>
        <v>0</v>
      </c>
      <c r="BQ78" s="60" t="n">
        <f aca="false">D78-AP78</f>
        <v>7477</v>
      </c>
      <c r="BR78" s="60" t="n">
        <f aca="false">BQ78^2</f>
        <v>55905529</v>
      </c>
      <c r="BS78" s="60" t="n">
        <f aca="false">(BQ78-BQ77)^2</f>
        <v>624100</v>
      </c>
      <c r="BT78" s="60" t="n">
        <f aca="false">IF(D78&gt;2000,ABS(BQ78)/D78,"")</f>
        <v>1</v>
      </c>
      <c r="BU78" s="60" t="n">
        <v>134</v>
      </c>
      <c r="BV78" s="62" t="n">
        <v>0.5791</v>
      </c>
      <c r="BW78" s="60" t="n">
        <v>476.6</v>
      </c>
      <c r="BX78" s="60" t="n">
        <f aca="false">AA78</f>
        <v>0</v>
      </c>
      <c r="BY78" s="60" t="n">
        <f aca="false">H78</f>
        <v>158.64</v>
      </c>
      <c r="BZ78" s="60" t="n">
        <f aca="false">Z78</f>
        <v>0</v>
      </c>
      <c r="CA78" s="60" t="n">
        <f aca="false">AB78+AC78+AD78</f>
        <v>0</v>
      </c>
      <c r="CB78" s="60" t="n">
        <f aca="false">AE78+AF78+AG78+AH78+AI78</f>
        <v>0</v>
      </c>
    </row>
    <row r="79" customFormat="false" ht="15" hidden="false" customHeight="false" outlineLevel="0" collapsed="false">
      <c r="A79" s="58" t="n">
        <v>45445</v>
      </c>
      <c r="B79" s="59" t="n">
        <f aca="false">YEAR(A79)</f>
        <v>2024</v>
      </c>
      <c r="C79" s="59" t="n">
        <f aca="false">MONTH(A79)</f>
        <v>6</v>
      </c>
      <c r="D79" s="60" t="n">
        <v>6805</v>
      </c>
      <c r="E79" s="61" t="n">
        <v>1.3727</v>
      </c>
      <c r="F79" s="61" t="n">
        <v>0.8837</v>
      </c>
      <c r="G79" s="61" t="n">
        <v>0</v>
      </c>
      <c r="H79" s="60" t="n">
        <v>216.61</v>
      </c>
      <c r="I79" s="60" t="n">
        <f aca="false">H79+'Level 4'!$C$12/100*I78</f>
        <v>216.61</v>
      </c>
      <c r="J79" s="60" t="n">
        <v>88.81</v>
      </c>
      <c r="K79" s="60" t="n">
        <v>45.44</v>
      </c>
      <c r="L79" s="60" t="n">
        <v>0</v>
      </c>
      <c r="M79" s="60" t="n">
        <f aca="false">L79+Answers!$C$14/100*M78</f>
        <v>29.812668698819</v>
      </c>
      <c r="N79" s="60" t="n">
        <v>59.75</v>
      </c>
      <c r="O79" s="60" t="n">
        <v>19.22</v>
      </c>
      <c r="P79" s="60" t="n">
        <v>27.68</v>
      </c>
      <c r="Q79" s="60" t="n">
        <v>17</v>
      </c>
      <c r="R79" s="60" t="n">
        <v>86.14</v>
      </c>
      <c r="S79" s="60" t="n">
        <f aca="false">N79+Answers!$C$16/100*S78</f>
        <v>322.028461111961</v>
      </c>
      <c r="T79" s="60" t="n">
        <f aca="false">O79+Answers!$C$17/100*T78</f>
        <v>93.8439670136829</v>
      </c>
      <c r="U79" s="60" t="n">
        <f aca="false">P79+Answers!$C$18/100*U78</f>
        <v>198.215667612812</v>
      </c>
      <c r="V79" s="60" t="n">
        <f aca="false">Q79+Answers!$C$19/100*V78</f>
        <v>130.394961323709</v>
      </c>
      <c r="W79" s="60" t="n">
        <f aca="false">R79+Answers!$C$20/100*W78</f>
        <v>577.719574251227</v>
      </c>
      <c r="X79" s="60" t="n">
        <f aca="false">IF('Level 1'!$C$11="",0,'Level 1'!$C$11)*E79</f>
        <v>0</v>
      </c>
      <c r="Y79" s="60" t="n">
        <f aca="false">-IF('Level 2'!$C$11="",0,'Level 2'!$C$11)*F79</f>
        <v>-0</v>
      </c>
      <c r="Z79" s="60" t="n">
        <f aca="false">IF('Level 3'!$C$11="",0,'Level 3'!$C$11)*G79</f>
        <v>0</v>
      </c>
      <c r="AA79" s="60" t="n">
        <f aca="false">IF('Level 4'!$C$11="",0,'Level 4'!$C$11)*(1-'Level 4'!$C$12/100)*I79</f>
        <v>0</v>
      </c>
      <c r="AB79" s="60" t="n">
        <f aca="false">IF('Level 5'!$C$11="",0,'Level 5'!$C$11)*J79</f>
        <v>0</v>
      </c>
      <c r="AC79" s="60" t="n">
        <f aca="false">IF('Level 5'!$C$12="",0,'Level 5'!$C$12)*K79</f>
        <v>0</v>
      </c>
      <c r="AD79" s="60" t="n">
        <f aca="false">IF('Level 5'!$C$13="",0,'Level 5'!$C$13)*(1-Answers!$C$14/100)*M79</f>
        <v>0</v>
      </c>
      <c r="AE79" s="60" t="n">
        <f aca="false">IF('Level 6'!$C$11="",0,'Level 6'!$C$11)*(1-Answers!$C$16/100)*S79</f>
        <v>0</v>
      </c>
      <c r="AF79" s="60" t="n">
        <f aca="false">IF('Level 6'!$C$12="",0,'Level 6'!$C$12)*(1-Answers!$C$17/100)*T79</f>
        <v>0</v>
      </c>
      <c r="AG79" s="60" t="n">
        <f aca="false">IF('Level 6'!$C$13="",0,'Level 6'!$C$13)*(1-Answers!$C$18/100)*U79</f>
        <v>0</v>
      </c>
      <c r="AH79" s="60" t="n">
        <f aca="false">IF('Level 6'!$C$14="",0,'Level 6'!$C$14)*(1-Answers!$C$19/100)*V79</f>
        <v>0</v>
      </c>
      <c r="AI79" s="60" t="n">
        <f aca="false">IF('Level 6'!$C$15="",0,'Level 6'!$C$15)*(1-Answers!$C$20/100)*W79</f>
        <v>0</v>
      </c>
      <c r="AJ79" s="60" t="n">
        <f aca="false">X79</f>
        <v>0</v>
      </c>
      <c r="AK79" s="60" t="n">
        <f aca="false">X79+Y79</f>
        <v>0</v>
      </c>
      <c r="AL79" s="60" t="n">
        <f aca="false">AK79+Z79</f>
        <v>0</v>
      </c>
      <c r="AM79" s="60" t="n">
        <f aca="false">AL79+AA79</f>
        <v>0</v>
      </c>
      <c r="AN79" s="60" t="n">
        <f aca="false">AM79+AB79+AC79+AD79</f>
        <v>0</v>
      </c>
      <c r="AO79" s="60" t="n">
        <f aca="false">AL79+AE79+AF79+AG79+AH79+AI79+AB79+AC79+AD79</f>
        <v>0</v>
      </c>
      <c r="AP79" s="60" t="n">
        <f aca="false">IF(Answers!$C$22="Yes",AO79,AN79)</f>
        <v>0</v>
      </c>
      <c r="AQ79" s="60" t="n">
        <v>1201.9</v>
      </c>
      <c r="AR79" s="60" t="n">
        <v>-841.7</v>
      </c>
      <c r="AS79" s="60" t="n">
        <v>0</v>
      </c>
      <c r="AT79" s="60" t="n">
        <v>4302.6</v>
      </c>
      <c r="AU79" s="60" t="n">
        <v>308.4</v>
      </c>
      <c r="AV79" s="60" t="n">
        <v>166.2</v>
      </c>
      <c r="AW79" s="60" t="n">
        <v>94.8</v>
      </c>
      <c r="AX79" s="60" t="n">
        <v>1247.5</v>
      </c>
      <c r="AY79" s="60" t="n">
        <v>327.3</v>
      </c>
      <c r="AZ79" s="60" t="n">
        <v>687.3</v>
      </c>
      <c r="BA79" s="60" t="n">
        <v>127.9</v>
      </c>
      <c r="BB79" s="60" t="n">
        <v>1912.6</v>
      </c>
      <c r="BC79" s="60" t="n">
        <f aca="false">AQ79+AR79+AS79+AT79+AU79+AV79+AW79</f>
        <v>5232.2</v>
      </c>
      <c r="BD79" s="60" t="n">
        <f aca="false">AQ79</f>
        <v>1201.9</v>
      </c>
      <c r="BE79" s="60" t="n">
        <f aca="false">AQ79+AR79</f>
        <v>360.2</v>
      </c>
      <c r="BF79" s="60" t="n">
        <f aca="false">BE79+AS79</f>
        <v>360.2</v>
      </c>
      <c r="BG79" s="60" t="n">
        <f aca="false">BF79+AT79</f>
        <v>4662.8</v>
      </c>
      <c r="BH79" s="60" t="n">
        <f aca="false">BG79+AU79+AV79+AW79</f>
        <v>5232.2</v>
      </c>
      <c r="BI79" s="60" t="n">
        <f aca="false">BC79</f>
        <v>5232.2</v>
      </c>
      <c r="BJ79" s="60" t="n">
        <f aca="false">IF('Level 1'!$C$31="Yes",BD79,AJ79)</f>
        <v>0</v>
      </c>
      <c r="BK79" s="60" t="n">
        <f aca="false">IF('Level 2'!$C$31="Yes",BE79,AK79)</f>
        <v>0</v>
      </c>
      <c r="BL79" s="60" t="n">
        <f aca="false">IF('Level 3'!$C$31="Yes",BF79,AL79)</f>
        <v>0</v>
      </c>
      <c r="BM79" s="60" t="n">
        <f aca="false">IF('Level 4'!$C$31="Yes",BG79,AM79)</f>
        <v>0</v>
      </c>
      <c r="BN79" s="60" t="n">
        <f aca="false">IF('Level 5'!$C$31="Yes",BH79,AN79)</f>
        <v>0</v>
      </c>
      <c r="BO79" s="60" t="n">
        <f aca="false">IF('Level 6'!$C$31="Yes",BI79,AO79)</f>
        <v>0</v>
      </c>
      <c r="BP79" s="60" t="n">
        <f aca="false">IF('Level 7'!$C$31="Yes",BC79,AP79)</f>
        <v>0</v>
      </c>
      <c r="BQ79" s="60" t="n">
        <f aca="false">D79-AP79</f>
        <v>6805</v>
      </c>
      <c r="BR79" s="60" t="n">
        <f aca="false">BQ79^2</f>
        <v>46308025</v>
      </c>
      <c r="BS79" s="60" t="n">
        <f aca="false">(BQ79-BQ78)^2</f>
        <v>451584</v>
      </c>
      <c r="BT79" s="60" t="n">
        <f aca="false">IF(D79&gt;2000,ABS(BQ79)/D79,"")</f>
        <v>1</v>
      </c>
      <c r="BU79" s="60" t="n">
        <v>145</v>
      </c>
      <c r="BV79" s="62" t="n">
        <v>0.5609</v>
      </c>
      <c r="BW79" s="60" t="n">
        <v>520</v>
      </c>
      <c r="BX79" s="60" t="n">
        <f aca="false">AA79</f>
        <v>0</v>
      </c>
      <c r="BY79" s="60" t="n">
        <f aca="false">H79</f>
        <v>216.61</v>
      </c>
      <c r="BZ79" s="60" t="n">
        <f aca="false">Z79</f>
        <v>0</v>
      </c>
      <c r="CA79" s="60" t="n">
        <f aca="false">AB79+AC79+AD79</f>
        <v>0</v>
      </c>
      <c r="CB79" s="60" t="n">
        <f aca="false">AE79+AF79+AG79+AH79+AI79</f>
        <v>0</v>
      </c>
    </row>
    <row r="80" customFormat="false" ht="15" hidden="false" customHeight="false" outlineLevel="0" collapsed="false">
      <c r="A80" s="58" t="n">
        <v>45452</v>
      </c>
      <c r="B80" s="59" t="n">
        <f aca="false">YEAR(A80)</f>
        <v>2024</v>
      </c>
      <c r="C80" s="59" t="n">
        <f aca="false">MONTH(A80)</f>
        <v>6</v>
      </c>
      <c r="D80" s="60" t="n">
        <v>6394</v>
      </c>
      <c r="E80" s="61" t="n">
        <v>1.2103</v>
      </c>
      <c r="F80" s="61" t="n">
        <v>0.8796</v>
      </c>
      <c r="G80" s="61" t="n">
        <v>0</v>
      </c>
      <c r="H80" s="60" t="n">
        <v>166.69</v>
      </c>
      <c r="I80" s="60" t="n">
        <f aca="false">H80+'Level 4'!$C$12/100*I79</f>
        <v>166.69</v>
      </c>
      <c r="J80" s="60" t="n">
        <v>106.57</v>
      </c>
      <c r="K80" s="60" t="n">
        <v>37.95</v>
      </c>
      <c r="L80" s="60" t="n">
        <v>509.11</v>
      </c>
      <c r="M80" s="60" t="n">
        <f aca="false">L80+Answers!$C$14/100*M79</f>
        <v>526.997601219291</v>
      </c>
      <c r="N80" s="60" t="n">
        <v>0</v>
      </c>
      <c r="O80" s="60" t="n">
        <v>17.58</v>
      </c>
      <c r="P80" s="60" t="n">
        <v>22.41</v>
      </c>
      <c r="Q80" s="60" t="n">
        <v>17</v>
      </c>
      <c r="R80" s="60" t="n">
        <v>103.31</v>
      </c>
      <c r="S80" s="60" t="n">
        <f aca="false">N80+Answers!$C$16/100*S79</f>
        <v>257.622768889569</v>
      </c>
      <c r="T80" s="60" t="n">
        <f aca="false">O80+Answers!$C$17/100*T79</f>
        <v>92.6551736109463</v>
      </c>
      <c r="U80" s="60" t="n">
        <f aca="false">P80+Answers!$C$18/100*U79</f>
        <v>180.98253409025</v>
      </c>
      <c r="V80" s="60" t="n">
        <f aca="false">Q80+Answers!$C$19/100*V79</f>
        <v>121.315969058968</v>
      </c>
      <c r="W80" s="60" t="n">
        <f aca="false">R80+Answers!$C$20/100*W79</f>
        <v>565.485659400982</v>
      </c>
      <c r="X80" s="60" t="n">
        <f aca="false">IF('Level 1'!$C$11="",0,'Level 1'!$C$11)*E80</f>
        <v>0</v>
      </c>
      <c r="Y80" s="60" t="n">
        <f aca="false">-IF('Level 2'!$C$11="",0,'Level 2'!$C$11)*F80</f>
        <v>-0</v>
      </c>
      <c r="Z80" s="60" t="n">
        <f aca="false">IF('Level 3'!$C$11="",0,'Level 3'!$C$11)*G80</f>
        <v>0</v>
      </c>
      <c r="AA80" s="60" t="n">
        <f aca="false">IF('Level 4'!$C$11="",0,'Level 4'!$C$11)*(1-'Level 4'!$C$12/100)*I80</f>
        <v>0</v>
      </c>
      <c r="AB80" s="60" t="n">
        <f aca="false">IF('Level 5'!$C$11="",0,'Level 5'!$C$11)*J80</f>
        <v>0</v>
      </c>
      <c r="AC80" s="60" t="n">
        <f aca="false">IF('Level 5'!$C$12="",0,'Level 5'!$C$12)*K80</f>
        <v>0</v>
      </c>
      <c r="AD80" s="60" t="n">
        <f aca="false">IF('Level 5'!$C$13="",0,'Level 5'!$C$13)*(1-Answers!$C$14/100)*M80</f>
        <v>0</v>
      </c>
      <c r="AE80" s="60" t="n">
        <f aca="false">IF('Level 6'!$C$11="",0,'Level 6'!$C$11)*(1-Answers!$C$16/100)*S80</f>
        <v>0</v>
      </c>
      <c r="AF80" s="60" t="n">
        <f aca="false">IF('Level 6'!$C$12="",0,'Level 6'!$C$12)*(1-Answers!$C$17/100)*T80</f>
        <v>0</v>
      </c>
      <c r="AG80" s="60" t="n">
        <f aca="false">IF('Level 6'!$C$13="",0,'Level 6'!$C$13)*(1-Answers!$C$18/100)*U80</f>
        <v>0</v>
      </c>
      <c r="AH80" s="60" t="n">
        <f aca="false">IF('Level 6'!$C$14="",0,'Level 6'!$C$14)*(1-Answers!$C$19/100)*V80</f>
        <v>0</v>
      </c>
      <c r="AI80" s="60" t="n">
        <f aca="false">IF('Level 6'!$C$15="",0,'Level 6'!$C$15)*(1-Answers!$C$20/100)*W80</f>
        <v>0</v>
      </c>
      <c r="AJ80" s="60" t="n">
        <f aca="false">X80</f>
        <v>0</v>
      </c>
      <c r="AK80" s="60" t="n">
        <f aca="false">X80+Y80</f>
        <v>0</v>
      </c>
      <c r="AL80" s="60" t="n">
        <f aca="false">AK80+Z80</f>
        <v>0</v>
      </c>
      <c r="AM80" s="60" t="n">
        <f aca="false">AL80+AA80</f>
        <v>0</v>
      </c>
      <c r="AN80" s="60" t="n">
        <f aca="false">AM80+AB80+AC80+AD80</f>
        <v>0</v>
      </c>
      <c r="AO80" s="60" t="n">
        <f aca="false">AL80+AE80+AF80+AG80+AH80+AI80+AB80+AC80+AD80</f>
        <v>0</v>
      </c>
      <c r="AP80" s="60" t="n">
        <f aca="false">IF(Answers!$C$22="Yes",AO80,AN80)</f>
        <v>0</v>
      </c>
      <c r="AQ80" s="60" t="n">
        <v>1059.7</v>
      </c>
      <c r="AR80" s="60" t="n">
        <v>-837.8</v>
      </c>
      <c r="AS80" s="60" t="n">
        <v>0</v>
      </c>
      <c r="AT80" s="60" t="n">
        <v>4006.6</v>
      </c>
      <c r="AU80" s="60" t="n">
        <v>388.1</v>
      </c>
      <c r="AV80" s="60" t="n">
        <v>138.8</v>
      </c>
      <c r="AW80" s="60" t="n">
        <v>61.6</v>
      </c>
      <c r="AX80" s="60" t="n">
        <v>1060.4</v>
      </c>
      <c r="AY80" s="60" t="n">
        <v>324</v>
      </c>
      <c r="AZ80" s="60" t="n">
        <v>642.7</v>
      </c>
      <c r="BA80" s="60" t="n">
        <v>122.8</v>
      </c>
      <c r="BB80" s="60" t="n">
        <v>1856.7</v>
      </c>
      <c r="BC80" s="60" t="n">
        <f aca="false">AQ80+AR80+AS80+AT80+AU80+AV80+AW80</f>
        <v>4817</v>
      </c>
      <c r="BD80" s="60" t="n">
        <f aca="false">AQ80</f>
        <v>1059.7</v>
      </c>
      <c r="BE80" s="60" t="n">
        <f aca="false">AQ80+AR80</f>
        <v>221.9</v>
      </c>
      <c r="BF80" s="60" t="n">
        <f aca="false">BE80+AS80</f>
        <v>221.9</v>
      </c>
      <c r="BG80" s="60" t="n">
        <f aca="false">BF80+AT80</f>
        <v>4228.5</v>
      </c>
      <c r="BH80" s="60" t="n">
        <f aca="false">BG80+AU80+AV80+AW80</f>
        <v>4817</v>
      </c>
      <c r="BI80" s="60" t="n">
        <f aca="false">BC80</f>
        <v>4817</v>
      </c>
      <c r="BJ80" s="60" t="n">
        <f aca="false">IF('Level 1'!$C$31="Yes",BD80,AJ80)</f>
        <v>0</v>
      </c>
      <c r="BK80" s="60" t="n">
        <f aca="false">IF('Level 2'!$C$31="Yes",BE80,AK80)</f>
        <v>0</v>
      </c>
      <c r="BL80" s="60" t="n">
        <f aca="false">IF('Level 3'!$C$31="Yes",BF80,AL80)</f>
        <v>0</v>
      </c>
      <c r="BM80" s="60" t="n">
        <f aca="false">IF('Level 4'!$C$31="Yes",BG80,AM80)</f>
        <v>0</v>
      </c>
      <c r="BN80" s="60" t="n">
        <f aca="false">IF('Level 5'!$C$31="Yes",BH80,AN80)</f>
        <v>0</v>
      </c>
      <c r="BO80" s="60" t="n">
        <f aca="false">IF('Level 6'!$C$31="Yes",BI80,AO80)</f>
        <v>0</v>
      </c>
      <c r="BP80" s="60" t="n">
        <f aca="false">IF('Level 7'!$C$31="Yes",BC80,AP80)</f>
        <v>0</v>
      </c>
      <c r="BQ80" s="60" t="n">
        <f aca="false">D80-AP80</f>
        <v>6394</v>
      </c>
      <c r="BR80" s="60" t="n">
        <f aca="false">BQ80^2</f>
        <v>40883236</v>
      </c>
      <c r="BS80" s="60" t="n">
        <f aca="false">(BQ80-BQ79)^2</f>
        <v>168921</v>
      </c>
      <c r="BT80" s="60" t="n">
        <f aca="false">IF(D80&gt;2000,ABS(BQ80)/D80,"")</f>
        <v>1</v>
      </c>
      <c r="BU80" s="60" t="n">
        <v>249</v>
      </c>
      <c r="BV80" s="62" t="n">
        <v>0.5609</v>
      </c>
      <c r="BW80" s="60" t="n">
        <v>928.8</v>
      </c>
      <c r="BX80" s="60" t="n">
        <f aca="false">AA80</f>
        <v>0</v>
      </c>
      <c r="BY80" s="60" t="n">
        <f aca="false">H80</f>
        <v>166.69</v>
      </c>
      <c r="BZ80" s="60" t="n">
        <f aca="false">Z80</f>
        <v>0</v>
      </c>
      <c r="CA80" s="60" t="n">
        <f aca="false">AB80+AC80+AD80</f>
        <v>0</v>
      </c>
      <c r="CB80" s="60" t="n">
        <f aca="false">AE80+AF80+AG80+AH80+AI80</f>
        <v>0</v>
      </c>
    </row>
    <row r="81" customFormat="false" ht="15" hidden="false" customHeight="false" outlineLevel="0" collapsed="false">
      <c r="A81" s="58" t="n">
        <v>45459</v>
      </c>
      <c r="B81" s="59" t="n">
        <f aca="false">YEAR(A81)</f>
        <v>2024</v>
      </c>
      <c r="C81" s="59" t="n">
        <f aca="false">MONTH(A81)</f>
        <v>6</v>
      </c>
      <c r="D81" s="60" t="n">
        <v>5409</v>
      </c>
      <c r="E81" s="61" t="n">
        <v>1.1667</v>
      </c>
      <c r="F81" s="61" t="n">
        <v>0.8245</v>
      </c>
      <c r="G81" s="61" t="n">
        <v>0</v>
      </c>
      <c r="H81" s="60" t="n">
        <v>222.59</v>
      </c>
      <c r="I81" s="60" t="n">
        <f aca="false">H81+'Level 4'!$C$12/100*I80</f>
        <v>222.59</v>
      </c>
      <c r="J81" s="60" t="n">
        <v>88.7</v>
      </c>
      <c r="K81" s="60" t="n">
        <v>31.76</v>
      </c>
      <c r="L81" s="60" t="n">
        <v>507.16</v>
      </c>
      <c r="M81" s="60" t="n">
        <f aca="false">L81+Answers!$C$14/100*M80</f>
        <v>823.358560731575</v>
      </c>
      <c r="N81" s="60" t="n">
        <v>58.01</v>
      </c>
      <c r="O81" s="60" t="n">
        <v>14.91</v>
      </c>
      <c r="P81" s="60" t="n">
        <v>12.94</v>
      </c>
      <c r="Q81" s="60" t="n">
        <v>17</v>
      </c>
      <c r="R81" s="60" t="n">
        <v>114.32</v>
      </c>
      <c r="S81" s="60" t="n">
        <f aca="false">N81+Answers!$C$16/100*S80</f>
        <v>264.108215111655</v>
      </c>
      <c r="T81" s="60" t="n">
        <f aca="false">O81+Answers!$C$17/100*T80</f>
        <v>89.0341388887571</v>
      </c>
      <c r="U81" s="60" t="n">
        <f aca="false">P81+Answers!$C$18/100*U80</f>
        <v>157.7260272722</v>
      </c>
      <c r="V81" s="60" t="n">
        <f aca="false">Q81+Answers!$C$19/100*V80</f>
        <v>114.052775247174</v>
      </c>
      <c r="W81" s="60" t="n">
        <f aca="false">R81+Answers!$C$20/100*W80</f>
        <v>566.708527520786</v>
      </c>
      <c r="X81" s="60" t="n">
        <f aca="false">IF('Level 1'!$C$11="",0,'Level 1'!$C$11)*E81</f>
        <v>0</v>
      </c>
      <c r="Y81" s="60" t="n">
        <f aca="false">-IF('Level 2'!$C$11="",0,'Level 2'!$C$11)*F81</f>
        <v>-0</v>
      </c>
      <c r="Z81" s="60" t="n">
        <f aca="false">IF('Level 3'!$C$11="",0,'Level 3'!$C$11)*G81</f>
        <v>0</v>
      </c>
      <c r="AA81" s="60" t="n">
        <f aca="false">IF('Level 4'!$C$11="",0,'Level 4'!$C$11)*(1-'Level 4'!$C$12/100)*I81</f>
        <v>0</v>
      </c>
      <c r="AB81" s="60" t="n">
        <f aca="false">IF('Level 5'!$C$11="",0,'Level 5'!$C$11)*J81</f>
        <v>0</v>
      </c>
      <c r="AC81" s="60" t="n">
        <f aca="false">IF('Level 5'!$C$12="",0,'Level 5'!$C$12)*K81</f>
        <v>0</v>
      </c>
      <c r="AD81" s="60" t="n">
        <f aca="false">IF('Level 5'!$C$13="",0,'Level 5'!$C$13)*(1-Answers!$C$14/100)*M81</f>
        <v>0</v>
      </c>
      <c r="AE81" s="60" t="n">
        <f aca="false">IF('Level 6'!$C$11="",0,'Level 6'!$C$11)*(1-Answers!$C$16/100)*S81</f>
        <v>0</v>
      </c>
      <c r="AF81" s="60" t="n">
        <f aca="false">IF('Level 6'!$C$12="",0,'Level 6'!$C$12)*(1-Answers!$C$17/100)*T81</f>
        <v>0</v>
      </c>
      <c r="AG81" s="60" t="n">
        <f aca="false">IF('Level 6'!$C$13="",0,'Level 6'!$C$13)*(1-Answers!$C$18/100)*U81</f>
        <v>0</v>
      </c>
      <c r="AH81" s="60" t="n">
        <f aca="false">IF('Level 6'!$C$14="",0,'Level 6'!$C$14)*(1-Answers!$C$19/100)*V81</f>
        <v>0</v>
      </c>
      <c r="AI81" s="60" t="n">
        <f aca="false">IF('Level 6'!$C$15="",0,'Level 6'!$C$15)*(1-Answers!$C$20/100)*W81</f>
        <v>0</v>
      </c>
      <c r="AJ81" s="60" t="n">
        <f aca="false">X81</f>
        <v>0</v>
      </c>
      <c r="AK81" s="60" t="n">
        <f aca="false">X81+Y81</f>
        <v>0</v>
      </c>
      <c r="AL81" s="60" t="n">
        <f aca="false">AK81+Z81</f>
        <v>0</v>
      </c>
      <c r="AM81" s="60" t="n">
        <f aca="false">AL81+AA81</f>
        <v>0</v>
      </c>
      <c r="AN81" s="60" t="n">
        <f aca="false">AM81+AB81+AC81+AD81</f>
        <v>0</v>
      </c>
      <c r="AO81" s="60" t="n">
        <f aca="false">AL81+AE81+AF81+AG81+AH81+AI81+AB81+AC81+AD81</f>
        <v>0</v>
      </c>
      <c r="AP81" s="60" t="n">
        <f aca="false">IF(Answers!$C$22="Yes",AO81,AN81)</f>
        <v>0</v>
      </c>
      <c r="AQ81" s="60" t="n">
        <v>1021.6</v>
      </c>
      <c r="AR81" s="60" t="n">
        <v>-785.3</v>
      </c>
      <c r="AS81" s="60" t="n">
        <v>0</v>
      </c>
      <c r="AT81" s="60" t="n">
        <v>3900.1</v>
      </c>
      <c r="AU81" s="60" t="n">
        <v>312</v>
      </c>
      <c r="AV81" s="60" t="n">
        <v>116.2</v>
      </c>
      <c r="AW81" s="60" t="n">
        <v>40.1</v>
      </c>
      <c r="AX81" s="60" t="n">
        <v>1052.2</v>
      </c>
      <c r="AY81" s="60" t="n">
        <v>314.3</v>
      </c>
      <c r="AZ81" s="60" t="n">
        <v>580.1</v>
      </c>
      <c r="BA81" s="60" t="n">
        <v>118.5</v>
      </c>
      <c r="BB81" s="60" t="n">
        <v>1834.9</v>
      </c>
      <c r="BC81" s="60" t="n">
        <f aca="false">AQ81+AR81+AS81+AT81+AU81+AV81+AW81</f>
        <v>4604.7</v>
      </c>
      <c r="BD81" s="60" t="n">
        <f aca="false">AQ81</f>
        <v>1021.6</v>
      </c>
      <c r="BE81" s="60" t="n">
        <f aca="false">AQ81+AR81</f>
        <v>236.3</v>
      </c>
      <c r="BF81" s="60" t="n">
        <f aca="false">BE81+AS81</f>
        <v>236.3</v>
      </c>
      <c r="BG81" s="60" t="n">
        <f aca="false">BF81+AT81</f>
        <v>4136.4</v>
      </c>
      <c r="BH81" s="60" t="n">
        <f aca="false">BG81+AU81+AV81+AW81</f>
        <v>4604.7</v>
      </c>
      <c r="BI81" s="60" t="n">
        <f aca="false">BC81</f>
        <v>4604.7</v>
      </c>
      <c r="BJ81" s="60" t="n">
        <f aca="false">IF('Level 1'!$C$31="Yes",BD81,AJ81)</f>
        <v>0</v>
      </c>
      <c r="BK81" s="60" t="n">
        <f aca="false">IF('Level 2'!$C$31="Yes",BE81,AK81)</f>
        <v>0</v>
      </c>
      <c r="BL81" s="60" t="n">
        <f aca="false">IF('Level 3'!$C$31="Yes",BF81,AL81)</f>
        <v>0</v>
      </c>
      <c r="BM81" s="60" t="n">
        <f aca="false">IF('Level 4'!$C$31="Yes",BG81,AM81)</f>
        <v>0</v>
      </c>
      <c r="BN81" s="60" t="n">
        <f aca="false">IF('Level 5'!$C$31="Yes",BH81,AN81)</f>
        <v>0</v>
      </c>
      <c r="BO81" s="60" t="n">
        <f aca="false">IF('Level 6'!$C$31="Yes",BI81,AO81)</f>
        <v>0</v>
      </c>
      <c r="BP81" s="60" t="n">
        <f aca="false">IF('Level 7'!$C$31="Yes",BC81,AP81)</f>
        <v>0</v>
      </c>
      <c r="BQ81" s="60" t="n">
        <f aca="false">D81-AP81</f>
        <v>5409</v>
      </c>
      <c r="BR81" s="60" t="n">
        <f aca="false">BQ81^2</f>
        <v>29257281</v>
      </c>
      <c r="BS81" s="60" t="n">
        <f aca="false">(BQ81-BQ80)^2</f>
        <v>970225</v>
      </c>
      <c r="BT81" s="60" t="n">
        <f aca="false">IF(D81&gt;2000,ABS(BQ81)/D81,"")</f>
        <v>1</v>
      </c>
      <c r="BU81" s="60" t="n">
        <v>216</v>
      </c>
      <c r="BV81" s="62" t="n">
        <v>0.5609</v>
      </c>
      <c r="BW81" s="60" t="n">
        <v>926</v>
      </c>
      <c r="BX81" s="60" t="n">
        <f aca="false">AA81</f>
        <v>0</v>
      </c>
      <c r="BY81" s="60" t="n">
        <f aca="false">H81</f>
        <v>222.59</v>
      </c>
      <c r="BZ81" s="60" t="n">
        <f aca="false">Z81</f>
        <v>0</v>
      </c>
      <c r="CA81" s="60" t="n">
        <f aca="false">AB81+AC81+AD81</f>
        <v>0</v>
      </c>
      <c r="CB81" s="60" t="n">
        <f aca="false">AE81+AF81+AG81+AH81+AI81</f>
        <v>0</v>
      </c>
    </row>
    <row r="82" customFormat="false" ht="15" hidden="false" customHeight="false" outlineLevel="0" collapsed="false">
      <c r="A82" s="58" t="n">
        <v>45466</v>
      </c>
      <c r="B82" s="59" t="n">
        <f aca="false">YEAR(A82)</f>
        <v>2024</v>
      </c>
      <c r="C82" s="59" t="n">
        <f aca="false">MONTH(A82)</f>
        <v>6</v>
      </c>
      <c r="D82" s="60" t="n">
        <v>4819</v>
      </c>
      <c r="E82" s="61" t="n">
        <v>1.2567</v>
      </c>
      <c r="F82" s="61" t="n">
        <v>0.7188</v>
      </c>
      <c r="G82" s="61" t="n">
        <v>0</v>
      </c>
      <c r="H82" s="60" t="n">
        <v>213.39</v>
      </c>
      <c r="I82" s="60" t="n">
        <f aca="false">H82+'Level 4'!$C$12/100*I81</f>
        <v>213.39</v>
      </c>
      <c r="J82" s="60" t="n">
        <v>71.68</v>
      </c>
      <c r="K82" s="60" t="n">
        <v>384.77</v>
      </c>
      <c r="L82" s="60" t="n">
        <v>58.15</v>
      </c>
      <c r="M82" s="60" t="n">
        <f aca="false">L82+Answers!$C$14/100*M81</f>
        <v>552.165136438945</v>
      </c>
      <c r="N82" s="60" t="n">
        <v>0</v>
      </c>
      <c r="O82" s="60" t="n">
        <v>11.25</v>
      </c>
      <c r="P82" s="60" t="n">
        <v>11.77</v>
      </c>
      <c r="Q82" s="60" t="n">
        <v>34</v>
      </c>
      <c r="R82" s="60" t="n">
        <v>151.56</v>
      </c>
      <c r="S82" s="60" t="n">
        <f aca="false">N82+Answers!$C$16/100*S81</f>
        <v>211.286572089324</v>
      </c>
      <c r="T82" s="60" t="n">
        <f aca="false">O82+Answers!$C$17/100*T81</f>
        <v>82.4773111110057</v>
      </c>
      <c r="U82" s="60" t="n">
        <f aca="false">P82+Answers!$C$18/100*U81</f>
        <v>137.95082181776</v>
      </c>
      <c r="V82" s="60" t="n">
        <f aca="false">Q82+Answers!$C$19/100*V81</f>
        <v>125.242220197739</v>
      </c>
      <c r="W82" s="60" t="n">
        <f aca="false">R82+Answers!$C$20/100*W81</f>
        <v>604.926822016628</v>
      </c>
      <c r="X82" s="60" t="n">
        <f aca="false">IF('Level 1'!$C$11="",0,'Level 1'!$C$11)*E82</f>
        <v>0</v>
      </c>
      <c r="Y82" s="60" t="n">
        <f aca="false">-IF('Level 2'!$C$11="",0,'Level 2'!$C$11)*F82</f>
        <v>-0</v>
      </c>
      <c r="Z82" s="60" t="n">
        <f aca="false">IF('Level 3'!$C$11="",0,'Level 3'!$C$11)*G82</f>
        <v>0</v>
      </c>
      <c r="AA82" s="60" t="n">
        <f aca="false">IF('Level 4'!$C$11="",0,'Level 4'!$C$11)*(1-'Level 4'!$C$12/100)*I82</f>
        <v>0</v>
      </c>
      <c r="AB82" s="60" t="n">
        <f aca="false">IF('Level 5'!$C$11="",0,'Level 5'!$C$11)*J82</f>
        <v>0</v>
      </c>
      <c r="AC82" s="60" t="n">
        <f aca="false">IF('Level 5'!$C$12="",0,'Level 5'!$C$12)*K82</f>
        <v>0</v>
      </c>
      <c r="AD82" s="60" t="n">
        <f aca="false">IF('Level 5'!$C$13="",0,'Level 5'!$C$13)*(1-Answers!$C$14/100)*M82</f>
        <v>0</v>
      </c>
      <c r="AE82" s="60" t="n">
        <f aca="false">IF('Level 6'!$C$11="",0,'Level 6'!$C$11)*(1-Answers!$C$16/100)*S82</f>
        <v>0</v>
      </c>
      <c r="AF82" s="60" t="n">
        <f aca="false">IF('Level 6'!$C$12="",0,'Level 6'!$C$12)*(1-Answers!$C$17/100)*T82</f>
        <v>0</v>
      </c>
      <c r="AG82" s="60" t="n">
        <f aca="false">IF('Level 6'!$C$13="",0,'Level 6'!$C$13)*(1-Answers!$C$18/100)*U82</f>
        <v>0</v>
      </c>
      <c r="AH82" s="60" t="n">
        <f aca="false">IF('Level 6'!$C$14="",0,'Level 6'!$C$14)*(1-Answers!$C$19/100)*V82</f>
        <v>0</v>
      </c>
      <c r="AI82" s="60" t="n">
        <f aca="false">IF('Level 6'!$C$15="",0,'Level 6'!$C$15)*(1-Answers!$C$20/100)*W82</f>
        <v>0</v>
      </c>
      <c r="AJ82" s="60" t="n">
        <f aca="false">X82</f>
        <v>0</v>
      </c>
      <c r="AK82" s="60" t="n">
        <f aca="false">X82+Y82</f>
        <v>0</v>
      </c>
      <c r="AL82" s="60" t="n">
        <f aca="false">AK82+Z82</f>
        <v>0</v>
      </c>
      <c r="AM82" s="60" t="n">
        <f aca="false">AL82+AA82</f>
        <v>0</v>
      </c>
      <c r="AN82" s="60" t="n">
        <f aca="false">AM82+AB82+AC82+AD82</f>
        <v>0</v>
      </c>
      <c r="AO82" s="60" t="n">
        <f aca="false">AL82+AE82+AF82+AG82+AH82+AI82+AB82+AC82+AD82</f>
        <v>0</v>
      </c>
      <c r="AP82" s="60" t="n">
        <f aca="false">IF(Answers!$C$22="Yes",AO82,AN82)</f>
        <v>0</v>
      </c>
      <c r="AQ82" s="60" t="n">
        <v>1100.4</v>
      </c>
      <c r="AR82" s="60" t="n">
        <v>-684.6</v>
      </c>
      <c r="AS82" s="60" t="n">
        <v>0</v>
      </c>
      <c r="AT82" s="60" t="n">
        <v>3737.8</v>
      </c>
      <c r="AU82" s="60" t="n">
        <v>246.4</v>
      </c>
      <c r="AV82" s="60" t="n">
        <v>1407.7</v>
      </c>
      <c r="AW82" s="60" t="n">
        <v>26</v>
      </c>
      <c r="AX82" s="60" t="n">
        <v>894.4</v>
      </c>
      <c r="AY82" s="60" t="n">
        <v>296.5</v>
      </c>
      <c r="AZ82" s="60" t="n">
        <v>523.8</v>
      </c>
      <c r="BA82" s="60" t="n">
        <v>128.9</v>
      </c>
      <c r="BB82" s="60" t="n">
        <v>1894.2</v>
      </c>
      <c r="BC82" s="60" t="n">
        <f aca="false">AQ82+AR82+AS82+AT82+AU82+AV82+AW82</f>
        <v>5833.7</v>
      </c>
      <c r="BD82" s="60" t="n">
        <f aca="false">AQ82</f>
        <v>1100.4</v>
      </c>
      <c r="BE82" s="60" t="n">
        <f aca="false">AQ82+AR82</f>
        <v>415.8</v>
      </c>
      <c r="BF82" s="60" t="n">
        <f aca="false">BE82+AS82</f>
        <v>415.8</v>
      </c>
      <c r="BG82" s="60" t="n">
        <f aca="false">BF82+AT82</f>
        <v>4153.6</v>
      </c>
      <c r="BH82" s="60" t="n">
        <f aca="false">BG82+AU82+AV82+AW82</f>
        <v>5833.7</v>
      </c>
      <c r="BI82" s="60" t="n">
        <f aca="false">BC82</f>
        <v>5833.7</v>
      </c>
      <c r="BJ82" s="60" t="n">
        <f aca="false">IF('Level 1'!$C$31="Yes",BD82,AJ82)</f>
        <v>0</v>
      </c>
      <c r="BK82" s="60" t="n">
        <f aca="false">IF('Level 2'!$C$31="Yes",BE82,AK82)</f>
        <v>0</v>
      </c>
      <c r="BL82" s="60" t="n">
        <f aca="false">IF('Level 3'!$C$31="Yes",BF82,AL82)</f>
        <v>0</v>
      </c>
      <c r="BM82" s="60" t="n">
        <f aca="false">IF('Level 4'!$C$31="Yes",BG82,AM82)</f>
        <v>0</v>
      </c>
      <c r="BN82" s="60" t="n">
        <f aca="false">IF('Level 5'!$C$31="Yes",BH82,AN82)</f>
        <v>0</v>
      </c>
      <c r="BO82" s="60" t="n">
        <f aca="false">IF('Level 6'!$C$31="Yes",BI82,AO82)</f>
        <v>0</v>
      </c>
      <c r="BP82" s="60" t="n">
        <f aca="false">IF('Level 7'!$C$31="Yes",BC82,AP82)</f>
        <v>0</v>
      </c>
      <c r="BQ82" s="60" t="n">
        <f aca="false">D82-AP82</f>
        <v>4819</v>
      </c>
      <c r="BR82" s="60" t="n">
        <f aca="false">BQ82^2</f>
        <v>23222761</v>
      </c>
      <c r="BS82" s="60" t="n">
        <f aca="false">(BQ82-BQ81)^2</f>
        <v>348100</v>
      </c>
      <c r="BT82" s="60" t="n">
        <f aca="false">IF(D82&gt;2000,ABS(BQ82)/D82,"")</f>
        <v>1</v>
      </c>
      <c r="BU82" s="60" t="n">
        <v>106</v>
      </c>
      <c r="BV82" s="62" t="n">
        <v>0.5609</v>
      </c>
      <c r="BW82" s="60" t="n">
        <v>799.9</v>
      </c>
      <c r="BX82" s="60" t="n">
        <f aca="false">AA82</f>
        <v>0</v>
      </c>
      <c r="BY82" s="60" t="n">
        <f aca="false">H82</f>
        <v>213.39</v>
      </c>
      <c r="BZ82" s="60" t="n">
        <f aca="false">Z82</f>
        <v>0</v>
      </c>
      <c r="CA82" s="60" t="n">
        <f aca="false">AB82+AC82+AD82</f>
        <v>0</v>
      </c>
      <c r="CB82" s="60" t="n">
        <f aca="false">AE82+AF82+AG82+AH82+AI82</f>
        <v>0</v>
      </c>
    </row>
    <row r="83" customFormat="false" ht="15" hidden="false" customHeight="false" outlineLevel="0" collapsed="false">
      <c r="A83" s="58" t="n">
        <v>45473</v>
      </c>
      <c r="B83" s="59" t="n">
        <f aca="false">YEAR(A83)</f>
        <v>2024</v>
      </c>
      <c r="C83" s="59" t="n">
        <f aca="false">MONTH(A83)</f>
        <v>6</v>
      </c>
      <c r="D83" s="60" t="n">
        <v>4558</v>
      </c>
      <c r="E83" s="61" t="n">
        <v>1.8797</v>
      </c>
      <c r="F83" s="61" t="n">
        <v>0.736</v>
      </c>
      <c r="G83" s="61" t="n">
        <v>0</v>
      </c>
      <c r="H83" s="60" t="n">
        <v>301.3</v>
      </c>
      <c r="I83" s="60" t="n">
        <f aca="false">H83+'Level 4'!$C$12/100*I82</f>
        <v>301.3</v>
      </c>
      <c r="J83" s="60" t="n">
        <v>84.5</v>
      </c>
      <c r="K83" s="60" t="n">
        <v>375.4</v>
      </c>
      <c r="L83" s="60" t="n">
        <v>32.54</v>
      </c>
      <c r="M83" s="60" t="n">
        <f aca="false">L83+Answers!$C$14/100*M82</f>
        <v>363.839081863367</v>
      </c>
      <c r="N83" s="60" t="n">
        <v>50.79</v>
      </c>
      <c r="O83" s="60" t="n">
        <v>10.35</v>
      </c>
      <c r="P83" s="60" t="n">
        <v>11.06</v>
      </c>
      <c r="Q83" s="60" t="n">
        <v>62.4</v>
      </c>
      <c r="R83" s="60" t="n">
        <v>162.14</v>
      </c>
      <c r="S83" s="60" t="n">
        <f aca="false">N83+Answers!$C$16/100*S82</f>
        <v>219.819257671459</v>
      </c>
      <c r="T83" s="60" t="n">
        <f aca="false">O83+Answers!$C$17/100*T82</f>
        <v>76.3318488888045</v>
      </c>
      <c r="U83" s="60" t="n">
        <f aca="false">P83+Answers!$C$18/100*U82</f>
        <v>121.420657454208</v>
      </c>
      <c r="V83" s="60" t="n">
        <f aca="false">Q83+Answers!$C$19/100*V82</f>
        <v>162.593776158191</v>
      </c>
      <c r="W83" s="60" t="n">
        <f aca="false">R83+Answers!$C$20/100*W82</f>
        <v>646.081457613303</v>
      </c>
      <c r="X83" s="60" t="n">
        <f aca="false">IF('Level 1'!$C$11="",0,'Level 1'!$C$11)*E83</f>
        <v>0</v>
      </c>
      <c r="Y83" s="60" t="n">
        <f aca="false">-IF('Level 2'!$C$11="",0,'Level 2'!$C$11)*F83</f>
        <v>-0</v>
      </c>
      <c r="Z83" s="60" t="n">
        <f aca="false">IF('Level 3'!$C$11="",0,'Level 3'!$C$11)*G83</f>
        <v>0</v>
      </c>
      <c r="AA83" s="60" t="n">
        <f aca="false">IF('Level 4'!$C$11="",0,'Level 4'!$C$11)*(1-'Level 4'!$C$12/100)*I83</f>
        <v>0</v>
      </c>
      <c r="AB83" s="60" t="n">
        <f aca="false">IF('Level 5'!$C$11="",0,'Level 5'!$C$11)*J83</f>
        <v>0</v>
      </c>
      <c r="AC83" s="60" t="n">
        <f aca="false">IF('Level 5'!$C$12="",0,'Level 5'!$C$12)*K83</f>
        <v>0</v>
      </c>
      <c r="AD83" s="60" t="n">
        <f aca="false">IF('Level 5'!$C$13="",0,'Level 5'!$C$13)*(1-Answers!$C$14/100)*M83</f>
        <v>0</v>
      </c>
      <c r="AE83" s="60" t="n">
        <f aca="false">IF('Level 6'!$C$11="",0,'Level 6'!$C$11)*(1-Answers!$C$16/100)*S83</f>
        <v>0</v>
      </c>
      <c r="AF83" s="60" t="n">
        <f aca="false">IF('Level 6'!$C$12="",0,'Level 6'!$C$12)*(1-Answers!$C$17/100)*T83</f>
        <v>0</v>
      </c>
      <c r="AG83" s="60" t="n">
        <f aca="false">IF('Level 6'!$C$13="",0,'Level 6'!$C$13)*(1-Answers!$C$18/100)*U83</f>
        <v>0</v>
      </c>
      <c r="AH83" s="60" t="n">
        <f aca="false">IF('Level 6'!$C$14="",0,'Level 6'!$C$14)*(1-Answers!$C$19/100)*V83</f>
        <v>0</v>
      </c>
      <c r="AI83" s="60" t="n">
        <f aca="false">IF('Level 6'!$C$15="",0,'Level 6'!$C$15)*(1-Answers!$C$20/100)*W83</f>
        <v>0</v>
      </c>
      <c r="AJ83" s="60" t="n">
        <f aca="false">X83</f>
        <v>0</v>
      </c>
      <c r="AK83" s="60" t="n">
        <f aca="false">X83+Y83</f>
        <v>0</v>
      </c>
      <c r="AL83" s="60" t="n">
        <f aca="false">AK83+Z83</f>
        <v>0</v>
      </c>
      <c r="AM83" s="60" t="n">
        <f aca="false">AL83+AA83</f>
        <v>0</v>
      </c>
      <c r="AN83" s="60" t="n">
        <f aca="false">AM83+AB83+AC83+AD83</f>
        <v>0</v>
      </c>
      <c r="AO83" s="60" t="n">
        <f aca="false">AL83+AE83+AF83+AG83+AH83+AI83+AB83+AC83+AD83</f>
        <v>0</v>
      </c>
      <c r="AP83" s="60" t="n">
        <f aca="false">IF(Answers!$C$22="Yes",AO83,AN83)</f>
        <v>0</v>
      </c>
      <c r="AQ83" s="60" t="n">
        <v>1645.9</v>
      </c>
      <c r="AR83" s="60" t="n">
        <v>-701</v>
      </c>
      <c r="AS83" s="60" t="n">
        <v>0</v>
      </c>
      <c r="AT83" s="60" t="n">
        <v>3763.4</v>
      </c>
      <c r="AU83" s="60" t="n">
        <v>292.9</v>
      </c>
      <c r="AV83" s="60" t="n">
        <v>1373.5</v>
      </c>
      <c r="AW83" s="60" t="n">
        <v>16.9</v>
      </c>
      <c r="AX83" s="60" t="n">
        <v>892.4</v>
      </c>
      <c r="AY83" s="60" t="n">
        <v>279</v>
      </c>
      <c r="AZ83" s="60" t="n">
        <v>474.2</v>
      </c>
      <c r="BA83" s="60" t="n">
        <v>161.3</v>
      </c>
      <c r="BB83" s="60" t="n">
        <v>1956.6</v>
      </c>
      <c r="BC83" s="60" t="n">
        <f aca="false">AQ83+AR83+AS83+AT83+AU83+AV83+AW83</f>
        <v>6391.6</v>
      </c>
      <c r="BD83" s="60" t="n">
        <f aca="false">AQ83</f>
        <v>1645.9</v>
      </c>
      <c r="BE83" s="60" t="n">
        <f aca="false">AQ83+AR83</f>
        <v>944.9</v>
      </c>
      <c r="BF83" s="60" t="n">
        <f aca="false">BE83+AS83</f>
        <v>944.9</v>
      </c>
      <c r="BG83" s="60" t="n">
        <f aca="false">BF83+AT83</f>
        <v>4708.3</v>
      </c>
      <c r="BH83" s="60" t="n">
        <f aca="false">BG83+AU83+AV83+AW83</f>
        <v>6391.6</v>
      </c>
      <c r="BI83" s="60" t="n">
        <f aca="false">BC83</f>
        <v>6391.6</v>
      </c>
      <c r="BJ83" s="60" t="n">
        <f aca="false">IF('Level 1'!$C$31="Yes",BD83,AJ83)</f>
        <v>0</v>
      </c>
      <c r="BK83" s="60" t="n">
        <f aca="false">IF('Level 2'!$C$31="Yes",BE83,AK83)</f>
        <v>0</v>
      </c>
      <c r="BL83" s="60" t="n">
        <f aca="false">IF('Level 3'!$C$31="Yes",BF83,AL83)</f>
        <v>0</v>
      </c>
      <c r="BM83" s="60" t="n">
        <f aca="false">IF('Level 4'!$C$31="Yes",BG83,AM83)</f>
        <v>0</v>
      </c>
      <c r="BN83" s="60" t="n">
        <f aca="false">IF('Level 5'!$C$31="Yes",BH83,AN83)</f>
        <v>0</v>
      </c>
      <c r="BO83" s="60" t="n">
        <f aca="false">IF('Level 6'!$C$31="Yes",BI83,AO83)</f>
        <v>0</v>
      </c>
      <c r="BP83" s="60" t="n">
        <f aca="false">IF('Level 7'!$C$31="Yes",BC83,AP83)</f>
        <v>0</v>
      </c>
      <c r="BQ83" s="60" t="n">
        <f aca="false">D83-AP83</f>
        <v>4558</v>
      </c>
      <c r="BR83" s="60" t="n">
        <f aca="false">BQ83^2</f>
        <v>20775364</v>
      </c>
      <c r="BS83" s="60" t="n">
        <f aca="false">(BQ83-BQ82)^2</f>
        <v>68121</v>
      </c>
      <c r="BT83" s="60" t="n">
        <f aca="false">IF(D83&gt;2000,ABS(BQ83)/D83,"")</f>
        <v>1</v>
      </c>
      <c r="BU83" s="60" t="n">
        <v>165</v>
      </c>
      <c r="BV83" s="62" t="n">
        <v>0.5517</v>
      </c>
      <c r="BW83" s="60" t="n">
        <v>860.8</v>
      </c>
      <c r="BX83" s="60" t="n">
        <f aca="false">AA83</f>
        <v>0</v>
      </c>
      <c r="BY83" s="60" t="n">
        <f aca="false">H83</f>
        <v>301.3</v>
      </c>
      <c r="BZ83" s="60" t="n">
        <f aca="false">Z83</f>
        <v>0</v>
      </c>
      <c r="CA83" s="60" t="n">
        <f aca="false">AB83+AC83+AD83</f>
        <v>0</v>
      </c>
      <c r="CB83" s="60" t="n">
        <f aca="false">AE83+AF83+AG83+AH83+AI83</f>
        <v>0</v>
      </c>
    </row>
    <row r="84" customFormat="false" ht="15" hidden="false" customHeight="false" outlineLevel="0" collapsed="false">
      <c r="A84" s="58" t="n">
        <v>45480</v>
      </c>
      <c r="B84" s="59" t="n">
        <f aca="false">YEAR(A84)</f>
        <v>2024</v>
      </c>
      <c r="C84" s="59" t="n">
        <f aca="false">MONTH(A84)</f>
        <v>7</v>
      </c>
      <c r="D84" s="60" t="n">
        <v>3559</v>
      </c>
      <c r="E84" s="61" t="n">
        <v>1.2578</v>
      </c>
      <c r="F84" s="61" t="n">
        <v>0.7464</v>
      </c>
      <c r="G84" s="61" t="n">
        <v>0</v>
      </c>
      <c r="H84" s="60" t="n">
        <v>221.57</v>
      </c>
      <c r="I84" s="60" t="n">
        <f aca="false">H84+'Level 4'!$C$12/100*I83</f>
        <v>221.57</v>
      </c>
      <c r="J84" s="60" t="n">
        <v>94.06</v>
      </c>
      <c r="K84" s="60" t="n">
        <v>165.17</v>
      </c>
      <c r="L84" s="60" t="n">
        <v>2.28</v>
      </c>
      <c r="M84" s="60" t="n">
        <f aca="false">L84+Answers!$C$14/100*M83</f>
        <v>220.58344911802</v>
      </c>
      <c r="N84" s="60" t="n">
        <v>0</v>
      </c>
      <c r="O84" s="60" t="n">
        <v>26.71</v>
      </c>
      <c r="P84" s="60" t="n">
        <v>12.88</v>
      </c>
      <c r="Q84" s="60" t="n">
        <v>77.31</v>
      </c>
      <c r="R84" s="60" t="n">
        <v>101.11</v>
      </c>
      <c r="S84" s="60" t="n">
        <f aca="false">N84+Answers!$C$16/100*S83</f>
        <v>175.855406137167</v>
      </c>
      <c r="T84" s="60" t="n">
        <f aca="false">O84+Answers!$C$17/100*T83</f>
        <v>87.7754791110436</v>
      </c>
      <c r="U84" s="60" t="n">
        <f aca="false">P84+Answers!$C$18/100*U83</f>
        <v>110.016525963366</v>
      </c>
      <c r="V84" s="60" t="n">
        <f aca="false">Q84+Answers!$C$19/100*V83</f>
        <v>207.385020926553</v>
      </c>
      <c r="W84" s="60" t="n">
        <f aca="false">R84+Answers!$C$20/100*W83</f>
        <v>617.975166090642</v>
      </c>
      <c r="X84" s="60" t="n">
        <f aca="false">IF('Level 1'!$C$11="",0,'Level 1'!$C$11)*E84</f>
        <v>0</v>
      </c>
      <c r="Y84" s="60" t="n">
        <f aca="false">-IF('Level 2'!$C$11="",0,'Level 2'!$C$11)*F84</f>
        <v>-0</v>
      </c>
      <c r="Z84" s="60" t="n">
        <f aca="false">IF('Level 3'!$C$11="",0,'Level 3'!$C$11)*G84</f>
        <v>0</v>
      </c>
      <c r="AA84" s="60" t="n">
        <f aca="false">IF('Level 4'!$C$11="",0,'Level 4'!$C$11)*(1-'Level 4'!$C$12/100)*I84</f>
        <v>0</v>
      </c>
      <c r="AB84" s="60" t="n">
        <f aca="false">IF('Level 5'!$C$11="",0,'Level 5'!$C$11)*J84</f>
        <v>0</v>
      </c>
      <c r="AC84" s="60" t="n">
        <f aca="false">IF('Level 5'!$C$12="",0,'Level 5'!$C$12)*K84</f>
        <v>0</v>
      </c>
      <c r="AD84" s="60" t="n">
        <f aca="false">IF('Level 5'!$C$13="",0,'Level 5'!$C$13)*(1-Answers!$C$14/100)*M84</f>
        <v>0</v>
      </c>
      <c r="AE84" s="60" t="n">
        <f aca="false">IF('Level 6'!$C$11="",0,'Level 6'!$C$11)*(1-Answers!$C$16/100)*S84</f>
        <v>0</v>
      </c>
      <c r="AF84" s="60" t="n">
        <f aca="false">IF('Level 6'!$C$12="",0,'Level 6'!$C$12)*(1-Answers!$C$17/100)*T84</f>
        <v>0</v>
      </c>
      <c r="AG84" s="60" t="n">
        <f aca="false">IF('Level 6'!$C$13="",0,'Level 6'!$C$13)*(1-Answers!$C$18/100)*U84</f>
        <v>0</v>
      </c>
      <c r="AH84" s="60" t="n">
        <f aca="false">IF('Level 6'!$C$14="",0,'Level 6'!$C$14)*(1-Answers!$C$19/100)*V84</f>
        <v>0</v>
      </c>
      <c r="AI84" s="60" t="n">
        <f aca="false">IF('Level 6'!$C$15="",0,'Level 6'!$C$15)*(1-Answers!$C$20/100)*W84</f>
        <v>0</v>
      </c>
      <c r="AJ84" s="60" t="n">
        <f aca="false">X84</f>
        <v>0</v>
      </c>
      <c r="AK84" s="60" t="n">
        <f aca="false">X84+Y84</f>
        <v>0</v>
      </c>
      <c r="AL84" s="60" t="n">
        <f aca="false">AK84+Z84</f>
        <v>0</v>
      </c>
      <c r="AM84" s="60" t="n">
        <f aca="false">AL84+AA84</f>
        <v>0</v>
      </c>
      <c r="AN84" s="60" t="n">
        <f aca="false">AM84+AB84+AC84+AD84</f>
        <v>0</v>
      </c>
      <c r="AO84" s="60" t="n">
        <f aca="false">AL84+AE84+AF84+AG84+AH84+AI84+AB84+AC84+AD84</f>
        <v>0</v>
      </c>
      <c r="AP84" s="60" t="n">
        <f aca="false">IF(Answers!$C$22="Yes",AO84,AN84)</f>
        <v>0</v>
      </c>
      <c r="AQ84" s="60" t="n">
        <v>1101.3</v>
      </c>
      <c r="AR84" s="60" t="n">
        <v>-710.9</v>
      </c>
      <c r="AS84" s="60" t="n">
        <v>0</v>
      </c>
      <c r="AT84" s="60" t="n">
        <v>3583.8</v>
      </c>
      <c r="AU84" s="60" t="n">
        <v>330.6</v>
      </c>
      <c r="AV84" s="60" t="n">
        <v>604.3</v>
      </c>
      <c r="AW84" s="60" t="n">
        <v>11</v>
      </c>
      <c r="AX84" s="60" t="n">
        <v>758.5</v>
      </c>
      <c r="AY84" s="60" t="n">
        <v>306.8</v>
      </c>
      <c r="AZ84" s="60" t="n">
        <v>436.7</v>
      </c>
      <c r="BA84" s="60" t="n">
        <v>201.1</v>
      </c>
      <c r="BB84" s="60" t="n">
        <v>1880.6</v>
      </c>
      <c r="BC84" s="60" t="n">
        <f aca="false">AQ84+AR84+AS84+AT84+AU84+AV84+AW84</f>
        <v>4920.1</v>
      </c>
      <c r="BD84" s="60" t="n">
        <f aca="false">AQ84</f>
        <v>1101.3</v>
      </c>
      <c r="BE84" s="60" t="n">
        <f aca="false">AQ84+AR84</f>
        <v>390.4</v>
      </c>
      <c r="BF84" s="60" t="n">
        <f aca="false">BE84+AS84</f>
        <v>390.4</v>
      </c>
      <c r="BG84" s="60" t="n">
        <f aca="false">BF84+AT84</f>
        <v>3974.2</v>
      </c>
      <c r="BH84" s="60" t="n">
        <f aca="false">BG84+AU84+AV84+AW84</f>
        <v>4920.1</v>
      </c>
      <c r="BI84" s="60" t="n">
        <f aca="false">BC84</f>
        <v>4920.1</v>
      </c>
      <c r="BJ84" s="60" t="n">
        <f aca="false">IF('Level 1'!$C$31="Yes",BD84,AJ84)</f>
        <v>0</v>
      </c>
      <c r="BK84" s="60" t="n">
        <f aca="false">IF('Level 2'!$C$31="Yes",BE84,AK84)</f>
        <v>0</v>
      </c>
      <c r="BL84" s="60" t="n">
        <f aca="false">IF('Level 3'!$C$31="Yes",BF84,AL84)</f>
        <v>0</v>
      </c>
      <c r="BM84" s="60" t="n">
        <f aca="false">IF('Level 4'!$C$31="Yes",BG84,AM84)</f>
        <v>0</v>
      </c>
      <c r="BN84" s="60" t="n">
        <f aca="false">IF('Level 5'!$C$31="Yes",BH84,AN84)</f>
        <v>0</v>
      </c>
      <c r="BO84" s="60" t="n">
        <f aca="false">IF('Level 6'!$C$31="Yes",BI84,AO84)</f>
        <v>0</v>
      </c>
      <c r="BP84" s="60" t="n">
        <f aca="false">IF('Level 7'!$C$31="Yes",BC84,AP84)</f>
        <v>0</v>
      </c>
      <c r="BQ84" s="60" t="n">
        <f aca="false">D84-AP84</f>
        <v>3559</v>
      </c>
      <c r="BR84" s="60" t="n">
        <f aca="false">BQ84^2</f>
        <v>12666481</v>
      </c>
      <c r="BS84" s="60" t="n">
        <f aca="false">(BQ84-BQ83)^2</f>
        <v>998001</v>
      </c>
      <c r="BT84" s="60" t="n">
        <f aca="false">IF(D84&gt;2000,ABS(BQ84)/D84,"")</f>
        <v>1</v>
      </c>
      <c r="BU84" s="60" t="n">
        <v>135</v>
      </c>
      <c r="BV84" s="62" t="n">
        <v>0.5517</v>
      </c>
      <c r="BW84" s="60" t="n">
        <v>550.5</v>
      </c>
      <c r="BX84" s="60" t="n">
        <f aca="false">AA84</f>
        <v>0</v>
      </c>
      <c r="BY84" s="60" t="n">
        <f aca="false">H84</f>
        <v>221.57</v>
      </c>
      <c r="BZ84" s="60" t="n">
        <f aca="false">Z84</f>
        <v>0</v>
      </c>
      <c r="CA84" s="60" t="n">
        <f aca="false">AB84+AC84+AD84</f>
        <v>0</v>
      </c>
      <c r="CB84" s="60" t="n">
        <f aca="false">AE84+AF84+AG84+AH84+AI84</f>
        <v>0</v>
      </c>
    </row>
    <row r="85" customFormat="false" ht="15" hidden="false" customHeight="false" outlineLevel="0" collapsed="false">
      <c r="A85" s="58" t="n">
        <v>45487</v>
      </c>
      <c r="B85" s="59" t="n">
        <f aca="false">YEAR(A85)</f>
        <v>2024</v>
      </c>
      <c r="C85" s="59" t="n">
        <f aca="false">MONTH(A85)</f>
        <v>7</v>
      </c>
      <c r="D85" s="60" t="n">
        <v>2296</v>
      </c>
      <c r="E85" s="61" t="n">
        <v>1.2437</v>
      </c>
      <c r="F85" s="61" t="n">
        <v>0.7979</v>
      </c>
      <c r="G85" s="61" t="n">
        <v>0</v>
      </c>
      <c r="H85" s="60" t="n">
        <v>167.72</v>
      </c>
      <c r="I85" s="60" t="n">
        <f aca="false">H85+'Level 4'!$C$12/100*I84</f>
        <v>167.72</v>
      </c>
      <c r="J85" s="60" t="n">
        <v>95.35</v>
      </c>
      <c r="K85" s="60" t="n">
        <v>132.71</v>
      </c>
      <c r="L85" s="60" t="n">
        <v>5.54</v>
      </c>
      <c r="M85" s="60" t="n">
        <f aca="false">L85+Answers!$C$14/100*M84</f>
        <v>137.890069470812</v>
      </c>
      <c r="N85" s="60" t="n">
        <v>53.14</v>
      </c>
      <c r="O85" s="60" t="n">
        <v>16</v>
      </c>
      <c r="P85" s="60" t="n">
        <v>12.27</v>
      </c>
      <c r="Q85" s="60" t="n">
        <v>0.36</v>
      </c>
      <c r="R85" s="60" t="n">
        <v>83.65</v>
      </c>
      <c r="S85" s="60" t="n">
        <f aca="false">N85+Answers!$C$16/100*S84</f>
        <v>193.824324909734</v>
      </c>
      <c r="T85" s="60" t="n">
        <f aca="false">O85+Answers!$C$17/100*T84</f>
        <v>86.2203832888349</v>
      </c>
      <c r="U85" s="60" t="n">
        <f aca="false">P85+Answers!$C$18/100*U84</f>
        <v>100.283220770693</v>
      </c>
      <c r="V85" s="60" t="n">
        <f aca="false">Q85+Answers!$C$19/100*V84</f>
        <v>166.268016741243</v>
      </c>
      <c r="W85" s="60" t="n">
        <f aca="false">R85+Answers!$C$20/100*W84</f>
        <v>578.030132872514</v>
      </c>
      <c r="X85" s="60" t="n">
        <f aca="false">IF('Level 1'!$C$11="",0,'Level 1'!$C$11)*E85</f>
        <v>0</v>
      </c>
      <c r="Y85" s="60" t="n">
        <f aca="false">-IF('Level 2'!$C$11="",0,'Level 2'!$C$11)*F85</f>
        <v>-0</v>
      </c>
      <c r="Z85" s="60" t="n">
        <f aca="false">IF('Level 3'!$C$11="",0,'Level 3'!$C$11)*G85</f>
        <v>0</v>
      </c>
      <c r="AA85" s="60" t="n">
        <f aca="false">IF('Level 4'!$C$11="",0,'Level 4'!$C$11)*(1-'Level 4'!$C$12/100)*I85</f>
        <v>0</v>
      </c>
      <c r="AB85" s="60" t="n">
        <f aca="false">IF('Level 5'!$C$11="",0,'Level 5'!$C$11)*J85</f>
        <v>0</v>
      </c>
      <c r="AC85" s="60" t="n">
        <f aca="false">IF('Level 5'!$C$12="",0,'Level 5'!$C$12)*K85</f>
        <v>0</v>
      </c>
      <c r="AD85" s="60" t="n">
        <f aca="false">IF('Level 5'!$C$13="",0,'Level 5'!$C$13)*(1-Answers!$C$14/100)*M85</f>
        <v>0</v>
      </c>
      <c r="AE85" s="60" t="n">
        <f aca="false">IF('Level 6'!$C$11="",0,'Level 6'!$C$11)*(1-Answers!$C$16/100)*S85</f>
        <v>0</v>
      </c>
      <c r="AF85" s="60" t="n">
        <f aca="false">IF('Level 6'!$C$12="",0,'Level 6'!$C$12)*(1-Answers!$C$17/100)*T85</f>
        <v>0</v>
      </c>
      <c r="AG85" s="60" t="n">
        <f aca="false">IF('Level 6'!$C$13="",0,'Level 6'!$C$13)*(1-Answers!$C$18/100)*U85</f>
        <v>0</v>
      </c>
      <c r="AH85" s="60" t="n">
        <f aca="false">IF('Level 6'!$C$14="",0,'Level 6'!$C$14)*(1-Answers!$C$19/100)*V85</f>
        <v>0</v>
      </c>
      <c r="AI85" s="60" t="n">
        <f aca="false">IF('Level 6'!$C$15="",0,'Level 6'!$C$15)*(1-Answers!$C$20/100)*W85</f>
        <v>0</v>
      </c>
      <c r="AJ85" s="60" t="n">
        <f aca="false">X85</f>
        <v>0</v>
      </c>
      <c r="AK85" s="60" t="n">
        <f aca="false">X85+Y85</f>
        <v>0</v>
      </c>
      <c r="AL85" s="60" t="n">
        <f aca="false">AK85+Z85</f>
        <v>0</v>
      </c>
      <c r="AM85" s="60" t="n">
        <f aca="false">AL85+AA85</f>
        <v>0</v>
      </c>
      <c r="AN85" s="60" t="n">
        <f aca="false">AM85+AB85+AC85+AD85</f>
        <v>0</v>
      </c>
      <c r="AO85" s="60" t="n">
        <f aca="false">AL85+AE85+AF85+AG85+AH85+AI85+AB85+AC85+AD85</f>
        <v>0</v>
      </c>
      <c r="AP85" s="60" t="n">
        <f aca="false">IF(Answers!$C$22="Yes",AO85,AN85)</f>
        <v>0</v>
      </c>
      <c r="AQ85" s="60" t="n">
        <v>1089</v>
      </c>
      <c r="AR85" s="60" t="n">
        <v>-759.9</v>
      </c>
      <c r="AS85" s="60" t="n">
        <v>0</v>
      </c>
      <c r="AT85" s="60" t="n">
        <v>3439.1</v>
      </c>
      <c r="AU85" s="60" t="n">
        <v>343.2</v>
      </c>
      <c r="AV85" s="60" t="n">
        <v>485.5</v>
      </c>
      <c r="AW85" s="60" t="n">
        <v>7.1</v>
      </c>
      <c r="AX85" s="60" t="n">
        <v>783</v>
      </c>
      <c r="AY85" s="60" t="n">
        <v>302.5</v>
      </c>
      <c r="AZ85" s="60" t="n">
        <v>403.3</v>
      </c>
      <c r="BA85" s="60" t="n">
        <v>171.2</v>
      </c>
      <c r="BB85" s="60" t="n">
        <v>1779.1</v>
      </c>
      <c r="BC85" s="60" t="n">
        <f aca="false">AQ85+AR85+AS85+AT85+AU85+AV85+AW85</f>
        <v>4604</v>
      </c>
      <c r="BD85" s="60" t="n">
        <f aca="false">AQ85</f>
        <v>1089</v>
      </c>
      <c r="BE85" s="60" t="n">
        <f aca="false">AQ85+AR85</f>
        <v>329.1</v>
      </c>
      <c r="BF85" s="60" t="n">
        <f aca="false">BE85+AS85</f>
        <v>329.1</v>
      </c>
      <c r="BG85" s="60" t="n">
        <f aca="false">BF85+AT85</f>
        <v>3768.2</v>
      </c>
      <c r="BH85" s="60" t="n">
        <f aca="false">BG85+AU85+AV85+AW85</f>
        <v>4604</v>
      </c>
      <c r="BI85" s="60" t="n">
        <f aca="false">BC85</f>
        <v>4604</v>
      </c>
      <c r="BJ85" s="60" t="n">
        <f aca="false">IF('Level 1'!$C$31="Yes",BD85,AJ85)</f>
        <v>0</v>
      </c>
      <c r="BK85" s="60" t="n">
        <f aca="false">IF('Level 2'!$C$31="Yes",BE85,AK85)</f>
        <v>0</v>
      </c>
      <c r="BL85" s="60" t="n">
        <f aca="false">IF('Level 3'!$C$31="Yes",BF85,AL85)</f>
        <v>0</v>
      </c>
      <c r="BM85" s="60" t="n">
        <f aca="false">IF('Level 4'!$C$31="Yes",BG85,AM85)</f>
        <v>0</v>
      </c>
      <c r="BN85" s="60" t="n">
        <f aca="false">IF('Level 5'!$C$31="Yes",BH85,AN85)</f>
        <v>0</v>
      </c>
      <c r="BO85" s="60" t="n">
        <f aca="false">IF('Level 6'!$C$31="Yes",BI85,AO85)</f>
        <v>0</v>
      </c>
      <c r="BP85" s="60" t="n">
        <f aca="false">IF('Level 7'!$C$31="Yes",BC85,AP85)</f>
        <v>0</v>
      </c>
      <c r="BQ85" s="60" t="n">
        <f aca="false">D85-AP85</f>
        <v>2296</v>
      </c>
      <c r="BR85" s="60" t="n">
        <f aca="false">BQ85^2</f>
        <v>5271616</v>
      </c>
      <c r="BS85" s="60" t="n">
        <f aca="false">(BQ85-BQ84)^2</f>
        <v>1595169</v>
      </c>
      <c r="BT85" s="60" t="n">
        <f aca="false">IF(D85&gt;2000,ABS(BQ85)/D85,"")</f>
        <v>1</v>
      </c>
      <c r="BU85" s="60" t="n">
        <v>119</v>
      </c>
      <c r="BV85" s="62" t="n">
        <v>0.5517</v>
      </c>
      <c r="BW85" s="60" t="n">
        <v>530.5</v>
      </c>
      <c r="BX85" s="60" t="n">
        <f aca="false">AA85</f>
        <v>0</v>
      </c>
      <c r="BY85" s="60" t="n">
        <f aca="false">H85</f>
        <v>167.72</v>
      </c>
      <c r="BZ85" s="60" t="n">
        <f aca="false">Z85</f>
        <v>0</v>
      </c>
      <c r="CA85" s="60" t="n">
        <f aca="false">AB85+AC85+AD85</f>
        <v>0</v>
      </c>
      <c r="CB85" s="60" t="n">
        <f aca="false">AE85+AF85+AG85+AH85+AI85</f>
        <v>0</v>
      </c>
    </row>
    <row r="86" customFormat="false" ht="15" hidden="false" customHeight="false" outlineLevel="0" collapsed="false">
      <c r="A86" s="58" t="n">
        <v>45494</v>
      </c>
      <c r="B86" s="59" t="n">
        <f aca="false">YEAR(A86)</f>
        <v>2024</v>
      </c>
      <c r="C86" s="59" t="n">
        <f aca="false">MONTH(A86)</f>
        <v>7</v>
      </c>
      <c r="D86" s="60" t="n">
        <v>1719</v>
      </c>
      <c r="E86" s="61" t="n">
        <v>1.1823</v>
      </c>
      <c r="F86" s="61" t="n">
        <v>0.8416</v>
      </c>
      <c r="G86" s="61" t="n">
        <v>0</v>
      </c>
      <c r="H86" s="60" t="n">
        <v>52.27</v>
      </c>
      <c r="I86" s="60" t="n">
        <f aca="false">H86+'Level 4'!$C$12/100*I85</f>
        <v>52.27</v>
      </c>
      <c r="J86" s="60" t="n">
        <v>69.58</v>
      </c>
      <c r="K86" s="60" t="n">
        <v>34.59</v>
      </c>
      <c r="L86" s="60" t="n">
        <v>5.42</v>
      </c>
      <c r="M86" s="60" t="n">
        <f aca="false">L86+Answers!$C$14/100*M85</f>
        <v>88.1540416824873</v>
      </c>
      <c r="N86" s="60" t="n">
        <v>0</v>
      </c>
      <c r="O86" s="60" t="n">
        <v>0</v>
      </c>
      <c r="P86" s="60" t="n">
        <v>0</v>
      </c>
      <c r="Q86" s="60" t="n">
        <v>0</v>
      </c>
      <c r="R86" s="60" t="n">
        <v>50.55</v>
      </c>
      <c r="S86" s="60" t="n">
        <f aca="false">N86+Answers!$C$16/100*S85</f>
        <v>155.059459927787</v>
      </c>
      <c r="T86" s="60" t="n">
        <f aca="false">O86+Answers!$C$17/100*T85</f>
        <v>68.9763066310679</v>
      </c>
      <c r="U86" s="60" t="n">
        <f aca="false">P86+Answers!$C$18/100*U85</f>
        <v>80.2265766165544</v>
      </c>
      <c r="V86" s="60" t="n">
        <f aca="false">Q86+Answers!$C$19/100*V85</f>
        <v>133.014413392994</v>
      </c>
      <c r="W86" s="60" t="n">
        <f aca="false">R86+Answers!$C$20/100*W85</f>
        <v>512.974106298011</v>
      </c>
      <c r="X86" s="60" t="n">
        <f aca="false">IF('Level 1'!$C$11="",0,'Level 1'!$C$11)*E86</f>
        <v>0</v>
      </c>
      <c r="Y86" s="60" t="n">
        <f aca="false">-IF('Level 2'!$C$11="",0,'Level 2'!$C$11)*F86</f>
        <v>-0</v>
      </c>
      <c r="Z86" s="60" t="n">
        <f aca="false">IF('Level 3'!$C$11="",0,'Level 3'!$C$11)*G86</f>
        <v>0</v>
      </c>
      <c r="AA86" s="60" t="n">
        <f aca="false">IF('Level 4'!$C$11="",0,'Level 4'!$C$11)*(1-'Level 4'!$C$12/100)*I86</f>
        <v>0</v>
      </c>
      <c r="AB86" s="60" t="n">
        <f aca="false">IF('Level 5'!$C$11="",0,'Level 5'!$C$11)*J86</f>
        <v>0</v>
      </c>
      <c r="AC86" s="60" t="n">
        <f aca="false">IF('Level 5'!$C$12="",0,'Level 5'!$C$12)*K86</f>
        <v>0</v>
      </c>
      <c r="AD86" s="60" t="n">
        <f aca="false">IF('Level 5'!$C$13="",0,'Level 5'!$C$13)*(1-Answers!$C$14/100)*M86</f>
        <v>0</v>
      </c>
      <c r="AE86" s="60" t="n">
        <f aca="false">IF('Level 6'!$C$11="",0,'Level 6'!$C$11)*(1-Answers!$C$16/100)*S86</f>
        <v>0</v>
      </c>
      <c r="AF86" s="60" t="n">
        <f aca="false">IF('Level 6'!$C$12="",0,'Level 6'!$C$12)*(1-Answers!$C$17/100)*T86</f>
        <v>0</v>
      </c>
      <c r="AG86" s="60" t="n">
        <f aca="false">IF('Level 6'!$C$13="",0,'Level 6'!$C$13)*(1-Answers!$C$18/100)*U86</f>
        <v>0</v>
      </c>
      <c r="AH86" s="60" t="n">
        <f aca="false">IF('Level 6'!$C$14="",0,'Level 6'!$C$14)*(1-Answers!$C$19/100)*V86</f>
        <v>0</v>
      </c>
      <c r="AI86" s="60" t="n">
        <f aca="false">IF('Level 6'!$C$15="",0,'Level 6'!$C$15)*(1-Answers!$C$20/100)*W86</f>
        <v>0</v>
      </c>
      <c r="AJ86" s="60" t="n">
        <f aca="false">X86</f>
        <v>0</v>
      </c>
      <c r="AK86" s="60" t="n">
        <f aca="false">X86+Y86</f>
        <v>0</v>
      </c>
      <c r="AL86" s="60" t="n">
        <f aca="false">AK86+Z86</f>
        <v>0</v>
      </c>
      <c r="AM86" s="60" t="n">
        <f aca="false">AL86+AA86</f>
        <v>0</v>
      </c>
      <c r="AN86" s="60" t="n">
        <f aca="false">AM86+AB86+AC86+AD86</f>
        <v>0</v>
      </c>
      <c r="AO86" s="60" t="n">
        <f aca="false">AL86+AE86+AF86+AG86+AH86+AI86+AB86+AC86+AD86</f>
        <v>0</v>
      </c>
      <c r="AP86" s="60" t="n">
        <f aca="false">IF(Answers!$C$22="Yes",AO86,AN86)</f>
        <v>0</v>
      </c>
      <c r="AQ86" s="60" t="n">
        <v>1035.3</v>
      </c>
      <c r="AR86" s="60" t="n">
        <v>-801.5</v>
      </c>
      <c r="AS86" s="60" t="n">
        <v>0</v>
      </c>
      <c r="AT86" s="60" t="n">
        <v>3029.6</v>
      </c>
      <c r="AU86" s="60" t="n">
        <v>244.2</v>
      </c>
      <c r="AV86" s="60" t="n">
        <v>126.5</v>
      </c>
      <c r="AW86" s="60" t="n">
        <v>4.6</v>
      </c>
      <c r="AX86" s="60" t="n">
        <v>665.6</v>
      </c>
      <c r="AY86" s="60" t="n">
        <v>257.1</v>
      </c>
      <c r="AZ86" s="60" t="n">
        <v>342.8</v>
      </c>
      <c r="BA86" s="60" t="n">
        <v>145.6</v>
      </c>
      <c r="BB86" s="60" t="n">
        <v>1618.6</v>
      </c>
      <c r="BC86" s="60" t="n">
        <f aca="false">AQ86+AR86+AS86+AT86+AU86+AV86+AW86</f>
        <v>3638.7</v>
      </c>
      <c r="BD86" s="60" t="n">
        <f aca="false">AQ86</f>
        <v>1035.3</v>
      </c>
      <c r="BE86" s="60" t="n">
        <f aca="false">AQ86+AR86</f>
        <v>233.8</v>
      </c>
      <c r="BF86" s="60" t="n">
        <f aca="false">BE86+AS86</f>
        <v>233.8</v>
      </c>
      <c r="BG86" s="60" t="n">
        <f aca="false">BF86+AT86</f>
        <v>3263.4</v>
      </c>
      <c r="BH86" s="60" t="n">
        <f aca="false">BG86+AU86+AV86+AW86</f>
        <v>3638.7</v>
      </c>
      <c r="BI86" s="60" t="n">
        <f aca="false">BC86</f>
        <v>3638.7</v>
      </c>
      <c r="BJ86" s="60" t="n">
        <f aca="false">IF('Level 1'!$C$31="Yes",BD86,AJ86)</f>
        <v>0</v>
      </c>
      <c r="BK86" s="60" t="n">
        <f aca="false">IF('Level 2'!$C$31="Yes",BE86,AK86)</f>
        <v>0</v>
      </c>
      <c r="BL86" s="60" t="n">
        <f aca="false">IF('Level 3'!$C$31="Yes",BF86,AL86)</f>
        <v>0</v>
      </c>
      <c r="BM86" s="60" t="n">
        <f aca="false">IF('Level 4'!$C$31="Yes",BG86,AM86)</f>
        <v>0</v>
      </c>
      <c r="BN86" s="60" t="n">
        <f aca="false">IF('Level 5'!$C$31="Yes",BH86,AN86)</f>
        <v>0</v>
      </c>
      <c r="BO86" s="60" t="n">
        <f aca="false">IF('Level 6'!$C$31="Yes",BI86,AO86)</f>
        <v>0</v>
      </c>
      <c r="BP86" s="60" t="n">
        <f aca="false">IF('Level 7'!$C$31="Yes",BC86,AP86)</f>
        <v>0</v>
      </c>
      <c r="BQ86" s="60" t="n">
        <f aca="false">D86-AP86</f>
        <v>1719</v>
      </c>
      <c r="BR86" s="60" t="n">
        <f aca="false">BQ86^2</f>
        <v>2954961</v>
      </c>
      <c r="BS86" s="60" t="n">
        <f aca="false">(BQ86-BQ85)^2</f>
        <v>332929</v>
      </c>
      <c r="BT86" s="60" t="str">
        <f aca="false">IF(D86&gt;2000,ABS(BQ86)/D86,"")</f>
        <v/>
      </c>
      <c r="BU86" s="60" t="n">
        <v>109</v>
      </c>
      <c r="BV86" s="62" t="n">
        <v>0.5517</v>
      </c>
      <c r="BW86" s="60" t="n">
        <v>347.1</v>
      </c>
      <c r="BX86" s="60" t="n">
        <f aca="false">AA86</f>
        <v>0</v>
      </c>
      <c r="BY86" s="60" t="n">
        <f aca="false">H86</f>
        <v>52.27</v>
      </c>
      <c r="BZ86" s="60" t="n">
        <f aca="false">Z86</f>
        <v>0</v>
      </c>
      <c r="CA86" s="60" t="n">
        <f aca="false">AB86+AC86+AD86</f>
        <v>0</v>
      </c>
      <c r="CB86" s="60" t="n">
        <f aca="false">AE86+AF86+AG86+AH86+AI86</f>
        <v>0</v>
      </c>
    </row>
    <row r="87" customFormat="false" ht="15" hidden="false" customHeight="false" outlineLevel="0" collapsed="false">
      <c r="A87" s="58" t="n">
        <v>45501</v>
      </c>
      <c r="B87" s="59" t="n">
        <f aca="false">YEAR(A87)</f>
        <v>2024</v>
      </c>
      <c r="C87" s="59" t="n">
        <f aca="false">MONTH(A87)</f>
        <v>7</v>
      </c>
      <c r="D87" s="60" t="n">
        <v>729</v>
      </c>
      <c r="E87" s="61" t="n">
        <v>1.1744</v>
      </c>
      <c r="F87" s="61" t="n">
        <v>1.0282</v>
      </c>
      <c r="G87" s="61" t="n">
        <v>0</v>
      </c>
      <c r="H87" s="60" t="n">
        <v>7.25</v>
      </c>
      <c r="I87" s="60" t="n">
        <f aca="false">H87+'Level 4'!$C$12/100*I86</f>
        <v>7.25</v>
      </c>
      <c r="J87" s="60" t="n">
        <v>71.45</v>
      </c>
      <c r="K87" s="60" t="n">
        <v>29.24</v>
      </c>
      <c r="L87" s="60" t="n">
        <v>5.4</v>
      </c>
      <c r="M87" s="60" t="n">
        <f aca="false">L87+Answers!$C$14/100*M86</f>
        <v>58.2924250094924</v>
      </c>
      <c r="N87" s="60" t="n">
        <v>0</v>
      </c>
      <c r="O87" s="60" t="n">
        <v>0</v>
      </c>
      <c r="P87" s="60" t="n">
        <v>0</v>
      </c>
      <c r="Q87" s="60" t="n">
        <v>0</v>
      </c>
      <c r="R87" s="60" t="n">
        <v>6.52</v>
      </c>
      <c r="S87" s="60" t="n">
        <f aca="false">N87+Answers!$C$16/100*S86</f>
        <v>124.04756794223</v>
      </c>
      <c r="T87" s="60" t="n">
        <f aca="false">O87+Answers!$C$17/100*T86</f>
        <v>55.1810453048543</v>
      </c>
      <c r="U87" s="60" t="n">
        <f aca="false">P87+Answers!$C$18/100*U86</f>
        <v>64.1812612932435</v>
      </c>
      <c r="V87" s="60" t="n">
        <f aca="false">Q87+Answers!$C$19/100*V86</f>
        <v>106.411530714395</v>
      </c>
      <c r="W87" s="60" t="n">
        <f aca="false">R87+Answers!$C$20/100*W86</f>
        <v>416.899285038409</v>
      </c>
      <c r="X87" s="60" t="n">
        <f aca="false">IF('Level 1'!$C$11="",0,'Level 1'!$C$11)*E87</f>
        <v>0</v>
      </c>
      <c r="Y87" s="60" t="n">
        <f aca="false">-IF('Level 2'!$C$11="",0,'Level 2'!$C$11)*F87</f>
        <v>-0</v>
      </c>
      <c r="Z87" s="60" t="n">
        <f aca="false">IF('Level 3'!$C$11="",0,'Level 3'!$C$11)*G87</f>
        <v>0</v>
      </c>
      <c r="AA87" s="60" t="n">
        <f aca="false">IF('Level 4'!$C$11="",0,'Level 4'!$C$11)*(1-'Level 4'!$C$12/100)*I87</f>
        <v>0</v>
      </c>
      <c r="AB87" s="60" t="n">
        <f aca="false">IF('Level 5'!$C$11="",0,'Level 5'!$C$11)*J87</f>
        <v>0</v>
      </c>
      <c r="AC87" s="60" t="n">
        <f aca="false">IF('Level 5'!$C$12="",0,'Level 5'!$C$12)*K87</f>
        <v>0</v>
      </c>
      <c r="AD87" s="60" t="n">
        <f aca="false">IF('Level 5'!$C$13="",0,'Level 5'!$C$13)*(1-Answers!$C$14/100)*M87</f>
        <v>0</v>
      </c>
      <c r="AE87" s="60" t="n">
        <f aca="false">IF('Level 6'!$C$11="",0,'Level 6'!$C$11)*(1-Answers!$C$16/100)*S87</f>
        <v>0</v>
      </c>
      <c r="AF87" s="60" t="n">
        <f aca="false">IF('Level 6'!$C$12="",0,'Level 6'!$C$12)*(1-Answers!$C$17/100)*T87</f>
        <v>0</v>
      </c>
      <c r="AG87" s="60" t="n">
        <f aca="false">IF('Level 6'!$C$13="",0,'Level 6'!$C$13)*(1-Answers!$C$18/100)*U87</f>
        <v>0</v>
      </c>
      <c r="AH87" s="60" t="n">
        <f aca="false">IF('Level 6'!$C$14="",0,'Level 6'!$C$14)*(1-Answers!$C$19/100)*V87</f>
        <v>0</v>
      </c>
      <c r="AI87" s="60" t="n">
        <f aca="false">IF('Level 6'!$C$15="",0,'Level 6'!$C$15)*(1-Answers!$C$20/100)*W87</f>
        <v>0</v>
      </c>
      <c r="AJ87" s="60" t="n">
        <f aca="false">X87</f>
        <v>0</v>
      </c>
      <c r="AK87" s="60" t="n">
        <f aca="false">X87+Y87</f>
        <v>0</v>
      </c>
      <c r="AL87" s="60" t="n">
        <f aca="false">AK87+Z87</f>
        <v>0</v>
      </c>
      <c r="AM87" s="60" t="n">
        <f aca="false">AL87+AA87</f>
        <v>0</v>
      </c>
      <c r="AN87" s="60" t="n">
        <f aca="false">AM87+AB87+AC87+AD87</f>
        <v>0</v>
      </c>
      <c r="AO87" s="60" t="n">
        <f aca="false">AL87+AE87+AF87+AG87+AH87+AI87+AB87+AC87+AD87</f>
        <v>0</v>
      </c>
      <c r="AP87" s="60" t="n">
        <f aca="false">IF(Answers!$C$22="Yes",AO87,AN87)</f>
        <v>0</v>
      </c>
      <c r="AQ87" s="60" t="n">
        <v>1028.4</v>
      </c>
      <c r="AR87" s="60" t="n">
        <v>-979.3</v>
      </c>
      <c r="AS87" s="60" t="n">
        <v>0</v>
      </c>
      <c r="AT87" s="60" t="n">
        <v>2601</v>
      </c>
      <c r="AU87" s="60" t="n">
        <v>250.5</v>
      </c>
      <c r="AV87" s="60" t="n">
        <v>107</v>
      </c>
      <c r="AW87" s="60" t="n">
        <v>3</v>
      </c>
      <c r="AX87" s="60" t="n">
        <v>565.7</v>
      </c>
      <c r="AY87" s="60" t="n">
        <v>218.5</v>
      </c>
      <c r="AZ87" s="60" t="n">
        <v>291.4</v>
      </c>
      <c r="BA87" s="60" t="n">
        <v>123.7</v>
      </c>
      <c r="BB87" s="60" t="n">
        <v>1401.7</v>
      </c>
      <c r="BC87" s="60" t="n">
        <f aca="false">AQ87+AR87+AS87+AT87+AU87+AV87+AW87</f>
        <v>3010.6</v>
      </c>
      <c r="BD87" s="60" t="n">
        <f aca="false">AQ87</f>
        <v>1028.4</v>
      </c>
      <c r="BE87" s="60" t="n">
        <f aca="false">AQ87+AR87</f>
        <v>49.1000000000001</v>
      </c>
      <c r="BF87" s="60" t="n">
        <f aca="false">BE87+AS87</f>
        <v>49.1000000000001</v>
      </c>
      <c r="BG87" s="60" t="n">
        <f aca="false">BF87+AT87</f>
        <v>2650.1</v>
      </c>
      <c r="BH87" s="60" t="n">
        <f aca="false">BG87+AU87+AV87+AW87</f>
        <v>3010.6</v>
      </c>
      <c r="BI87" s="60" t="n">
        <f aca="false">BC87</f>
        <v>3010.6</v>
      </c>
      <c r="BJ87" s="60" t="n">
        <f aca="false">IF('Level 1'!$C$31="Yes",BD87,AJ87)</f>
        <v>0</v>
      </c>
      <c r="BK87" s="60" t="n">
        <f aca="false">IF('Level 2'!$C$31="Yes",BE87,AK87)</f>
        <v>0</v>
      </c>
      <c r="BL87" s="60" t="n">
        <f aca="false">IF('Level 3'!$C$31="Yes",BF87,AL87)</f>
        <v>0</v>
      </c>
      <c r="BM87" s="60" t="n">
        <f aca="false">IF('Level 4'!$C$31="Yes",BG87,AM87)</f>
        <v>0</v>
      </c>
      <c r="BN87" s="60" t="n">
        <f aca="false">IF('Level 5'!$C$31="Yes",BH87,AN87)</f>
        <v>0</v>
      </c>
      <c r="BO87" s="60" t="n">
        <f aca="false">IF('Level 6'!$C$31="Yes",BI87,AO87)</f>
        <v>0</v>
      </c>
      <c r="BP87" s="60" t="n">
        <f aca="false">IF('Level 7'!$C$31="Yes",BC87,AP87)</f>
        <v>0</v>
      </c>
      <c r="BQ87" s="60" t="n">
        <f aca="false">D87-AP87</f>
        <v>729</v>
      </c>
      <c r="BR87" s="60" t="n">
        <f aca="false">BQ87^2</f>
        <v>531441</v>
      </c>
      <c r="BS87" s="60" t="n">
        <f aca="false">(BQ87-BQ86)^2</f>
        <v>980100</v>
      </c>
      <c r="BT87" s="60" t="str">
        <f aca="false">IF(D87&gt;2000,ABS(BQ87)/D87,"")</f>
        <v/>
      </c>
      <c r="BU87" s="60" t="n">
        <v>108</v>
      </c>
      <c r="BV87" s="62" t="n">
        <v>0.5515</v>
      </c>
      <c r="BW87" s="60" t="n">
        <v>287.4</v>
      </c>
      <c r="BX87" s="60" t="n">
        <f aca="false">AA87</f>
        <v>0</v>
      </c>
      <c r="BY87" s="60" t="n">
        <f aca="false">H87</f>
        <v>7.25</v>
      </c>
      <c r="BZ87" s="60" t="n">
        <f aca="false">Z87</f>
        <v>0</v>
      </c>
      <c r="CA87" s="60" t="n">
        <f aca="false">AB87+AC87+AD87</f>
        <v>0</v>
      </c>
      <c r="CB87" s="60" t="n">
        <f aca="false">AE87+AF87+AG87+AH87+AI87</f>
        <v>0</v>
      </c>
    </row>
    <row r="88" customFormat="false" ht="15" hidden="false" customHeight="false" outlineLevel="0" collapsed="false">
      <c r="A88" s="58" t="n">
        <v>45508</v>
      </c>
      <c r="B88" s="59" t="n">
        <f aca="false">YEAR(A88)</f>
        <v>2024</v>
      </c>
      <c r="C88" s="59" t="n">
        <f aca="false">MONTH(A88)</f>
        <v>8</v>
      </c>
      <c r="D88" s="60" t="n">
        <v>249</v>
      </c>
      <c r="E88" s="61" t="n">
        <v>1.1961</v>
      </c>
      <c r="F88" s="61" t="n">
        <v>2.5857</v>
      </c>
      <c r="G88" s="61" t="n">
        <v>0</v>
      </c>
      <c r="H88" s="60" t="n">
        <v>2.48</v>
      </c>
      <c r="I88" s="60" t="n">
        <f aca="false">H88+'Level 4'!$C$12/100*I87</f>
        <v>2.48</v>
      </c>
      <c r="J88" s="60" t="n">
        <v>43.18</v>
      </c>
      <c r="K88" s="60" t="n">
        <v>13.21</v>
      </c>
      <c r="L88" s="60" t="n">
        <v>4.98</v>
      </c>
      <c r="M88" s="60" t="n">
        <f aca="false">L88+Answers!$C$14/100*M87</f>
        <v>39.9554550056954</v>
      </c>
      <c r="N88" s="60" t="n">
        <v>0</v>
      </c>
      <c r="O88" s="60" t="n">
        <v>0</v>
      </c>
      <c r="P88" s="60" t="n">
        <v>0</v>
      </c>
      <c r="Q88" s="60" t="n">
        <v>0</v>
      </c>
      <c r="R88" s="60" t="n">
        <v>2.23</v>
      </c>
      <c r="S88" s="60" t="n">
        <f aca="false">N88+Answers!$C$16/100*S87</f>
        <v>99.2380543537838</v>
      </c>
      <c r="T88" s="60" t="n">
        <f aca="false">O88+Answers!$C$17/100*T87</f>
        <v>44.1448362438835</v>
      </c>
      <c r="U88" s="60" t="n">
        <f aca="false">P88+Answers!$C$18/100*U87</f>
        <v>51.3450090345948</v>
      </c>
      <c r="V88" s="60" t="n">
        <f aca="false">Q88+Answers!$C$19/100*V87</f>
        <v>85.1292245715162</v>
      </c>
      <c r="W88" s="60" t="n">
        <f aca="false">R88+Answers!$C$20/100*W87</f>
        <v>335.749428030727</v>
      </c>
      <c r="X88" s="60" t="n">
        <f aca="false">IF('Level 1'!$C$11="",0,'Level 1'!$C$11)*E88</f>
        <v>0</v>
      </c>
      <c r="Y88" s="60" t="n">
        <f aca="false">-IF('Level 2'!$C$11="",0,'Level 2'!$C$11)*F88</f>
        <v>-0</v>
      </c>
      <c r="Z88" s="60" t="n">
        <f aca="false">IF('Level 3'!$C$11="",0,'Level 3'!$C$11)*G88</f>
        <v>0</v>
      </c>
      <c r="AA88" s="60" t="n">
        <f aca="false">IF('Level 4'!$C$11="",0,'Level 4'!$C$11)*(1-'Level 4'!$C$12/100)*I88</f>
        <v>0</v>
      </c>
      <c r="AB88" s="60" t="n">
        <f aca="false">IF('Level 5'!$C$11="",0,'Level 5'!$C$11)*J88</f>
        <v>0</v>
      </c>
      <c r="AC88" s="60" t="n">
        <f aca="false">IF('Level 5'!$C$12="",0,'Level 5'!$C$12)*K88</f>
        <v>0</v>
      </c>
      <c r="AD88" s="60" t="n">
        <f aca="false">IF('Level 5'!$C$13="",0,'Level 5'!$C$13)*(1-Answers!$C$14/100)*M88</f>
        <v>0</v>
      </c>
      <c r="AE88" s="60" t="n">
        <f aca="false">IF('Level 6'!$C$11="",0,'Level 6'!$C$11)*(1-Answers!$C$16/100)*S88</f>
        <v>0</v>
      </c>
      <c r="AF88" s="60" t="n">
        <f aca="false">IF('Level 6'!$C$12="",0,'Level 6'!$C$12)*(1-Answers!$C$17/100)*T88</f>
        <v>0</v>
      </c>
      <c r="AG88" s="60" t="n">
        <f aca="false">IF('Level 6'!$C$13="",0,'Level 6'!$C$13)*(1-Answers!$C$18/100)*U88</f>
        <v>0</v>
      </c>
      <c r="AH88" s="60" t="n">
        <f aca="false">IF('Level 6'!$C$14="",0,'Level 6'!$C$14)*(1-Answers!$C$19/100)*V88</f>
        <v>0</v>
      </c>
      <c r="AI88" s="60" t="n">
        <f aca="false">IF('Level 6'!$C$15="",0,'Level 6'!$C$15)*(1-Answers!$C$20/100)*W88</f>
        <v>0</v>
      </c>
      <c r="AJ88" s="60" t="n">
        <f aca="false">X88</f>
        <v>0</v>
      </c>
      <c r="AK88" s="60" t="n">
        <f aca="false">X88+Y88</f>
        <v>0</v>
      </c>
      <c r="AL88" s="60" t="n">
        <f aca="false">AK88+Z88</f>
        <v>0</v>
      </c>
      <c r="AM88" s="60" t="n">
        <f aca="false">AL88+AA88</f>
        <v>0</v>
      </c>
      <c r="AN88" s="60" t="n">
        <f aca="false">AM88+AB88+AC88+AD88</f>
        <v>0</v>
      </c>
      <c r="AO88" s="60" t="n">
        <f aca="false">AL88+AE88+AF88+AG88+AH88+AI88+AB88+AC88+AD88</f>
        <v>0</v>
      </c>
      <c r="AP88" s="60" t="n">
        <f aca="false">IF(Answers!$C$22="Yes",AO88,AN88)</f>
        <v>0</v>
      </c>
      <c r="AQ88" s="60" t="n">
        <v>1047.4</v>
      </c>
      <c r="AR88" s="60" t="n">
        <v>-2462.7</v>
      </c>
      <c r="AS88" s="60" t="n">
        <v>0</v>
      </c>
      <c r="AT88" s="60" t="n">
        <v>2223.7</v>
      </c>
      <c r="AU88" s="60" t="n">
        <v>133.9</v>
      </c>
      <c r="AV88" s="60" t="n">
        <v>48.3</v>
      </c>
      <c r="AW88" s="60" t="n">
        <v>2</v>
      </c>
      <c r="AX88" s="60" t="n">
        <v>480.9</v>
      </c>
      <c r="AY88" s="60" t="n">
        <v>185.7</v>
      </c>
      <c r="AZ88" s="60" t="n">
        <v>247.7</v>
      </c>
      <c r="BA88" s="60" t="n">
        <v>105.2</v>
      </c>
      <c r="BB88" s="60" t="n">
        <v>1204.3</v>
      </c>
      <c r="BC88" s="60" t="n">
        <f aca="false">AQ88+AR88+AS88+AT88+AU88+AV88+AW88</f>
        <v>992.6</v>
      </c>
      <c r="BD88" s="60" t="n">
        <f aca="false">AQ88</f>
        <v>1047.4</v>
      </c>
      <c r="BE88" s="60" t="n">
        <f aca="false">AQ88+AR88</f>
        <v>-1415.3</v>
      </c>
      <c r="BF88" s="60" t="n">
        <f aca="false">BE88+AS88</f>
        <v>-1415.3</v>
      </c>
      <c r="BG88" s="60" t="n">
        <f aca="false">BF88+AT88</f>
        <v>808.4</v>
      </c>
      <c r="BH88" s="60" t="n">
        <f aca="false">BG88+AU88+AV88+AW88</f>
        <v>992.6</v>
      </c>
      <c r="BI88" s="60" t="n">
        <f aca="false">BC88</f>
        <v>992.6</v>
      </c>
      <c r="BJ88" s="60" t="n">
        <f aca="false">IF('Level 1'!$C$31="Yes",BD88,AJ88)</f>
        <v>0</v>
      </c>
      <c r="BK88" s="60" t="n">
        <f aca="false">IF('Level 2'!$C$31="Yes",BE88,AK88)</f>
        <v>0</v>
      </c>
      <c r="BL88" s="60" t="n">
        <f aca="false">IF('Level 3'!$C$31="Yes",BF88,AL88)</f>
        <v>0</v>
      </c>
      <c r="BM88" s="60" t="n">
        <f aca="false">IF('Level 4'!$C$31="Yes",BG88,AM88)</f>
        <v>0</v>
      </c>
      <c r="BN88" s="60" t="n">
        <f aca="false">IF('Level 5'!$C$31="Yes",BH88,AN88)</f>
        <v>0</v>
      </c>
      <c r="BO88" s="60" t="n">
        <f aca="false">IF('Level 6'!$C$31="Yes",BI88,AO88)</f>
        <v>0</v>
      </c>
      <c r="BP88" s="60" t="n">
        <f aca="false">IF('Level 7'!$C$31="Yes",BC88,AP88)</f>
        <v>0</v>
      </c>
      <c r="BQ88" s="60" t="n">
        <f aca="false">D88-AP88</f>
        <v>249</v>
      </c>
      <c r="BR88" s="60" t="n">
        <f aca="false">BQ88^2</f>
        <v>62001</v>
      </c>
      <c r="BS88" s="60" t="n">
        <f aca="false">(BQ88-BQ87)^2</f>
        <v>230400</v>
      </c>
      <c r="BT88" s="60" t="str">
        <f aca="false">IF(D88&gt;2000,ABS(BQ88)/D88,"")</f>
        <v/>
      </c>
      <c r="BU88" s="60" t="n">
        <v>98</v>
      </c>
      <c r="BV88" s="62" t="n">
        <v>0.5513</v>
      </c>
      <c r="BW88" s="60" t="n">
        <v>145.7</v>
      </c>
      <c r="BX88" s="60" t="n">
        <f aca="false">AA88</f>
        <v>0</v>
      </c>
      <c r="BY88" s="60" t="n">
        <f aca="false">H88</f>
        <v>2.48</v>
      </c>
      <c r="BZ88" s="60" t="n">
        <f aca="false">Z88</f>
        <v>0</v>
      </c>
      <c r="CA88" s="60" t="n">
        <f aca="false">AB88+AC88+AD88</f>
        <v>0</v>
      </c>
      <c r="CB88" s="60" t="n">
        <f aca="false">AE88+AF88+AG88+AH88+AI88</f>
        <v>0</v>
      </c>
    </row>
    <row r="89" customFormat="false" ht="15" hidden="false" customHeight="false" outlineLevel="0" collapsed="false">
      <c r="A89" s="58" t="n">
        <v>45515</v>
      </c>
      <c r="B89" s="59" t="n">
        <f aca="false">YEAR(A89)</f>
        <v>2024</v>
      </c>
      <c r="C89" s="59" t="n">
        <f aca="false">MONTH(A89)</f>
        <v>8</v>
      </c>
      <c r="D89" s="60" t="n">
        <v>175</v>
      </c>
      <c r="E89" s="61" t="n">
        <v>1.1538</v>
      </c>
      <c r="F89" s="61" t="n">
        <v>2.5857</v>
      </c>
      <c r="G89" s="61" t="n">
        <v>0</v>
      </c>
      <c r="H89" s="60" t="n">
        <v>2.34</v>
      </c>
      <c r="I89" s="60" t="n">
        <f aca="false">H89+'Level 4'!$C$12/100*I88</f>
        <v>2.34</v>
      </c>
      <c r="J89" s="60" t="n">
        <v>22.15</v>
      </c>
      <c r="K89" s="60" t="n">
        <v>8.47</v>
      </c>
      <c r="L89" s="60" t="n">
        <v>4.79</v>
      </c>
      <c r="M89" s="60" t="n">
        <f aca="false">L89+Answers!$C$14/100*M88</f>
        <v>28.7632730034172</v>
      </c>
      <c r="N89" s="60" t="n">
        <v>0</v>
      </c>
      <c r="O89" s="60" t="n">
        <v>0</v>
      </c>
      <c r="P89" s="60" t="n">
        <v>0</v>
      </c>
      <c r="Q89" s="60" t="n">
        <v>0</v>
      </c>
      <c r="R89" s="60" t="n">
        <v>2.16</v>
      </c>
      <c r="S89" s="60" t="n">
        <f aca="false">N89+Answers!$C$16/100*S88</f>
        <v>79.3904434830271</v>
      </c>
      <c r="T89" s="60" t="n">
        <f aca="false">O89+Answers!$C$17/100*T88</f>
        <v>35.3158689951068</v>
      </c>
      <c r="U89" s="60" t="n">
        <f aca="false">P89+Answers!$C$18/100*U88</f>
        <v>41.0760072276758</v>
      </c>
      <c r="V89" s="60" t="n">
        <f aca="false">Q89+Answers!$C$19/100*V88</f>
        <v>68.1033796572129</v>
      </c>
      <c r="W89" s="60" t="n">
        <f aca="false">R89+Answers!$C$20/100*W88</f>
        <v>270.759542424582</v>
      </c>
      <c r="X89" s="60" t="n">
        <f aca="false">IF('Level 1'!$C$11="",0,'Level 1'!$C$11)*E89</f>
        <v>0</v>
      </c>
      <c r="Y89" s="60" t="n">
        <f aca="false">-IF('Level 2'!$C$11="",0,'Level 2'!$C$11)*F89</f>
        <v>-0</v>
      </c>
      <c r="Z89" s="60" t="n">
        <f aca="false">IF('Level 3'!$C$11="",0,'Level 3'!$C$11)*G89</f>
        <v>0</v>
      </c>
      <c r="AA89" s="60" t="n">
        <f aca="false">IF('Level 4'!$C$11="",0,'Level 4'!$C$11)*(1-'Level 4'!$C$12/100)*I89</f>
        <v>0</v>
      </c>
      <c r="AB89" s="60" t="n">
        <f aca="false">IF('Level 5'!$C$11="",0,'Level 5'!$C$11)*J89</f>
        <v>0</v>
      </c>
      <c r="AC89" s="60" t="n">
        <f aca="false">IF('Level 5'!$C$12="",0,'Level 5'!$C$12)*K89</f>
        <v>0</v>
      </c>
      <c r="AD89" s="60" t="n">
        <f aca="false">IF('Level 5'!$C$13="",0,'Level 5'!$C$13)*(1-Answers!$C$14/100)*M89</f>
        <v>0</v>
      </c>
      <c r="AE89" s="60" t="n">
        <f aca="false">IF('Level 6'!$C$11="",0,'Level 6'!$C$11)*(1-Answers!$C$16/100)*S89</f>
        <v>0</v>
      </c>
      <c r="AF89" s="60" t="n">
        <f aca="false">IF('Level 6'!$C$12="",0,'Level 6'!$C$12)*(1-Answers!$C$17/100)*T89</f>
        <v>0</v>
      </c>
      <c r="AG89" s="60" t="n">
        <f aca="false">IF('Level 6'!$C$13="",0,'Level 6'!$C$13)*(1-Answers!$C$18/100)*U89</f>
        <v>0</v>
      </c>
      <c r="AH89" s="60" t="n">
        <f aca="false">IF('Level 6'!$C$14="",0,'Level 6'!$C$14)*(1-Answers!$C$19/100)*V89</f>
        <v>0</v>
      </c>
      <c r="AI89" s="60" t="n">
        <f aca="false">IF('Level 6'!$C$15="",0,'Level 6'!$C$15)*(1-Answers!$C$20/100)*W89</f>
        <v>0</v>
      </c>
      <c r="AJ89" s="60" t="n">
        <f aca="false">X89</f>
        <v>0</v>
      </c>
      <c r="AK89" s="60" t="n">
        <f aca="false">X89+Y89</f>
        <v>0</v>
      </c>
      <c r="AL89" s="60" t="n">
        <f aca="false">AK89+Z89</f>
        <v>0</v>
      </c>
      <c r="AM89" s="60" t="n">
        <f aca="false">AL89+AA89</f>
        <v>0</v>
      </c>
      <c r="AN89" s="60" t="n">
        <f aca="false">AM89+AB89+AC89+AD89</f>
        <v>0</v>
      </c>
      <c r="AO89" s="60" t="n">
        <f aca="false">AL89+AE89+AF89+AG89+AH89+AI89+AB89+AC89+AD89</f>
        <v>0</v>
      </c>
      <c r="AP89" s="60" t="n">
        <f aca="false">IF(Answers!$C$22="Yes",AO89,AN89)</f>
        <v>0</v>
      </c>
      <c r="AQ89" s="60" t="n">
        <v>1010.3</v>
      </c>
      <c r="AR89" s="60" t="n">
        <v>-2462.7</v>
      </c>
      <c r="AS89" s="60" t="n">
        <v>0</v>
      </c>
      <c r="AT89" s="60" t="n">
        <v>1908.2</v>
      </c>
      <c r="AU89" s="60" t="n">
        <v>49.1</v>
      </c>
      <c r="AV89" s="60" t="n">
        <v>31</v>
      </c>
      <c r="AW89" s="60" t="n">
        <v>1.3</v>
      </c>
      <c r="AX89" s="60" t="n">
        <v>408.7</v>
      </c>
      <c r="AY89" s="60" t="n">
        <v>157.9</v>
      </c>
      <c r="AZ89" s="60" t="n">
        <v>210.5</v>
      </c>
      <c r="BA89" s="60" t="n">
        <v>89.4</v>
      </c>
      <c r="BB89" s="60" t="n">
        <v>1041.7</v>
      </c>
      <c r="BC89" s="60" t="n">
        <f aca="false">AQ89+AR89+AS89+AT89+AU89+AV89+AW89</f>
        <v>537.2</v>
      </c>
      <c r="BD89" s="60" t="n">
        <f aca="false">AQ89</f>
        <v>1010.3</v>
      </c>
      <c r="BE89" s="60" t="n">
        <f aca="false">AQ89+AR89</f>
        <v>-1452.4</v>
      </c>
      <c r="BF89" s="60" t="n">
        <f aca="false">BE89+AS89</f>
        <v>-1452.4</v>
      </c>
      <c r="BG89" s="60" t="n">
        <f aca="false">BF89+AT89</f>
        <v>455.8</v>
      </c>
      <c r="BH89" s="60" t="n">
        <f aca="false">BG89+AU89+AV89+AW89</f>
        <v>537.2</v>
      </c>
      <c r="BI89" s="60" t="n">
        <f aca="false">BC89</f>
        <v>537.2</v>
      </c>
      <c r="BJ89" s="60" t="n">
        <f aca="false">IF('Level 1'!$C$31="Yes",BD89,AJ89)</f>
        <v>0</v>
      </c>
      <c r="BK89" s="60" t="n">
        <f aca="false">IF('Level 2'!$C$31="Yes",BE89,AK89)</f>
        <v>0</v>
      </c>
      <c r="BL89" s="60" t="n">
        <f aca="false">IF('Level 3'!$C$31="Yes",BF89,AL89)</f>
        <v>0</v>
      </c>
      <c r="BM89" s="60" t="n">
        <f aca="false">IF('Level 4'!$C$31="Yes",BG89,AM89)</f>
        <v>0</v>
      </c>
      <c r="BN89" s="60" t="n">
        <f aca="false">IF('Level 5'!$C$31="Yes",BH89,AN89)</f>
        <v>0</v>
      </c>
      <c r="BO89" s="60" t="n">
        <f aca="false">IF('Level 6'!$C$31="Yes",BI89,AO89)</f>
        <v>0</v>
      </c>
      <c r="BP89" s="60" t="n">
        <f aca="false">IF('Level 7'!$C$31="Yes",BC89,AP89)</f>
        <v>0</v>
      </c>
      <c r="BQ89" s="60" t="n">
        <f aca="false">D89-AP89</f>
        <v>175</v>
      </c>
      <c r="BR89" s="60" t="n">
        <f aca="false">BQ89^2</f>
        <v>30625</v>
      </c>
      <c r="BS89" s="60" t="n">
        <f aca="false">(BQ89-BQ88)^2</f>
        <v>5476</v>
      </c>
      <c r="BT89" s="60" t="str">
        <f aca="false">IF(D89&gt;2000,ABS(BQ89)/D89,"")</f>
        <v/>
      </c>
      <c r="BU89" s="60" t="n">
        <v>63</v>
      </c>
      <c r="BV89" s="62" t="n">
        <v>0.5513</v>
      </c>
      <c r="BW89" s="60" t="n">
        <v>121</v>
      </c>
      <c r="BX89" s="60" t="n">
        <f aca="false">AA89</f>
        <v>0</v>
      </c>
      <c r="BY89" s="60" t="n">
        <f aca="false">H89</f>
        <v>2.34</v>
      </c>
      <c r="BZ89" s="60" t="n">
        <f aca="false">Z89</f>
        <v>0</v>
      </c>
      <c r="CA89" s="60" t="n">
        <f aca="false">AB89+AC89+AD89</f>
        <v>0</v>
      </c>
      <c r="CB89" s="60" t="n">
        <f aca="false">AE89+AF89+AG89+AH89+AI89</f>
        <v>0</v>
      </c>
    </row>
    <row r="90" customFormat="false" ht="15" hidden="false" customHeight="false" outlineLevel="0" collapsed="false">
      <c r="A90" s="58" t="n">
        <v>45522</v>
      </c>
      <c r="B90" s="59" t="n">
        <f aca="false">YEAR(A90)</f>
        <v>2024</v>
      </c>
      <c r="C90" s="59" t="n">
        <f aca="false">MONTH(A90)</f>
        <v>8</v>
      </c>
      <c r="D90" s="60" t="n">
        <v>132</v>
      </c>
      <c r="E90" s="61" t="n">
        <v>1.063</v>
      </c>
      <c r="F90" s="61" t="n">
        <v>2.5857</v>
      </c>
      <c r="G90" s="61" t="n">
        <v>0</v>
      </c>
      <c r="H90" s="60" t="n">
        <v>2.34</v>
      </c>
      <c r="I90" s="60" t="n">
        <f aca="false">H90+'Level 4'!$C$12/100*I89</f>
        <v>2.34</v>
      </c>
      <c r="J90" s="60" t="n">
        <v>24.03</v>
      </c>
      <c r="K90" s="60" t="n">
        <v>9.13</v>
      </c>
      <c r="L90" s="60" t="n">
        <v>4.76</v>
      </c>
      <c r="M90" s="60" t="n">
        <f aca="false">L90+Answers!$C$14/100*M89</f>
        <v>22.0179638020503</v>
      </c>
      <c r="N90" s="60" t="n">
        <v>0</v>
      </c>
      <c r="O90" s="60" t="n">
        <v>0</v>
      </c>
      <c r="P90" s="60" t="n">
        <v>0</v>
      </c>
      <c r="Q90" s="60" t="n">
        <v>0</v>
      </c>
      <c r="R90" s="60" t="n">
        <v>2.21</v>
      </c>
      <c r="S90" s="60" t="n">
        <f aca="false">N90+Answers!$C$16/100*S89</f>
        <v>63.5123547864216</v>
      </c>
      <c r="T90" s="60" t="n">
        <f aca="false">O90+Answers!$C$17/100*T89</f>
        <v>28.2526951960854</v>
      </c>
      <c r="U90" s="60" t="n">
        <f aca="false">P90+Answers!$C$18/100*U89</f>
        <v>32.8608057821407</v>
      </c>
      <c r="V90" s="60" t="n">
        <f aca="false">Q90+Answers!$C$19/100*V89</f>
        <v>54.4827037257703</v>
      </c>
      <c r="W90" s="60" t="n">
        <f aca="false">R90+Answers!$C$20/100*W89</f>
        <v>218.817633939665</v>
      </c>
      <c r="X90" s="60" t="n">
        <f aca="false">IF('Level 1'!$C$11="",0,'Level 1'!$C$11)*E90</f>
        <v>0</v>
      </c>
      <c r="Y90" s="60" t="n">
        <f aca="false">-IF('Level 2'!$C$11="",0,'Level 2'!$C$11)*F90</f>
        <v>-0</v>
      </c>
      <c r="Z90" s="60" t="n">
        <f aca="false">IF('Level 3'!$C$11="",0,'Level 3'!$C$11)*G90</f>
        <v>0</v>
      </c>
      <c r="AA90" s="60" t="n">
        <f aca="false">IF('Level 4'!$C$11="",0,'Level 4'!$C$11)*(1-'Level 4'!$C$12/100)*I90</f>
        <v>0</v>
      </c>
      <c r="AB90" s="60" t="n">
        <f aca="false">IF('Level 5'!$C$11="",0,'Level 5'!$C$11)*J90</f>
        <v>0</v>
      </c>
      <c r="AC90" s="60" t="n">
        <f aca="false">IF('Level 5'!$C$12="",0,'Level 5'!$C$12)*K90</f>
        <v>0</v>
      </c>
      <c r="AD90" s="60" t="n">
        <f aca="false">IF('Level 5'!$C$13="",0,'Level 5'!$C$13)*(1-Answers!$C$14/100)*M90</f>
        <v>0</v>
      </c>
      <c r="AE90" s="60" t="n">
        <f aca="false">IF('Level 6'!$C$11="",0,'Level 6'!$C$11)*(1-Answers!$C$16/100)*S90</f>
        <v>0</v>
      </c>
      <c r="AF90" s="60" t="n">
        <f aca="false">IF('Level 6'!$C$12="",0,'Level 6'!$C$12)*(1-Answers!$C$17/100)*T90</f>
        <v>0</v>
      </c>
      <c r="AG90" s="60" t="n">
        <f aca="false">IF('Level 6'!$C$13="",0,'Level 6'!$C$13)*(1-Answers!$C$18/100)*U90</f>
        <v>0</v>
      </c>
      <c r="AH90" s="60" t="n">
        <f aca="false">IF('Level 6'!$C$14="",0,'Level 6'!$C$14)*(1-Answers!$C$19/100)*V90</f>
        <v>0</v>
      </c>
      <c r="AI90" s="60" t="n">
        <f aca="false">IF('Level 6'!$C$15="",0,'Level 6'!$C$15)*(1-Answers!$C$20/100)*W90</f>
        <v>0</v>
      </c>
      <c r="AJ90" s="60" t="n">
        <f aca="false">X90</f>
        <v>0</v>
      </c>
      <c r="AK90" s="60" t="n">
        <f aca="false">X90+Y90</f>
        <v>0</v>
      </c>
      <c r="AL90" s="60" t="n">
        <f aca="false">AK90+Z90</f>
        <v>0</v>
      </c>
      <c r="AM90" s="60" t="n">
        <f aca="false">AL90+AA90</f>
        <v>0</v>
      </c>
      <c r="AN90" s="60" t="n">
        <f aca="false">AM90+AB90+AC90+AD90</f>
        <v>0</v>
      </c>
      <c r="AO90" s="60" t="n">
        <f aca="false">AL90+AE90+AF90+AG90+AH90+AI90+AB90+AC90+AD90</f>
        <v>0</v>
      </c>
      <c r="AP90" s="60" t="n">
        <f aca="false">IF(Answers!$C$22="Yes",AO90,AN90)</f>
        <v>0</v>
      </c>
      <c r="AQ90" s="60" t="n">
        <v>930.8</v>
      </c>
      <c r="AR90" s="60" t="n">
        <v>-2462.7</v>
      </c>
      <c r="AS90" s="60" t="n">
        <v>0</v>
      </c>
      <c r="AT90" s="60" t="n">
        <v>1645.7</v>
      </c>
      <c r="AU90" s="60" t="n">
        <v>50.5</v>
      </c>
      <c r="AV90" s="60" t="n">
        <v>33.4</v>
      </c>
      <c r="AW90" s="60" t="n">
        <v>0.8</v>
      </c>
      <c r="AX90" s="60" t="n">
        <v>347.4</v>
      </c>
      <c r="AY90" s="60" t="n">
        <v>134.2</v>
      </c>
      <c r="AZ90" s="60" t="n">
        <v>178.9</v>
      </c>
      <c r="BA90" s="60" t="n">
        <v>76</v>
      </c>
      <c r="BB90" s="60" t="n">
        <v>909.2</v>
      </c>
      <c r="BC90" s="60" t="n">
        <f aca="false">AQ90+AR90+AS90+AT90+AU90+AV90+AW90</f>
        <v>198.5</v>
      </c>
      <c r="BD90" s="60" t="n">
        <f aca="false">AQ90</f>
        <v>930.8</v>
      </c>
      <c r="BE90" s="60" t="n">
        <f aca="false">AQ90+AR90</f>
        <v>-1531.9</v>
      </c>
      <c r="BF90" s="60" t="n">
        <f aca="false">BE90+AS90</f>
        <v>-1531.9</v>
      </c>
      <c r="BG90" s="60" t="n">
        <f aca="false">BF90+AT90</f>
        <v>113.8</v>
      </c>
      <c r="BH90" s="60" t="n">
        <f aca="false">BG90+AU90+AV90+AW90</f>
        <v>198.5</v>
      </c>
      <c r="BI90" s="60" t="n">
        <f aca="false">BC90</f>
        <v>198.5</v>
      </c>
      <c r="BJ90" s="60" t="n">
        <f aca="false">IF('Level 1'!$C$31="Yes",BD90,AJ90)</f>
        <v>0</v>
      </c>
      <c r="BK90" s="60" t="n">
        <f aca="false">IF('Level 2'!$C$31="Yes",BE90,AK90)</f>
        <v>0</v>
      </c>
      <c r="BL90" s="60" t="n">
        <f aca="false">IF('Level 3'!$C$31="Yes",BF90,AL90)</f>
        <v>0</v>
      </c>
      <c r="BM90" s="60" t="n">
        <f aca="false">IF('Level 4'!$C$31="Yes",BG90,AM90)</f>
        <v>0</v>
      </c>
      <c r="BN90" s="60" t="n">
        <f aca="false">IF('Level 5'!$C$31="Yes",BH90,AN90)</f>
        <v>0</v>
      </c>
      <c r="BO90" s="60" t="n">
        <f aca="false">IF('Level 6'!$C$31="Yes",BI90,AO90)</f>
        <v>0</v>
      </c>
      <c r="BP90" s="60" t="n">
        <f aca="false">IF('Level 7'!$C$31="Yes",BC90,AP90)</f>
        <v>0</v>
      </c>
      <c r="BQ90" s="60" t="n">
        <f aca="false">D90-AP90</f>
        <v>132</v>
      </c>
      <c r="BR90" s="60" t="n">
        <f aca="false">BQ90^2</f>
        <v>17424</v>
      </c>
      <c r="BS90" s="60" t="n">
        <f aca="false">(BQ90-BQ89)^2</f>
        <v>1849</v>
      </c>
      <c r="BT90" s="60" t="str">
        <f aca="false">IF(D90&gt;2000,ABS(BQ90)/D90,"")</f>
        <v/>
      </c>
      <c r="BU90" s="60" t="n">
        <v>95</v>
      </c>
      <c r="BV90" s="62" t="n">
        <v>0.5513</v>
      </c>
      <c r="BW90" s="60" t="n">
        <v>174.2</v>
      </c>
      <c r="BX90" s="60" t="n">
        <f aca="false">AA90</f>
        <v>0</v>
      </c>
      <c r="BY90" s="60" t="n">
        <f aca="false">H90</f>
        <v>2.34</v>
      </c>
      <c r="BZ90" s="60" t="n">
        <f aca="false">Z90</f>
        <v>0</v>
      </c>
      <c r="CA90" s="60" t="n">
        <f aca="false">AB90+AC90+AD90</f>
        <v>0</v>
      </c>
      <c r="CB90" s="60" t="n">
        <f aca="false">AE90+AF90+AG90+AH90+AI90</f>
        <v>0</v>
      </c>
    </row>
    <row r="91" customFormat="false" ht="15" hidden="false" customHeight="false" outlineLevel="0" collapsed="false">
      <c r="A91" s="58" t="n">
        <v>45529</v>
      </c>
      <c r="B91" s="59" t="n">
        <f aca="false">YEAR(A91)</f>
        <v>2024</v>
      </c>
      <c r="C91" s="59" t="n">
        <f aca="false">MONTH(A91)</f>
        <v>8</v>
      </c>
      <c r="D91" s="60" t="n">
        <v>161</v>
      </c>
      <c r="E91" s="61" t="n">
        <v>0.9194</v>
      </c>
      <c r="F91" s="61" t="n">
        <v>2.5857</v>
      </c>
      <c r="G91" s="61" t="n">
        <v>0</v>
      </c>
      <c r="H91" s="60" t="n">
        <v>2.88</v>
      </c>
      <c r="I91" s="60" t="n">
        <f aca="false">H91+'Level 4'!$C$12/100*I90</f>
        <v>2.88</v>
      </c>
      <c r="J91" s="60" t="n">
        <v>22.95</v>
      </c>
      <c r="K91" s="60" t="n">
        <v>11.45</v>
      </c>
      <c r="L91" s="60" t="n">
        <v>4.64</v>
      </c>
      <c r="M91" s="60" t="n">
        <f aca="false">L91+Answers!$C$14/100*M90</f>
        <v>17.8507782812302</v>
      </c>
      <c r="N91" s="60" t="n">
        <v>0</v>
      </c>
      <c r="O91" s="60" t="n">
        <v>0</v>
      </c>
      <c r="P91" s="60" t="n">
        <v>0</v>
      </c>
      <c r="Q91" s="60" t="n">
        <v>0</v>
      </c>
      <c r="R91" s="60" t="n">
        <v>2.72</v>
      </c>
      <c r="S91" s="60" t="n">
        <f aca="false">N91+Answers!$C$16/100*S90</f>
        <v>50.8098838291373</v>
      </c>
      <c r="T91" s="60" t="n">
        <f aca="false">O91+Answers!$C$17/100*T90</f>
        <v>22.6021561568683</v>
      </c>
      <c r="U91" s="60" t="n">
        <f aca="false">P91+Answers!$C$18/100*U90</f>
        <v>26.2886446257125</v>
      </c>
      <c r="V91" s="60" t="n">
        <f aca="false">Q91+Answers!$C$19/100*V90</f>
        <v>43.5861629806163</v>
      </c>
      <c r="W91" s="60" t="n">
        <f aca="false">R91+Answers!$C$20/100*W90</f>
        <v>177.774107151732</v>
      </c>
      <c r="X91" s="60" t="n">
        <f aca="false">IF('Level 1'!$C$11="",0,'Level 1'!$C$11)*E91</f>
        <v>0</v>
      </c>
      <c r="Y91" s="60" t="n">
        <f aca="false">-IF('Level 2'!$C$11="",0,'Level 2'!$C$11)*F91</f>
        <v>-0</v>
      </c>
      <c r="Z91" s="60" t="n">
        <f aca="false">IF('Level 3'!$C$11="",0,'Level 3'!$C$11)*G91</f>
        <v>0</v>
      </c>
      <c r="AA91" s="60" t="n">
        <f aca="false">IF('Level 4'!$C$11="",0,'Level 4'!$C$11)*(1-'Level 4'!$C$12/100)*I91</f>
        <v>0</v>
      </c>
      <c r="AB91" s="60" t="n">
        <f aca="false">IF('Level 5'!$C$11="",0,'Level 5'!$C$11)*J91</f>
        <v>0</v>
      </c>
      <c r="AC91" s="60" t="n">
        <f aca="false">IF('Level 5'!$C$12="",0,'Level 5'!$C$12)*K91</f>
        <v>0</v>
      </c>
      <c r="AD91" s="60" t="n">
        <f aca="false">IF('Level 5'!$C$13="",0,'Level 5'!$C$13)*(1-Answers!$C$14/100)*M91</f>
        <v>0</v>
      </c>
      <c r="AE91" s="60" t="n">
        <f aca="false">IF('Level 6'!$C$11="",0,'Level 6'!$C$11)*(1-Answers!$C$16/100)*S91</f>
        <v>0</v>
      </c>
      <c r="AF91" s="60" t="n">
        <f aca="false">IF('Level 6'!$C$12="",0,'Level 6'!$C$12)*(1-Answers!$C$17/100)*T91</f>
        <v>0</v>
      </c>
      <c r="AG91" s="60" t="n">
        <f aca="false">IF('Level 6'!$C$13="",0,'Level 6'!$C$13)*(1-Answers!$C$18/100)*U91</f>
        <v>0</v>
      </c>
      <c r="AH91" s="60" t="n">
        <f aca="false">IF('Level 6'!$C$14="",0,'Level 6'!$C$14)*(1-Answers!$C$19/100)*V91</f>
        <v>0</v>
      </c>
      <c r="AI91" s="60" t="n">
        <f aca="false">IF('Level 6'!$C$15="",0,'Level 6'!$C$15)*(1-Answers!$C$20/100)*W91</f>
        <v>0</v>
      </c>
      <c r="AJ91" s="60" t="n">
        <f aca="false">X91</f>
        <v>0</v>
      </c>
      <c r="AK91" s="60" t="n">
        <f aca="false">X91+Y91</f>
        <v>0</v>
      </c>
      <c r="AL91" s="60" t="n">
        <f aca="false">AK91+Z91</f>
        <v>0</v>
      </c>
      <c r="AM91" s="60" t="n">
        <f aca="false">AL91+AA91</f>
        <v>0</v>
      </c>
      <c r="AN91" s="60" t="n">
        <f aca="false">AM91+AB91+AC91+AD91</f>
        <v>0</v>
      </c>
      <c r="AO91" s="60" t="n">
        <f aca="false">AL91+AE91+AF91+AG91+AH91+AI91+AB91+AC91+AD91</f>
        <v>0</v>
      </c>
      <c r="AP91" s="60" t="n">
        <f aca="false">IF(Answers!$C$22="Yes",AO91,AN91)</f>
        <v>0</v>
      </c>
      <c r="AQ91" s="60" t="n">
        <v>805</v>
      </c>
      <c r="AR91" s="60" t="n">
        <v>-2462.7</v>
      </c>
      <c r="AS91" s="60" t="n">
        <v>0</v>
      </c>
      <c r="AT91" s="60" t="n">
        <v>1425.6</v>
      </c>
      <c r="AU91" s="60" t="n">
        <v>50</v>
      </c>
      <c r="AV91" s="60" t="n">
        <v>41.9</v>
      </c>
      <c r="AW91" s="60" t="n">
        <v>0.5</v>
      </c>
      <c r="AX91" s="60" t="n">
        <v>295.3</v>
      </c>
      <c r="AY91" s="60" t="n">
        <v>114.1</v>
      </c>
      <c r="AZ91" s="60" t="n">
        <v>152.1</v>
      </c>
      <c r="BA91" s="60" t="n">
        <v>64.6</v>
      </c>
      <c r="BB91" s="60" t="n">
        <v>799.5</v>
      </c>
      <c r="BC91" s="60" t="n">
        <f aca="false">AQ91+AR91+AS91+AT91+AU91+AV91+AW91</f>
        <v>-139.7</v>
      </c>
      <c r="BD91" s="60" t="n">
        <f aca="false">AQ91</f>
        <v>805</v>
      </c>
      <c r="BE91" s="60" t="n">
        <f aca="false">AQ91+AR91</f>
        <v>-1657.7</v>
      </c>
      <c r="BF91" s="60" t="n">
        <f aca="false">BE91+AS91</f>
        <v>-1657.7</v>
      </c>
      <c r="BG91" s="60" t="n">
        <f aca="false">BF91+AT91</f>
        <v>-232.1</v>
      </c>
      <c r="BH91" s="60" t="n">
        <f aca="false">BG91+AU91+AV91+AW91</f>
        <v>-139.7</v>
      </c>
      <c r="BI91" s="60" t="n">
        <f aca="false">BC91</f>
        <v>-139.7</v>
      </c>
      <c r="BJ91" s="60" t="n">
        <f aca="false">IF('Level 1'!$C$31="Yes",BD91,AJ91)</f>
        <v>0</v>
      </c>
      <c r="BK91" s="60" t="n">
        <f aca="false">IF('Level 2'!$C$31="Yes",BE91,AK91)</f>
        <v>0</v>
      </c>
      <c r="BL91" s="60" t="n">
        <f aca="false">IF('Level 3'!$C$31="Yes",BF91,AL91)</f>
        <v>0</v>
      </c>
      <c r="BM91" s="60" t="n">
        <f aca="false">IF('Level 4'!$C$31="Yes",BG91,AM91)</f>
        <v>0</v>
      </c>
      <c r="BN91" s="60" t="n">
        <f aca="false">IF('Level 5'!$C$31="Yes",BH91,AN91)</f>
        <v>0</v>
      </c>
      <c r="BO91" s="60" t="n">
        <f aca="false">IF('Level 6'!$C$31="Yes",BI91,AO91)</f>
        <v>0</v>
      </c>
      <c r="BP91" s="60" t="n">
        <f aca="false">IF('Level 7'!$C$31="Yes",BC91,AP91)</f>
        <v>0</v>
      </c>
      <c r="BQ91" s="60" t="n">
        <f aca="false">D91-AP91</f>
        <v>161</v>
      </c>
      <c r="BR91" s="60" t="n">
        <f aca="false">BQ91^2</f>
        <v>25921</v>
      </c>
      <c r="BS91" s="60" t="n">
        <f aca="false">(BQ91-BQ90)^2</f>
        <v>841</v>
      </c>
      <c r="BT91" s="60" t="str">
        <f aca="false">IF(D91&gt;2000,ABS(BQ91)/D91,"")</f>
        <v/>
      </c>
      <c r="BU91" s="60" t="n">
        <v>76</v>
      </c>
      <c r="BV91" s="62" t="n">
        <v>0.5506</v>
      </c>
      <c r="BW91" s="60" t="n">
        <v>234</v>
      </c>
      <c r="BX91" s="60" t="n">
        <f aca="false">AA91</f>
        <v>0</v>
      </c>
      <c r="BY91" s="60" t="n">
        <f aca="false">H91</f>
        <v>2.88</v>
      </c>
      <c r="BZ91" s="60" t="n">
        <f aca="false">Z91</f>
        <v>0</v>
      </c>
      <c r="CA91" s="60" t="n">
        <f aca="false">AB91+AC91+AD91</f>
        <v>0</v>
      </c>
      <c r="CB91" s="60" t="n">
        <f aca="false">AE91+AF91+AG91+AH91+AI91</f>
        <v>0</v>
      </c>
    </row>
    <row r="92" customFormat="false" ht="15" hidden="false" customHeight="false" outlineLevel="0" collapsed="false">
      <c r="A92" s="58" t="n">
        <v>45536</v>
      </c>
      <c r="B92" s="59" t="n">
        <f aca="false">YEAR(A92)</f>
        <v>2024</v>
      </c>
      <c r="C92" s="59" t="n">
        <f aca="false">MONTH(A92)</f>
        <v>9</v>
      </c>
      <c r="D92" s="60" t="n">
        <v>198</v>
      </c>
      <c r="E92" s="61" t="n">
        <v>1.0937</v>
      </c>
      <c r="F92" s="61" t="n">
        <v>2.5857</v>
      </c>
      <c r="G92" s="61" t="n">
        <v>0</v>
      </c>
      <c r="H92" s="60" t="n">
        <v>3.02</v>
      </c>
      <c r="I92" s="60" t="n">
        <f aca="false">H92+'Level 4'!$C$12/100*I91</f>
        <v>3.02</v>
      </c>
      <c r="J92" s="60" t="n">
        <v>36.86</v>
      </c>
      <c r="K92" s="60" t="n">
        <v>33.75</v>
      </c>
      <c r="L92" s="60" t="n">
        <v>4.71</v>
      </c>
      <c r="M92" s="60" t="n">
        <f aca="false">L92+Answers!$C$14/100*M91</f>
        <v>15.4204669687381</v>
      </c>
      <c r="N92" s="60" t="n">
        <v>0</v>
      </c>
      <c r="O92" s="60" t="n">
        <v>0</v>
      </c>
      <c r="P92" s="60" t="n">
        <v>0</v>
      </c>
      <c r="Q92" s="60" t="n">
        <v>0</v>
      </c>
      <c r="R92" s="60" t="n">
        <v>2.83</v>
      </c>
      <c r="S92" s="60" t="n">
        <f aca="false">N92+Answers!$C$16/100*S91</f>
        <v>40.6479070633099</v>
      </c>
      <c r="T92" s="60" t="n">
        <f aca="false">O92+Answers!$C$17/100*T91</f>
        <v>18.0817249254947</v>
      </c>
      <c r="U92" s="60" t="n">
        <f aca="false">P92+Answers!$C$18/100*U91</f>
        <v>21.03091570057</v>
      </c>
      <c r="V92" s="60" t="n">
        <f aca="false">Q92+Answers!$C$19/100*V91</f>
        <v>34.868930384493</v>
      </c>
      <c r="W92" s="60" t="n">
        <f aca="false">R92+Answers!$C$20/100*W91</f>
        <v>145.049285721386</v>
      </c>
      <c r="X92" s="60" t="n">
        <f aca="false">IF('Level 1'!$C$11="",0,'Level 1'!$C$11)*E92</f>
        <v>0</v>
      </c>
      <c r="Y92" s="60" t="n">
        <f aca="false">-IF('Level 2'!$C$11="",0,'Level 2'!$C$11)*F92</f>
        <v>-0</v>
      </c>
      <c r="Z92" s="60" t="n">
        <f aca="false">IF('Level 3'!$C$11="",0,'Level 3'!$C$11)*G92</f>
        <v>0</v>
      </c>
      <c r="AA92" s="60" t="n">
        <f aca="false">IF('Level 4'!$C$11="",0,'Level 4'!$C$11)*(1-'Level 4'!$C$12/100)*I92</f>
        <v>0</v>
      </c>
      <c r="AB92" s="60" t="n">
        <f aca="false">IF('Level 5'!$C$11="",0,'Level 5'!$C$11)*J92</f>
        <v>0</v>
      </c>
      <c r="AC92" s="60" t="n">
        <f aca="false">IF('Level 5'!$C$12="",0,'Level 5'!$C$12)*K92</f>
        <v>0</v>
      </c>
      <c r="AD92" s="60" t="n">
        <f aca="false">IF('Level 5'!$C$13="",0,'Level 5'!$C$13)*(1-Answers!$C$14/100)*M92</f>
        <v>0</v>
      </c>
      <c r="AE92" s="60" t="n">
        <f aca="false">IF('Level 6'!$C$11="",0,'Level 6'!$C$11)*(1-Answers!$C$16/100)*S92</f>
        <v>0</v>
      </c>
      <c r="AF92" s="60" t="n">
        <f aca="false">IF('Level 6'!$C$12="",0,'Level 6'!$C$12)*(1-Answers!$C$17/100)*T92</f>
        <v>0</v>
      </c>
      <c r="AG92" s="60" t="n">
        <f aca="false">IF('Level 6'!$C$13="",0,'Level 6'!$C$13)*(1-Answers!$C$18/100)*U92</f>
        <v>0</v>
      </c>
      <c r="AH92" s="60" t="n">
        <f aca="false">IF('Level 6'!$C$14="",0,'Level 6'!$C$14)*(1-Answers!$C$19/100)*V92</f>
        <v>0</v>
      </c>
      <c r="AI92" s="60" t="n">
        <f aca="false">IF('Level 6'!$C$15="",0,'Level 6'!$C$15)*(1-Answers!$C$20/100)*W92</f>
        <v>0</v>
      </c>
      <c r="AJ92" s="60" t="n">
        <f aca="false">X92</f>
        <v>0</v>
      </c>
      <c r="AK92" s="60" t="n">
        <f aca="false">X92+Y92</f>
        <v>0</v>
      </c>
      <c r="AL92" s="60" t="n">
        <f aca="false">AK92+Z92</f>
        <v>0</v>
      </c>
      <c r="AM92" s="60" t="n">
        <f aca="false">AL92+AA92</f>
        <v>0</v>
      </c>
      <c r="AN92" s="60" t="n">
        <f aca="false">AM92+AB92+AC92+AD92</f>
        <v>0</v>
      </c>
      <c r="AO92" s="60" t="n">
        <f aca="false">AL92+AE92+AF92+AG92+AH92+AI92+AB92+AC92+AD92</f>
        <v>0</v>
      </c>
      <c r="AP92" s="60" t="n">
        <f aca="false">IF(Answers!$C$22="Yes",AO92,AN92)</f>
        <v>0</v>
      </c>
      <c r="AQ92" s="60" t="n">
        <v>957.7</v>
      </c>
      <c r="AR92" s="60" t="n">
        <v>-2462.7</v>
      </c>
      <c r="AS92" s="60" t="n">
        <v>0</v>
      </c>
      <c r="AT92" s="60" t="n">
        <v>1233.6</v>
      </c>
      <c r="AU92" s="60" t="n">
        <v>106.2</v>
      </c>
      <c r="AV92" s="60" t="n">
        <v>123.5</v>
      </c>
      <c r="AW92" s="60" t="n">
        <v>0.4</v>
      </c>
      <c r="AX92" s="60" t="n">
        <v>251</v>
      </c>
      <c r="AY92" s="60" t="n">
        <v>97</v>
      </c>
      <c r="AZ92" s="60" t="n">
        <v>129.3</v>
      </c>
      <c r="BA92" s="60" t="n">
        <v>54.9</v>
      </c>
      <c r="BB92" s="60" t="n">
        <v>701.4</v>
      </c>
      <c r="BC92" s="60" t="n">
        <f aca="false">AQ92+AR92+AS92+AT92+AU92+AV92+AW92</f>
        <v>-41.2999999999999</v>
      </c>
      <c r="BD92" s="60" t="n">
        <f aca="false">AQ92</f>
        <v>957.7</v>
      </c>
      <c r="BE92" s="60" t="n">
        <f aca="false">AQ92+AR92</f>
        <v>-1505</v>
      </c>
      <c r="BF92" s="60" t="n">
        <f aca="false">BE92+AS92</f>
        <v>-1505</v>
      </c>
      <c r="BG92" s="60" t="n">
        <f aca="false">BF92+AT92</f>
        <v>-271.4</v>
      </c>
      <c r="BH92" s="60" t="n">
        <f aca="false">BG92+AU92+AV92+AW92</f>
        <v>-41.2999999999999</v>
      </c>
      <c r="BI92" s="60" t="n">
        <f aca="false">BC92</f>
        <v>-41.2999999999999</v>
      </c>
      <c r="BJ92" s="60" t="n">
        <f aca="false">IF('Level 1'!$C$31="Yes",BD92,AJ92)</f>
        <v>0</v>
      </c>
      <c r="BK92" s="60" t="n">
        <f aca="false">IF('Level 2'!$C$31="Yes",BE92,AK92)</f>
        <v>0</v>
      </c>
      <c r="BL92" s="60" t="n">
        <f aca="false">IF('Level 3'!$C$31="Yes",BF92,AL92)</f>
        <v>0</v>
      </c>
      <c r="BM92" s="60" t="n">
        <f aca="false">IF('Level 4'!$C$31="Yes",BG92,AM92)</f>
        <v>0</v>
      </c>
      <c r="BN92" s="60" t="n">
        <f aca="false">IF('Level 5'!$C$31="Yes",BH92,AN92)</f>
        <v>0</v>
      </c>
      <c r="BO92" s="60" t="n">
        <f aca="false">IF('Level 6'!$C$31="Yes",BI92,AO92)</f>
        <v>0</v>
      </c>
      <c r="BP92" s="60" t="n">
        <f aca="false">IF('Level 7'!$C$31="Yes",BC92,AP92)</f>
        <v>0</v>
      </c>
      <c r="BQ92" s="60" t="n">
        <f aca="false">D92-AP92</f>
        <v>198</v>
      </c>
      <c r="BR92" s="60" t="n">
        <f aca="false">BQ92^2</f>
        <v>39204</v>
      </c>
      <c r="BS92" s="60" t="n">
        <f aca="false">(BQ92-BQ91)^2</f>
        <v>1369</v>
      </c>
      <c r="BT92" s="60" t="str">
        <f aca="false">IF(D92&gt;2000,ABS(BQ92)/D92,"")</f>
        <v/>
      </c>
      <c r="BU92" s="60" t="n">
        <v>95</v>
      </c>
      <c r="BV92" s="62" t="n">
        <v>0.546</v>
      </c>
      <c r="BW92" s="60" t="n">
        <v>260.1</v>
      </c>
      <c r="BX92" s="60" t="n">
        <f aca="false">AA92</f>
        <v>0</v>
      </c>
      <c r="BY92" s="60" t="n">
        <f aca="false">H92</f>
        <v>3.02</v>
      </c>
      <c r="BZ92" s="60" t="n">
        <f aca="false">Z92</f>
        <v>0</v>
      </c>
      <c r="CA92" s="60" t="n">
        <f aca="false">AB92+AC92+AD92</f>
        <v>0</v>
      </c>
      <c r="CB92" s="60" t="n">
        <f aca="false">AE92+AF92+AG92+AH92+AI92</f>
        <v>0</v>
      </c>
    </row>
    <row r="93" customFormat="false" ht="15" hidden="false" customHeight="false" outlineLevel="0" collapsed="false">
      <c r="A93" s="58" t="n">
        <v>45543</v>
      </c>
      <c r="B93" s="59" t="n">
        <f aca="false">YEAR(A93)</f>
        <v>2024</v>
      </c>
      <c r="C93" s="59" t="n">
        <f aca="false">MONTH(A93)</f>
        <v>9</v>
      </c>
      <c r="D93" s="60" t="n">
        <v>243</v>
      </c>
      <c r="E93" s="61" t="n">
        <v>0.6938</v>
      </c>
      <c r="F93" s="61" t="n">
        <v>1.0282</v>
      </c>
      <c r="G93" s="61" t="n">
        <v>0</v>
      </c>
      <c r="H93" s="60" t="n">
        <v>1.78</v>
      </c>
      <c r="I93" s="60" t="n">
        <f aca="false">H93+'Level 4'!$C$12/100*I92</f>
        <v>1.78</v>
      </c>
      <c r="J93" s="60" t="n">
        <v>107.28</v>
      </c>
      <c r="K93" s="60" t="n">
        <v>380.44</v>
      </c>
      <c r="L93" s="60" t="n">
        <v>4.93</v>
      </c>
      <c r="M93" s="60" t="n">
        <f aca="false">L93+Answers!$C$14/100*M92</f>
        <v>14.1822801812429</v>
      </c>
      <c r="N93" s="60" t="n">
        <v>0</v>
      </c>
      <c r="O93" s="60" t="n">
        <v>0</v>
      </c>
      <c r="P93" s="60" t="n">
        <v>0</v>
      </c>
      <c r="Q93" s="60" t="n">
        <v>0</v>
      </c>
      <c r="R93" s="60" t="n">
        <v>1.54</v>
      </c>
      <c r="S93" s="60" t="n">
        <f aca="false">N93+Answers!$C$16/100*S92</f>
        <v>32.5183256506479</v>
      </c>
      <c r="T93" s="60" t="n">
        <f aca="false">O93+Answers!$C$17/100*T92</f>
        <v>14.4653799403957</v>
      </c>
      <c r="U93" s="60" t="n">
        <f aca="false">P93+Answers!$C$18/100*U92</f>
        <v>16.824732560456</v>
      </c>
      <c r="V93" s="60" t="n">
        <f aca="false">Q93+Answers!$C$19/100*V92</f>
        <v>27.8951443075944</v>
      </c>
      <c r="W93" s="60" t="n">
        <f aca="false">R93+Answers!$C$20/100*W92</f>
        <v>117.579428577109</v>
      </c>
      <c r="X93" s="60" t="n">
        <f aca="false">IF('Level 1'!$C$11="",0,'Level 1'!$C$11)*E93</f>
        <v>0</v>
      </c>
      <c r="Y93" s="60" t="n">
        <f aca="false">-IF('Level 2'!$C$11="",0,'Level 2'!$C$11)*F93</f>
        <v>-0</v>
      </c>
      <c r="Z93" s="60" t="n">
        <f aca="false">IF('Level 3'!$C$11="",0,'Level 3'!$C$11)*G93</f>
        <v>0</v>
      </c>
      <c r="AA93" s="60" t="n">
        <f aca="false">IF('Level 4'!$C$11="",0,'Level 4'!$C$11)*(1-'Level 4'!$C$12/100)*I93</f>
        <v>0</v>
      </c>
      <c r="AB93" s="60" t="n">
        <f aca="false">IF('Level 5'!$C$11="",0,'Level 5'!$C$11)*J93</f>
        <v>0</v>
      </c>
      <c r="AC93" s="60" t="n">
        <f aca="false">IF('Level 5'!$C$12="",0,'Level 5'!$C$12)*K93</f>
        <v>0</v>
      </c>
      <c r="AD93" s="60" t="n">
        <f aca="false">IF('Level 5'!$C$13="",0,'Level 5'!$C$13)*(1-Answers!$C$14/100)*M93</f>
        <v>0</v>
      </c>
      <c r="AE93" s="60" t="n">
        <f aca="false">IF('Level 6'!$C$11="",0,'Level 6'!$C$11)*(1-Answers!$C$16/100)*S93</f>
        <v>0</v>
      </c>
      <c r="AF93" s="60" t="n">
        <f aca="false">IF('Level 6'!$C$12="",0,'Level 6'!$C$12)*(1-Answers!$C$17/100)*T93</f>
        <v>0</v>
      </c>
      <c r="AG93" s="60" t="n">
        <f aca="false">IF('Level 6'!$C$13="",0,'Level 6'!$C$13)*(1-Answers!$C$18/100)*U93</f>
        <v>0</v>
      </c>
      <c r="AH93" s="60" t="n">
        <f aca="false">IF('Level 6'!$C$14="",0,'Level 6'!$C$14)*(1-Answers!$C$19/100)*V93</f>
        <v>0</v>
      </c>
      <c r="AI93" s="60" t="n">
        <f aca="false">IF('Level 6'!$C$15="",0,'Level 6'!$C$15)*(1-Answers!$C$20/100)*W93</f>
        <v>0</v>
      </c>
      <c r="AJ93" s="60" t="n">
        <f aca="false">X93</f>
        <v>0</v>
      </c>
      <c r="AK93" s="60" t="n">
        <f aca="false">X93+Y93</f>
        <v>0</v>
      </c>
      <c r="AL93" s="60" t="n">
        <f aca="false">AK93+Z93</f>
        <v>0</v>
      </c>
      <c r="AM93" s="60" t="n">
        <f aca="false">AL93+AA93</f>
        <v>0</v>
      </c>
      <c r="AN93" s="60" t="n">
        <f aca="false">AM93+AB93+AC93+AD93</f>
        <v>0</v>
      </c>
      <c r="AO93" s="60" t="n">
        <f aca="false">AL93+AE93+AF93+AG93+AH93+AI93+AB93+AC93+AD93</f>
        <v>0</v>
      </c>
      <c r="AP93" s="60" t="n">
        <f aca="false">IF(Answers!$C$22="Yes",AO93,AN93)</f>
        <v>0</v>
      </c>
      <c r="AQ93" s="60" t="n">
        <v>607.5</v>
      </c>
      <c r="AR93" s="60" t="n">
        <v>-979.3</v>
      </c>
      <c r="AS93" s="60" t="n">
        <v>0</v>
      </c>
      <c r="AT93" s="60" t="n">
        <v>1066.9</v>
      </c>
      <c r="AU93" s="60" t="n">
        <v>376.6</v>
      </c>
      <c r="AV93" s="60" t="n">
        <v>1391.9</v>
      </c>
      <c r="AW93" s="60" t="n">
        <v>0.2</v>
      </c>
      <c r="AX93" s="60" t="n">
        <v>213.4</v>
      </c>
      <c r="AY93" s="60" t="n">
        <v>82.4</v>
      </c>
      <c r="AZ93" s="60" t="n">
        <v>109.9</v>
      </c>
      <c r="BA93" s="60" t="n">
        <v>46.7</v>
      </c>
      <c r="BB93" s="60" t="n">
        <v>614.6</v>
      </c>
      <c r="BC93" s="60" t="n">
        <f aca="false">AQ93+AR93+AS93+AT93+AU93+AV93+AW93</f>
        <v>2463.8</v>
      </c>
      <c r="BD93" s="60" t="n">
        <f aca="false">AQ93</f>
        <v>607.5</v>
      </c>
      <c r="BE93" s="60" t="n">
        <f aca="false">AQ93+AR93</f>
        <v>-371.8</v>
      </c>
      <c r="BF93" s="60" t="n">
        <f aca="false">BE93+AS93</f>
        <v>-371.8</v>
      </c>
      <c r="BG93" s="60" t="n">
        <f aca="false">BF93+AT93</f>
        <v>695.1</v>
      </c>
      <c r="BH93" s="60" t="n">
        <f aca="false">BG93+AU93+AV93+AW93</f>
        <v>2463.8</v>
      </c>
      <c r="BI93" s="60" t="n">
        <f aca="false">BC93</f>
        <v>2463.8</v>
      </c>
      <c r="BJ93" s="60" t="n">
        <f aca="false">IF('Level 1'!$C$31="Yes",BD93,AJ93)</f>
        <v>0</v>
      </c>
      <c r="BK93" s="60" t="n">
        <f aca="false">IF('Level 2'!$C$31="Yes",BE93,AK93)</f>
        <v>0</v>
      </c>
      <c r="BL93" s="60" t="n">
        <f aca="false">IF('Level 3'!$C$31="Yes",BF93,AL93)</f>
        <v>0</v>
      </c>
      <c r="BM93" s="60" t="n">
        <f aca="false">IF('Level 4'!$C$31="Yes",BG93,AM93)</f>
        <v>0</v>
      </c>
      <c r="BN93" s="60" t="n">
        <f aca="false">IF('Level 5'!$C$31="Yes",BH93,AN93)</f>
        <v>0</v>
      </c>
      <c r="BO93" s="60" t="n">
        <f aca="false">IF('Level 6'!$C$31="Yes",BI93,AO93)</f>
        <v>0</v>
      </c>
      <c r="BP93" s="60" t="n">
        <f aca="false">IF('Level 7'!$C$31="Yes",BC93,AP93)</f>
        <v>0</v>
      </c>
      <c r="BQ93" s="60" t="n">
        <f aca="false">D93-AP93</f>
        <v>243</v>
      </c>
      <c r="BR93" s="60" t="n">
        <f aca="false">BQ93^2</f>
        <v>59049</v>
      </c>
      <c r="BS93" s="60" t="n">
        <f aca="false">(BQ93-BQ92)^2</f>
        <v>2025</v>
      </c>
      <c r="BT93" s="60" t="str">
        <f aca="false">IF(D93&gt;2000,ABS(BQ93)/D93,"")</f>
        <v/>
      </c>
      <c r="BU93" s="60" t="n">
        <v>91</v>
      </c>
      <c r="BV93" s="62" t="n">
        <v>0.546</v>
      </c>
      <c r="BW93" s="60" t="n">
        <v>771.6</v>
      </c>
      <c r="BX93" s="60" t="n">
        <f aca="false">AA93</f>
        <v>0</v>
      </c>
      <c r="BY93" s="60" t="n">
        <f aca="false">H93</f>
        <v>1.78</v>
      </c>
      <c r="BZ93" s="60" t="n">
        <f aca="false">Z93</f>
        <v>0</v>
      </c>
      <c r="CA93" s="60" t="n">
        <f aca="false">AB93+AC93+AD93</f>
        <v>0</v>
      </c>
      <c r="CB93" s="60" t="n">
        <f aca="false">AE93+AF93+AG93+AH93+AI93</f>
        <v>0</v>
      </c>
    </row>
    <row r="94" customFormat="false" ht="15" hidden="false" customHeight="false" outlineLevel="0" collapsed="false">
      <c r="A94" s="58" t="n">
        <v>45550</v>
      </c>
      <c r="B94" s="59" t="n">
        <f aca="false">YEAR(A94)</f>
        <v>2024</v>
      </c>
      <c r="C94" s="59" t="n">
        <f aca="false">MONTH(A94)</f>
        <v>9</v>
      </c>
      <c r="D94" s="60" t="n">
        <v>274</v>
      </c>
      <c r="E94" s="61" t="n">
        <v>0.6597</v>
      </c>
      <c r="F94" s="61" t="n">
        <v>1.0282</v>
      </c>
      <c r="G94" s="61" t="n">
        <v>0</v>
      </c>
      <c r="H94" s="60" t="n">
        <v>1.83</v>
      </c>
      <c r="I94" s="60" t="n">
        <f aca="false">H94+'Level 4'!$C$12/100*I93</f>
        <v>1.83</v>
      </c>
      <c r="J94" s="60" t="n">
        <v>94.22</v>
      </c>
      <c r="K94" s="60" t="n">
        <v>336.12</v>
      </c>
      <c r="L94" s="60" t="n">
        <v>4.87</v>
      </c>
      <c r="M94" s="60" t="n">
        <f aca="false">L94+Answers!$C$14/100*M93</f>
        <v>13.3793681087457</v>
      </c>
      <c r="N94" s="60" t="n">
        <v>0</v>
      </c>
      <c r="O94" s="60" t="n">
        <v>0</v>
      </c>
      <c r="P94" s="60" t="n">
        <v>0</v>
      </c>
      <c r="Q94" s="60" t="n">
        <v>0</v>
      </c>
      <c r="R94" s="60" t="n">
        <v>1.56</v>
      </c>
      <c r="S94" s="60" t="n">
        <f aca="false">N94+Answers!$C$16/100*S93</f>
        <v>26.0146605205183</v>
      </c>
      <c r="T94" s="60" t="n">
        <f aca="false">O94+Answers!$C$17/100*T93</f>
        <v>11.5723039523166</v>
      </c>
      <c r="U94" s="60" t="n">
        <f aca="false">P94+Answers!$C$18/100*U93</f>
        <v>13.4597860483648</v>
      </c>
      <c r="V94" s="60" t="n">
        <f aca="false">Q94+Answers!$C$19/100*V93</f>
        <v>22.3161154460755</v>
      </c>
      <c r="W94" s="60" t="n">
        <f aca="false">R94+Answers!$C$20/100*W93</f>
        <v>95.623542861687</v>
      </c>
      <c r="X94" s="60" t="n">
        <f aca="false">IF('Level 1'!$C$11="",0,'Level 1'!$C$11)*E94</f>
        <v>0</v>
      </c>
      <c r="Y94" s="60" t="n">
        <f aca="false">-IF('Level 2'!$C$11="",0,'Level 2'!$C$11)*F94</f>
        <v>-0</v>
      </c>
      <c r="Z94" s="60" t="n">
        <f aca="false">IF('Level 3'!$C$11="",0,'Level 3'!$C$11)*G94</f>
        <v>0</v>
      </c>
      <c r="AA94" s="60" t="n">
        <f aca="false">IF('Level 4'!$C$11="",0,'Level 4'!$C$11)*(1-'Level 4'!$C$12/100)*I94</f>
        <v>0</v>
      </c>
      <c r="AB94" s="60" t="n">
        <f aca="false">IF('Level 5'!$C$11="",0,'Level 5'!$C$11)*J94</f>
        <v>0</v>
      </c>
      <c r="AC94" s="60" t="n">
        <f aca="false">IF('Level 5'!$C$12="",0,'Level 5'!$C$12)*K94</f>
        <v>0</v>
      </c>
      <c r="AD94" s="60" t="n">
        <f aca="false">IF('Level 5'!$C$13="",0,'Level 5'!$C$13)*(1-Answers!$C$14/100)*M94</f>
        <v>0</v>
      </c>
      <c r="AE94" s="60" t="n">
        <f aca="false">IF('Level 6'!$C$11="",0,'Level 6'!$C$11)*(1-Answers!$C$16/100)*S94</f>
        <v>0</v>
      </c>
      <c r="AF94" s="60" t="n">
        <f aca="false">IF('Level 6'!$C$12="",0,'Level 6'!$C$12)*(1-Answers!$C$17/100)*T94</f>
        <v>0</v>
      </c>
      <c r="AG94" s="60" t="n">
        <f aca="false">IF('Level 6'!$C$13="",0,'Level 6'!$C$13)*(1-Answers!$C$18/100)*U94</f>
        <v>0</v>
      </c>
      <c r="AH94" s="60" t="n">
        <f aca="false">IF('Level 6'!$C$14="",0,'Level 6'!$C$14)*(1-Answers!$C$19/100)*V94</f>
        <v>0</v>
      </c>
      <c r="AI94" s="60" t="n">
        <f aca="false">IF('Level 6'!$C$15="",0,'Level 6'!$C$15)*(1-Answers!$C$20/100)*W94</f>
        <v>0</v>
      </c>
      <c r="AJ94" s="60" t="n">
        <f aca="false">X94</f>
        <v>0</v>
      </c>
      <c r="AK94" s="60" t="n">
        <f aca="false">X94+Y94</f>
        <v>0</v>
      </c>
      <c r="AL94" s="60" t="n">
        <f aca="false">AK94+Z94</f>
        <v>0</v>
      </c>
      <c r="AM94" s="60" t="n">
        <f aca="false">AL94+AA94</f>
        <v>0</v>
      </c>
      <c r="AN94" s="60" t="n">
        <f aca="false">AM94+AB94+AC94+AD94</f>
        <v>0</v>
      </c>
      <c r="AO94" s="60" t="n">
        <f aca="false">AL94+AE94+AF94+AG94+AH94+AI94+AB94+AC94+AD94</f>
        <v>0</v>
      </c>
      <c r="AP94" s="60" t="n">
        <f aca="false">IF(Answers!$C$22="Yes",AO94,AN94)</f>
        <v>0</v>
      </c>
      <c r="AQ94" s="60" t="n">
        <v>577.6</v>
      </c>
      <c r="AR94" s="60" t="n">
        <v>-979.3</v>
      </c>
      <c r="AS94" s="60" t="n">
        <v>0</v>
      </c>
      <c r="AT94" s="60" t="n">
        <v>939.4</v>
      </c>
      <c r="AU94" s="60" t="n">
        <v>323.8</v>
      </c>
      <c r="AV94" s="60" t="n">
        <v>1229.7</v>
      </c>
      <c r="AW94" s="60" t="n">
        <v>0.1</v>
      </c>
      <c r="AX94" s="60" t="n">
        <v>181.4</v>
      </c>
      <c r="AY94" s="60" t="n">
        <v>70.1</v>
      </c>
      <c r="AZ94" s="60" t="n">
        <v>93.4</v>
      </c>
      <c r="BA94" s="60" t="n">
        <v>39.7</v>
      </c>
      <c r="BB94" s="60" t="n">
        <v>554.9</v>
      </c>
      <c r="BC94" s="60" t="n">
        <f aca="false">AQ94+AR94+AS94+AT94+AU94+AV94+AW94</f>
        <v>2091.3</v>
      </c>
      <c r="BD94" s="60" t="n">
        <f aca="false">AQ94</f>
        <v>577.6</v>
      </c>
      <c r="BE94" s="60" t="n">
        <f aca="false">AQ94+AR94</f>
        <v>-401.7</v>
      </c>
      <c r="BF94" s="60" t="n">
        <f aca="false">BE94+AS94</f>
        <v>-401.7</v>
      </c>
      <c r="BG94" s="60" t="n">
        <f aca="false">BF94+AT94</f>
        <v>537.7</v>
      </c>
      <c r="BH94" s="60" t="n">
        <f aca="false">BG94+AU94+AV94+AW94</f>
        <v>2091.3</v>
      </c>
      <c r="BI94" s="60" t="n">
        <f aca="false">BC94</f>
        <v>2091.3</v>
      </c>
      <c r="BJ94" s="60" t="n">
        <f aca="false">IF('Level 1'!$C$31="Yes",BD94,AJ94)</f>
        <v>0</v>
      </c>
      <c r="BK94" s="60" t="n">
        <f aca="false">IF('Level 2'!$C$31="Yes",BE94,AK94)</f>
        <v>0</v>
      </c>
      <c r="BL94" s="60" t="n">
        <f aca="false">IF('Level 3'!$C$31="Yes",BF94,AL94)</f>
        <v>0</v>
      </c>
      <c r="BM94" s="60" t="n">
        <f aca="false">IF('Level 4'!$C$31="Yes",BG94,AM94)</f>
        <v>0</v>
      </c>
      <c r="BN94" s="60" t="n">
        <f aca="false">IF('Level 5'!$C$31="Yes",BH94,AN94)</f>
        <v>0</v>
      </c>
      <c r="BO94" s="60" t="n">
        <f aca="false">IF('Level 6'!$C$31="Yes",BI94,AO94)</f>
        <v>0</v>
      </c>
      <c r="BP94" s="60" t="n">
        <f aca="false">IF('Level 7'!$C$31="Yes",BC94,AP94)</f>
        <v>0</v>
      </c>
      <c r="BQ94" s="60" t="n">
        <f aca="false">D94-AP94</f>
        <v>274</v>
      </c>
      <c r="BR94" s="60" t="n">
        <f aca="false">BQ94^2</f>
        <v>75076</v>
      </c>
      <c r="BS94" s="60" t="n">
        <f aca="false">(BQ94-BQ93)^2</f>
        <v>961</v>
      </c>
      <c r="BT94" s="60" t="str">
        <f aca="false">IF(D94&gt;2000,ABS(BQ94)/D94,"")</f>
        <v/>
      </c>
      <c r="BU94" s="60" t="n">
        <v>94</v>
      </c>
      <c r="BV94" s="62" t="n">
        <v>0.546</v>
      </c>
      <c r="BW94" s="60" t="n">
        <v>565.7</v>
      </c>
      <c r="BX94" s="60" t="n">
        <f aca="false">AA94</f>
        <v>0</v>
      </c>
      <c r="BY94" s="60" t="n">
        <f aca="false">H94</f>
        <v>1.83</v>
      </c>
      <c r="BZ94" s="60" t="n">
        <f aca="false">Z94</f>
        <v>0</v>
      </c>
      <c r="CA94" s="60" t="n">
        <f aca="false">AB94+AC94+AD94</f>
        <v>0</v>
      </c>
      <c r="CB94" s="60" t="n">
        <f aca="false">AE94+AF94+AG94+AH94+AI94</f>
        <v>0</v>
      </c>
    </row>
    <row r="95" customFormat="false" ht="15" hidden="false" customHeight="false" outlineLevel="0" collapsed="false">
      <c r="A95" s="58" t="n">
        <v>45557</v>
      </c>
      <c r="B95" s="59" t="n">
        <f aca="false">YEAR(A95)</f>
        <v>2024</v>
      </c>
      <c r="C95" s="59" t="n">
        <f aca="false">MONTH(A95)</f>
        <v>9</v>
      </c>
      <c r="D95" s="60" t="n">
        <v>329</v>
      </c>
      <c r="E95" s="61" t="n">
        <v>0.6584</v>
      </c>
      <c r="F95" s="61" t="n">
        <v>1.0282</v>
      </c>
      <c r="G95" s="61" t="n">
        <v>0</v>
      </c>
      <c r="H95" s="60" t="n">
        <v>1.8</v>
      </c>
      <c r="I95" s="60" t="n">
        <f aca="false">H95+'Level 4'!$C$12/100*I94</f>
        <v>1.8</v>
      </c>
      <c r="J95" s="60" t="n">
        <v>66.63</v>
      </c>
      <c r="K95" s="60" t="n">
        <v>371.25</v>
      </c>
      <c r="L95" s="60" t="n">
        <v>4.83</v>
      </c>
      <c r="M95" s="60" t="n">
        <f aca="false">L95+Answers!$C$14/100*M94</f>
        <v>12.8576208652474</v>
      </c>
      <c r="N95" s="60" t="n">
        <v>0</v>
      </c>
      <c r="O95" s="60" t="n">
        <v>0</v>
      </c>
      <c r="P95" s="60" t="n">
        <v>0</v>
      </c>
      <c r="Q95" s="60" t="n">
        <v>0</v>
      </c>
      <c r="R95" s="60" t="n">
        <v>1.47</v>
      </c>
      <c r="S95" s="60" t="n">
        <f aca="false">N95+Answers!$C$16/100*S94</f>
        <v>20.8117284164147</v>
      </c>
      <c r="T95" s="60" t="n">
        <f aca="false">O95+Answers!$C$17/100*T94</f>
        <v>9.25784316185328</v>
      </c>
      <c r="U95" s="60" t="n">
        <f aca="false">P95+Answers!$C$18/100*U94</f>
        <v>10.7678288386919</v>
      </c>
      <c r="V95" s="60" t="n">
        <f aca="false">Q95+Answers!$C$19/100*V94</f>
        <v>17.8528923568604</v>
      </c>
      <c r="W95" s="60" t="n">
        <f aca="false">R95+Answers!$C$20/100*W94</f>
        <v>77.9688342893496</v>
      </c>
      <c r="X95" s="60" t="n">
        <f aca="false">IF('Level 1'!$C$11="",0,'Level 1'!$C$11)*E95</f>
        <v>0</v>
      </c>
      <c r="Y95" s="60" t="n">
        <f aca="false">-IF('Level 2'!$C$11="",0,'Level 2'!$C$11)*F95</f>
        <v>-0</v>
      </c>
      <c r="Z95" s="60" t="n">
        <f aca="false">IF('Level 3'!$C$11="",0,'Level 3'!$C$11)*G95</f>
        <v>0</v>
      </c>
      <c r="AA95" s="60" t="n">
        <f aca="false">IF('Level 4'!$C$11="",0,'Level 4'!$C$11)*(1-'Level 4'!$C$12/100)*I95</f>
        <v>0</v>
      </c>
      <c r="AB95" s="60" t="n">
        <f aca="false">IF('Level 5'!$C$11="",0,'Level 5'!$C$11)*J95</f>
        <v>0</v>
      </c>
      <c r="AC95" s="60" t="n">
        <f aca="false">IF('Level 5'!$C$12="",0,'Level 5'!$C$12)*K95</f>
        <v>0</v>
      </c>
      <c r="AD95" s="60" t="n">
        <f aca="false">IF('Level 5'!$C$13="",0,'Level 5'!$C$13)*(1-Answers!$C$14/100)*M95</f>
        <v>0</v>
      </c>
      <c r="AE95" s="60" t="n">
        <f aca="false">IF('Level 6'!$C$11="",0,'Level 6'!$C$11)*(1-Answers!$C$16/100)*S95</f>
        <v>0</v>
      </c>
      <c r="AF95" s="60" t="n">
        <f aca="false">IF('Level 6'!$C$12="",0,'Level 6'!$C$12)*(1-Answers!$C$17/100)*T95</f>
        <v>0</v>
      </c>
      <c r="AG95" s="60" t="n">
        <f aca="false">IF('Level 6'!$C$13="",0,'Level 6'!$C$13)*(1-Answers!$C$18/100)*U95</f>
        <v>0</v>
      </c>
      <c r="AH95" s="60" t="n">
        <f aca="false">IF('Level 6'!$C$14="",0,'Level 6'!$C$14)*(1-Answers!$C$19/100)*V95</f>
        <v>0</v>
      </c>
      <c r="AI95" s="60" t="n">
        <f aca="false">IF('Level 6'!$C$15="",0,'Level 6'!$C$15)*(1-Answers!$C$20/100)*W95</f>
        <v>0</v>
      </c>
      <c r="AJ95" s="60" t="n">
        <f aca="false">X95</f>
        <v>0</v>
      </c>
      <c r="AK95" s="60" t="n">
        <f aca="false">X95+Y95</f>
        <v>0</v>
      </c>
      <c r="AL95" s="60" t="n">
        <f aca="false">AK95+Z95</f>
        <v>0</v>
      </c>
      <c r="AM95" s="60" t="n">
        <f aca="false">AL95+AA95</f>
        <v>0</v>
      </c>
      <c r="AN95" s="60" t="n">
        <f aca="false">AM95+AB95+AC95+AD95</f>
        <v>0</v>
      </c>
      <c r="AO95" s="60" t="n">
        <f aca="false">AL95+AE95+AF95+AG95+AH95+AI95+AB95+AC95+AD95</f>
        <v>0</v>
      </c>
      <c r="AP95" s="60" t="n">
        <f aca="false">IF(Answers!$C$22="Yes",AO95,AN95)</f>
        <v>0</v>
      </c>
      <c r="AQ95" s="60" t="n">
        <v>576.5</v>
      </c>
      <c r="AR95" s="60" t="n">
        <v>-979.3</v>
      </c>
      <c r="AS95" s="60" t="n">
        <v>0</v>
      </c>
      <c r="AT95" s="60" t="n">
        <v>836.9</v>
      </c>
      <c r="AU95" s="60" t="n">
        <v>215.1</v>
      </c>
      <c r="AV95" s="60" t="n">
        <v>1358.3</v>
      </c>
      <c r="AW95" s="60" t="n">
        <v>0.1</v>
      </c>
      <c r="AX95" s="60" t="n">
        <v>154.2</v>
      </c>
      <c r="AY95" s="60" t="n">
        <v>59.5</v>
      </c>
      <c r="AZ95" s="60" t="n">
        <v>79.4</v>
      </c>
      <c r="BA95" s="60" t="n">
        <v>33.7</v>
      </c>
      <c r="BB95" s="60" t="n">
        <v>510.1</v>
      </c>
      <c r="BC95" s="60" t="n">
        <f aca="false">AQ95+AR95+AS95+AT95+AU95+AV95+AW95</f>
        <v>2007.6</v>
      </c>
      <c r="BD95" s="60" t="n">
        <f aca="false">AQ95</f>
        <v>576.5</v>
      </c>
      <c r="BE95" s="60" t="n">
        <f aca="false">AQ95+AR95</f>
        <v>-402.8</v>
      </c>
      <c r="BF95" s="60" t="n">
        <f aca="false">BE95+AS95</f>
        <v>-402.8</v>
      </c>
      <c r="BG95" s="60" t="n">
        <f aca="false">BF95+AT95</f>
        <v>434.1</v>
      </c>
      <c r="BH95" s="60" t="n">
        <f aca="false">BG95+AU95+AV95+AW95</f>
        <v>2007.6</v>
      </c>
      <c r="BI95" s="60" t="n">
        <f aca="false">BC95</f>
        <v>2007.6</v>
      </c>
      <c r="BJ95" s="60" t="n">
        <f aca="false">IF('Level 1'!$C$31="Yes",BD95,AJ95)</f>
        <v>0</v>
      </c>
      <c r="BK95" s="60" t="n">
        <f aca="false">IF('Level 2'!$C$31="Yes",BE95,AK95)</f>
        <v>0</v>
      </c>
      <c r="BL95" s="60" t="n">
        <f aca="false">IF('Level 3'!$C$31="Yes",BF95,AL95)</f>
        <v>0</v>
      </c>
      <c r="BM95" s="60" t="n">
        <f aca="false">IF('Level 4'!$C$31="Yes",BG95,AM95)</f>
        <v>0</v>
      </c>
      <c r="BN95" s="60" t="n">
        <f aca="false">IF('Level 5'!$C$31="Yes",BH95,AN95)</f>
        <v>0</v>
      </c>
      <c r="BO95" s="60" t="n">
        <f aca="false">IF('Level 6'!$C$31="Yes",BI95,AO95)</f>
        <v>0</v>
      </c>
      <c r="BP95" s="60" t="n">
        <f aca="false">IF('Level 7'!$C$31="Yes",BC95,AP95)</f>
        <v>0</v>
      </c>
      <c r="BQ95" s="60" t="n">
        <f aca="false">D95-AP95</f>
        <v>329</v>
      </c>
      <c r="BR95" s="60" t="n">
        <f aca="false">BQ95^2</f>
        <v>108241</v>
      </c>
      <c r="BS95" s="60" t="n">
        <f aca="false">(BQ95-BQ94)^2</f>
        <v>3025</v>
      </c>
      <c r="BT95" s="60" t="str">
        <f aca="false">IF(D95&gt;2000,ABS(BQ95)/D95,"")</f>
        <v/>
      </c>
      <c r="BU95" s="60" t="n">
        <v>85</v>
      </c>
      <c r="BV95" s="62" t="n">
        <v>0.546</v>
      </c>
      <c r="BW95" s="60" t="n">
        <v>585.9</v>
      </c>
      <c r="BX95" s="60" t="n">
        <f aca="false">AA95</f>
        <v>0</v>
      </c>
      <c r="BY95" s="60" t="n">
        <f aca="false">H95</f>
        <v>1.8</v>
      </c>
      <c r="BZ95" s="60" t="n">
        <f aca="false">Z95</f>
        <v>0</v>
      </c>
      <c r="CA95" s="60" t="n">
        <f aca="false">AB95+AC95+AD95</f>
        <v>0</v>
      </c>
      <c r="CB95" s="60" t="n">
        <f aca="false">AE95+AF95+AG95+AH95+AI95</f>
        <v>0</v>
      </c>
    </row>
    <row r="96" customFormat="false" ht="15" hidden="false" customHeight="false" outlineLevel="0" collapsed="false">
      <c r="A96" s="58" t="n">
        <v>45564</v>
      </c>
      <c r="B96" s="59" t="n">
        <f aca="false">YEAR(A96)</f>
        <v>2024</v>
      </c>
      <c r="C96" s="59" t="n">
        <f aca="false">MONTH(A96)</f>
        <v>9</v>
      </c>
      <c r="D96" s="60" t="n">
        <v>220</v>
      </c>
      <c r="E96" s="61" t="n">
        <v>0.6611</v>
      </c>
      <c r="F96" s="61" t="n">
        <v>1.0282</v>
      </c>
      <c r="G96" s="61" t="n">
        <v>0</v>
      </c>
      <c r="H96" s="60" t="n">
        <v>1.62</v>
      </c>
      <c r="I96" s="60" t="n">
        <f aca="false">H96+'Level 4'!$C$12/100*I95</f>
        <v>1.62</v>
      </c>
      <c r="J96" s="60" t="n">
        <v>63.4</v>
      </c>
      <c r="K96" s="60" t="n">
        <v>80.4</v>
      </c>
      <c r="L96" s="60" t="n">
        <v>4.6</v>
      </c>
      <c r="M96" s="60" t="n">
        <f aca="false">L96+Answers!$C$14/100*M95</f>
        <v>12.3145725191485</v>
      </c>
      <c r="N96" s="60" t="n">
        <v>0</v>
      </c>
      <c r="O96" s="60" t="n">
        <v>0</v>
      </c>
      <c r="P96" s="60" t="n">
        <v>0</v>
      </c>
      <c r="Q96" s="60" t="n">
        <v>0</v>
      </c>
      <c r="R96" s="60" t="n">
        <v>1.4</v>
      </c>
      <c r="S96" s="60" t="n">
        <f aca="false">N96+Answers!$C$16/100*S95</f>
        <v>16.6493827331317</v>
      </c>
      <c r="T96" s="60" t="n">
        <f aca="false">O96+Answers!$C$17/100*T95</f>
        <v>7.40627452948262</v>
      </c>
      <c r="U96" s="60" t="n">
        <f aca="false">P96+Answers!$C$18/100*U95</f>
        <v>8.61426307095349</v>
      </c>
      <c r="V96" s="60" t="n">
        <f aca="false">Q96+Answers!$C$19/100*V95</f>
        <v>14.2823138854883</v>
      </c>
      <c r="W96" s="60" t="n">
        <f aca="false">R96+Answers!$C$20/100*W95</f>
        <v>63.7750674314797</v>
      </c>
      <c r="X96" s="60" t="n">
        <f aca="false">IF('Level 1'!$C$11="",0,'Level 1'!$C$11)*E96</f>
        <v>0</v>
      </c>
      <c r="Y96" s="60" t="n">
        <f aca="false">-IF('Level 2'!$C$11="",0,'Level 2'!$C$11)*F96</f>
        <v>-0</v>
      </c>
      <c r="Z96" s="60" t="n">
        <f aca="false">IF('Level 3'!$C$11="",0,'Level 3'!$C$11)*G96</f>
        <v>0</v>
      </c>
      <c r="AA96" s="60" t="n">
        <f aca="false">IF('Level 4'!$C$11="",0,'Level 4'!$C$11)*(1-'Level 4'!$C$12/100)*I96</f>
        <v>0</v>
      </c>
      <c r="AB96" s="60" t="n">
        <f aca="false">IF('Level 5'!$C$11="",0,'Level 5'!$C$11)*J96</f>
        <v>0</v>
      </c>
      <c r="AC96" s="60" t="n">
        <f aca="false">IF('Level 5'!$C$12="",0,'Level 5'!$C$12)*K96</f>
        <v>0</v>
      </c>
      <c r="AD96" s="60" t="n">
        <f aca="false">IF('Level 5'!$C$13="",0,'Level 5'!$C$13)*(1-Answers!$C$14/100)*M96</f>
        <v>0</v>
      </c>
      <c r="AE96" s="60" t="n">
        <f aca="false">IF('Level 6'!$C$11="",0,'Level 6'!$C$11)*(1-Answers!$C$16/100)*S96</f>
        <v>0</v>
      </c>
      <c r="AF96" s="60" t="n">
        <f aca="false">IF('Level 6'!$C$12="",0,'Level 6'!$C$12)*(1-Answers!$C$17/100)*T96</f>
        <v>0</v>
      </c>
      <c r="AG96" s="60" t="n">
        <f aca="false">IF('Level 6'!$C$13="",0,'Level 6'!$C$13)*(1-Answers!$C$18/100)*U96</f>
        <v>0</v>
      </c>
      <c r="AH96" s="60" t="n">
        <f aca="false">IF('Level 6'!$C$14="",0,'Level 6'!$C$14)*(1-Answers!$C$19/100)*V96</f>
        <v>0</v>
      </c>
      <c r="AI96" s="60" t="n">
        <f aca="false">IF('Level 6'!$C$15="",0,'Level 6'!$C$15)*(1-Answers!$C$20/100)*W96</f>
        <v>0</v>
      </c>
      <c r="AJ96" s="60" t="n">
        <f aca="false">X96</f>
        <v>0</v>
      </c>
      <c r="AK96" s="60" t="n">
        <f aca="false">X96+Y96</f>
        <v>0</v>
      </c>
      <c r="AL96" s="60" t="n">
        <f aca="false">AK96+Z96</f>
        <v>0</v>
      </c>
      <c r="AM96" s="60" t="n">
        <f aca="false">AL96+AA96</f>
        <v>0</v>
      </c>
      <c r="AN96" s="60" t="n">
        <f aca="false">AM96+AB96+AC96+AD96</f>
        <v>0</v>
      </c>
      <c r="AO96" s="60" t="n">
        <f aca="false">AL96+AE96+AF96+AG96+AH96+AI96+AB96+AC96+AD96</f>
        <v>0</v>
      </c>
      <c r="AP96" s="60" t="n">
        <f aca="false">IF(Answers!$C$22="Yes",AO96,AN96)</f>
        <v>0</v>
      </c>
      <c r="AQ96" s="60" t="n">
        <v>578.8</v>
      </c>
      <c r="AR96" s="60" t="n">
        <v>-979.3</v>
      </c>
      <c r="AS96" s="60" t="n">
        <v>0</v>
      </c>
      <c r="AT96" s="60" t="n">
        <v>739.6</v>
      </c>
      <c r="AU96" s="60" t="n">
        <v>193.3</v>
      </c>
      <c r="AV96" s="60" t="n">
        <v>294.2</v>
      </c>
      <c r="AW96" s="60" t="n">
        <v>0.1</v>
      </c>
      <c r="AX96" s="60" t="n">
        <v>131</v>
      </c>
      <c r="AY96" s="60" t="n">
        <v>50.6</v>
      </c>
      <c r="AZ96" s="60" t="n">
        <v>67.5</v>
      </c>
      <c r="BA96" s="60" t="n">
        <v>28.7</v>
      </c>
      <c r="BB96" s="60" t="n">
        <v>461.8</v>
      </c>
      <c r="BC96" s="60" t="n">
        <f aca="false">AQ96+AR96+AS96+AT96+AU96+AV96+AW96</f>
        <v>826.7</v>
      </c>
      <c r="BD96" s="60" t="n">
        <f aca="false">AQ96</f>
        <v>578.8</v>
      </c>
      <c r="BE96" s="60" t="n">
        <f aca="false">AQ96+AR96</f>
        <v>-400.5</v>
      </c>
      <c r="BF96" s="60" t="n">
        <f aca="false">BE96+AS96</f>
        <v>-400.5</v>
      </c>
      <c r="BG96" s="60" t="n">
        <f aca="false">BF96+AT96</f>
        <v>339.1</v>
      </c>
      <c r="BH96" s="60" t="n">
        <f aca="false">BG96+AU96+AV96+AW96</f>
        <v>826.7</v>
      </c>
      <c r="BI96" s="60" t="n">
        <f aca="false">BC96</f>
        <v>826.7</v>
      </c>
      <c r="BJ96" s="60" t="n">
        <f aca="false">IF('Level 1'!$C$31="Yes",BD96,AJ96)</f>
        <v>0</v>
      </c>
      <c r="BK96" s="60" t="n">
        <f aca="false">IF('Level 2'!$C$31="Yes",BE96,AK96)</f>
        <v>0</v>
      </c>
      <c r="BL96" s="60" t="n">
        <f aca="false">IF('Level 3'!$C$31="Yes",BF96,AL96)</f>
        <v>0</v>
      </c>
      <c r="BM96" s="60" t="n">
        <f aca="false">IF('Level 4'!$C$31="Yes",BG96,AM96)</f>
        <v>0</v>
      </c>
      <c r="BN96" s="60" t="n">
        <f aca="false">IF('Level 5'!$C$31="Yes",BH96,AN96)</f>
        <v>0</v>
      </c>
      <c r="BO96" s="60" t="n">
        <f aca="false">IF('Level 6'!$C$31="Yes",BI96,AO96)</f>
        <v>0</v>
      </c>
      <c r="BP96" s="60" t="n">
        <f aca="false">IF('Level 7'!$C$31="Yes",BC96,AP96)</f>
        <v>0</v>
      </c>
      <c r="BQ96" s="60" t="n">
        <f aca="false">D96-AP96</f>
        <v>220</v>
      </c>
      <c r="BR96" s="60" t="n">
        <f aca="false">BQ96^2</f>
        <v>48400</v>
      </c>
      <c r="BS96" s="60" t="n">
        <f aca="false">(BQ96-BQ95)^2</f>
        <v>11881</v>
      </c>
      <c r="BT96" s="60" t="str">
        <f aca="false">IF(D96&gt;2000,ABS(BQ96)/D96,"")</f>
        <v/>
      </c>
      <c r="BU96" s="60" t="n">
        <v>99</v>
      </c>
      <c r="BV96" s="62" t="n">
        <v>0.5536</v>
      </c>
      <c r="BW96" s="60" t="n">
        <v>283.3</v>
      </c>
      <c r="BX96" s="60" t="n">
        <f aca="false">AA96</f>
        <v>0</v>
      </c>
      <c r="BY96" s="60" t="n">
        <f aca="false">H96</f>
        <v>1.62</v>
      </c>
      <c r="BZ96" s="60" t="n">
        <f aca="false">Z96</f>
        <v>0</v>
      </c>
      <c r="CA96" s="60" t="n">
        <f aca="false">AB96+AC96+AD96</f>
        <v>0</v>
      </c>
      <c r="CB96" s="60" t="n">
        <f aca="false">AE96+AF96+AG96+AH96+AI96</f>
        <v>0</v>
      </c>
    </row>
    <row r="97" customFormat="false" ht="15" hidden="false" customHeight="false" outlineLevel="0" collapsed="false">
      <c r="A97" s="58" t="n">
        <v>45571</v>
      </c>
      <c r="B97" s="59" t="n">
        <f aca="false">YEAR(A97)</f>
        <v>2024</v>
      </c>
      <c r="C97" s="59" t="n">
        <f aca="false">MONTH(A97)</f>
        <v>10</v>
      </c>
      <c r="D97" s="60" t="n">
        <v>351</v>
      </c>
      <c r="E97" s="61" t="n">
        <v>0.6637</v>
      </c>
      <c r="F97" s="61" t="n">
        <v>1.0282</v>
      </c>
      <c r="G97" s="61" t="n">
        <v>0</v>
      </c>
      <c r="H97" s="60" t="n">
        <v>1.6</v>
      </c>
      <c r="I97" s="60" t="n">
        <f aca="false">H97+'Level 4'!$C$12/100*I96</f>
        <v>1.6</v>
      </c>
      <c r="J97" s="60" t="n">
        <v>110.88</v>
      </c>
      <c r="K97" s="60" t="n">
        <v>44.39</v>
      </c>
      <c r="L97" s="60" t="n">
        <v>4.65</v>
      </c>
      <c r="M97" s="60" t="n">
        <f aca="false">L97+Answers!$C$14/100*M96</f>
        <v>12.0387435114891</v>
      </c>
      <c r="N97" s="60" t="n">
        <v>0</v>
      </c>
      <c r="O97" s="60" t="n">
        <v>0</v>
      </c>
      <c r="P97" s="60" t="n">
        <v>0</v>
      </c>
      <c r="Q97" s="60" t="n">
        <v>0</v>
      </c>
      <c r="R97" s="60" t="n">
        <v>1.25</v>
      </c>
      <c r="S97" s="60" t="n">
        <f aca="false">N97+Answers!$C$16/100*S96</f>
        <v>13.3195061865054</v>
      </c>
      <c r="T97" s="60" t="n">
        <f aca="false">O97+Answers!$C$17/100*T96</f>
        <v>5.9250196235861</v>
      </c>
      <c r="U97" s="60" t="n">
        <f aca="false">P97+Answers!$C$18/100*U96</f>
        <v>6.89141045676279</v>
      </c>
      <c r="V97" s="60" t="n">
        <f aca="false">Q97+Answers!$C$19/100*V96</f>
        <v>11.4258511083907</v>
      </c>
      <c r="W97" s="60" t="n">
        <f aca="false">R97+Answers!$C$20/100*W96</f>
        <v>52.2700539451837</v>
      </c>
      <c r="X97" s="60" t="n">
        <f aca="false">IF('Level 1'!$C$11="",0,'Level 1'!$C$11)*E97</f>
        <v>0</v>
      </c>
      <c r="Y97" s="60" t="n">
        <f aca="false">-IF('Level 2'!$C$11="",0,'Level 2'!$C$11)*F97</f>
        <v>-0</v>
      </c>
      <c r="Z97" s="60" t="n">
        <f aca="false">IF('Level 3'!$C$11="",0,'Level 3'!$C$11)*G97</f>
        <v>0</v>
      </c>
      <c r="AA97" s="60" t="n">
        <f aca="false">IF('Level 4'!$C$11="",0,'Level 4'!$C$11)*(1-'Level 4'!$C$12/100)*I97</f>
        <v>0</v>
      </c>
      <c r="AB97" s="60" t="n">
        <f aca="false">IF('Level 5'!$C$11="",0,'Level 5'!$C$11)*J97</f>
        <v>0</v>
      </c>
      <c r="AC97" s="60" t="n">
        <f aca="false">IF('Level 5'!$C$12="",0,'Level 5'!$C$12)*K97</f>
        <v>0</v>
      </c>
      <c r="AD97" s="60" t="n">
        <f aca="false">IF('Level 5'!$C$13="",0,'Level 5'!$C$13)*(1-Answers!$C$14/100)*M97</f>
        <v>0</v>
      </c>
      <c r="AE97" s="60" t="n">
        <f aca="false">IF('Level 6'!$C$11="",0,'Level 6'!$C$11)*(1-Answers!$C$16/100)*S97</f>
        <v>0</v>
      </c>
      <c r="AF97" s="60" t="n">
        <f aca="false">IF('Level 6'!$C$12="",0,'Level 6'!$C$12)*(1-Answers!$C$17/100)*T97</f>
        <v>0</v>
      </c>
      <c r="AG97" s="60" t="n">
        <f aca="false">IF('Level 6'!$C$13="",0,'Level 6'!$C$13)*(1-Answers!$C$18/100)*U97</f>
        <v>0</v>
      </c>
      <c r="AH97" s="60" t="n">
        <f aca="false">IF('Level 6'!$C$14="",0,'Level 6'!$C$14)*(1-Answers!$C$19/100)*V97</f>
        <v>0</v>
      </c>
      <c r="AI97" s="60" t="n">
        <f aca="false">IF('Level 6'!$C$15="",0,'Level 6'!$C$15)*(1-Answers!$C$20/100)*W97</f>
        <v>0</v>
      </c>
      <c r="AJ97" s="60" t="n">
        <f aca="false">X97</f>
        <v>0</v>
      </c>
      <c r="AK97" s="60" t="n">
        <f aca="false">X97+Y97</f>
        <v>0</v>
      </c>
      <c r="AL97" s="60" t="n">
        <f aca="false">AK97+Z97</f>
        <v>0</v>
      </c>
      <c r="AM97" s="60" t="n">
        <f aca="false">AL97+AA97</f>
        <v>0</v>
      </c>
      <c r="AN97" s="60" t="n">
        <f aca="false">AM97+AB97+AC97+AD97</f>
        <v>0</v>
      </c>
      <c r="AO97" s="60" t="n">
        <f aca="false">AL97+AE97+AF97+AG97+AH97+AI97+AB97+AC97+AD97</f>
        <v>0</v>
      </c>
      <c r="AP97" s="60" t="n">
        <f aca="false">IF(Answers!$C$22="Yes",AO97,AN97)</f>
        <v>0</v>
      </c>
      <c r="AQ97" s="60" t="n">
        <v>581.2</v>
      </c>
      <c r="AR97" s="60" t="n">
        <v>-979.3</v>
      </c>
      <c r="AS97" s="60" t="n">
        <v>0</v>
      </c>
      <c r="AT97" s="60" t="n">
        <v>645.3</v>
      </c>
      <c r="AU97" s="60" t="n">
        <v>385.8</v>
      </c>
      <c r="AV97" s="60" t="n">
        <v>162.4</v>
      </c>
      <c r="AW97" s="60" t="n">
        <v>0</v>
      </c>
      <c r="AX97" s="60" t="n">
        <v>111.4</v>
      </c>
      <c r="AY97" s="60" t="n">
        <v>43</v>
      </c>
      <c r="AZ97" s="60" t="n">
        <v>57.4</v>
      </c>
      <c r="BA97" s="60" t="n">
        <v>24.4</v>
      </c>
      <c r="BB97" s="60" t="n">
        <v>409.1</v>
      </c>
      <c r="BC97" s="60" t="n">
        <f aca="false">AQ97+AR97+AS97+AT97+AU97+AV97+AW97</f>
        <v>795.4</v>
      </c>
      <c r="BD97" s="60" t="n">
        <f aca="false">AQ97</f>
        <v>581.2</v>
      </c>
      <c r="BE97" s="60" t="n">
        <f aca="false">AQ97+AR97</f>
        <v>-398.1</v>
      </c>
      <c r="BF97" s="60" t="n">
        <f aca="false">BE97+AS97</f>
        <v>-398.1</v>
      </c>
      <c r="BG97" s="60" t="n">
        <f aca="false">BF97+AT97</f>
        <v>247.2</v>
      </c>
      <c r="BH97" s="60" t="n">
        <f aca="false">BG97+AU97+AV97+AW97</f>
        <v>795.4</v>
      </c>
      <c r="BI97" s="60" t="n">
        <f aca="false">BC97</f>
        <v>795.4</v>
      </c>
      <c r="BJ97" s="60" t="n">
        <f aca="false">IF('Level 1'!$C$31="Yes",BD97,AJ97)</f>
        <v>0</v>
      </c>
      <c r="BK97" s="60" t="n">
        <f aca="false">IF('Level 2'!$C$31="Yes",BE97,AK97)</f>
        <v>0</v>
      </c>
      <c r="BL97" s="60" t="n">
        <f aca="false">IF('Level 3'!$C$31="Yes",BF97,AL97)</f>
        <v>0</v>
      </c>
      <c r="BM97" s="60" t="n">
        <f aca="false">IF('Level 4'!$C$31="Yes",BG97,AM97)</f>
        <v>0</v>
      </c>
      <c r="BN97" s="60" t="n">
        <f aca="false">IF('Level 5'!$C$31="Yes",BH97,AN97)</f>
        <v>0</v>
      </c>
      <c r="BO97" s="60" t="n">
        <f aca="false">IF('Level 6'!$C$31="Yes",BI97,AO97)</f>
        <v>0</v>
      </c>
      <c r="BP97" s="60" t="n">
        <f aca="false">IF('Level 7'!$C$31="Yes",BC97,AP97)</f>
        <v>0</v>
      </c>
      <c r="BQ97" s="60" t="n">
        <f aca="false">D97-AP97</f>
        <v>351</v>
      </c>
      <c r="BR97" s="60" t="n">
        <f aca="false">BQ97^2</f>
        <v>123201</v>
      </c>
      <c r="BS97" s="60" t="n">
        <f aca="false">(BQ97-BQ96)^2</f>
        <v>17161</v>
      </c>
      <c r="BT97" s="60" t="str">
        <f aca="false">IF(D97&gt;2000,ABS(BQ97)/D97,"")</f>
        <v/>
      </c>
      <c r="BU97" s="60" t="n">
        <v>132</v>
      </c>
      <c r="BV97" s="62" t="n">
        <v>0.5549</v>
      </c>
      <c r="BW97" s="60" t="n">
        <v>245.1</v>
      </c>
      <c r="BX97" s="60" t="n">
        <f aca="false">AA97</f>
        <v>0</v>
      </c>
      <c r="BY97" s="60" t="n">
        <f aca="false">H97</f>
        <v>1.6</v>
      </c>
      <c r="BZ97" s="60" t="n">
        <f aca="false">Z97</f>
        <v>0</v>
      </c>
      <c r="CA97" s="60" t="n">
        <f aca="false">AB97+AC97+AD97</f>
        <v>0</v>
      </c>
      <c r="CB97" s="60" t="n">
        <f aca="false">AE97+AF97+AG97+AH97+AI97</f>
        <v>0</v>
      </c>
    </row>
    <row r="98" customFormat="false" ht="15" hidden="false" customHeight="false" outlineLevel="0" collapsed="false">
      <c r="A98" s="58" t="n">
        <v>45578</v>
      </c>
      <c r="B98" s="59" t="n">
        <f aca="false">YEAR(A98)</f>
        <v>2024</v>
      </c>
      <c r="C98" s="59" t="n">
        <f aca="false">MONTH(A98)</f>
        <v>10</v>
      </c>
      <c r="D98" s="60" t="n">
        <v>420</v>
      </c>
      <c r="E98" s="61" t="n">
        <v>0.6664</v>
      </c>
      <c r="F98" s="61" t="n">
        <v>1.0282</v>
      </c>
      <c r="G98" s="61" t="n">
        <v>0</v>
      </c>
      <c r="H98" s="60" t="n">
        <v>1.56</v>
      </c>
      <c r="I98" s="60" t="n">
        <f aca="false">H98+'Level 4'!$C$12/100*I97</f>
        <v>1.56</v>
      </c>
      <c r="J98" s="60" t="n">
        <v>108.23</v>
      </c>
      <c r="K98" s="60" t="n">
        <v>82.1</v>
      </c>
      <c r="L98" s="60" t="n">
        <v>395.77</v>
      </c>
      <c r="M98" s="60" t="n">
        <f aca="false">L98+Answers!$C$14/100*M97</f>
        <v>402.993246106893</v>
      </c>
      <c r="N98" s="60" t="n">
        <v>0</v>
      </c>
      <c r="O98" s="60" t="n">
        <v>0</v>
      </c>
      <c r="P98" s="60" t="n">
        <v>0</v>
      </c>
      <c r="Q98" s="60" t="n">
        <v>0</v>
      </c>
      <c r="R98" s="60" t="n">
        <v>1.14</v>
      </c>
      <c r="S98" s="60" t="n">
        <f aca="false">N98+Answers!$C$16/100*S97</f>
        <v>10.6556049492043</v>
      </c>
      <c r="T98" s="60" t="n">
        <f aca="false">O98+Answers!$C$17/100*T97</f>
        <v>4.74001569886888</v>
      </c>
      <c r="U98" s="60" t="n">
        <f aca="false">P98+Answers!$C$18/100*U97</f>
        <v>5.51312836541023</v>
      </c>
      <c r="V98" s="60" t="n">
        <f aca="false">Q98+Answers!$C$19/100*V97</f>
        <v>9.14068088671254</v>
      </c>
      <c r="W98" s="60" t="n">
        <f aca="false">R98+Answers!$C$20/100*W97</f>
        <v>42.956043156147</v>
      </c>
      <c r="X98" s="60" t="n">
        <f aca="false">IF('Level 1'!$C$11="",0,'Level 1'!$C$11)*E98</f>
        <v>0</v>
      </c>
      <c r="Y98" s="60" t="n">
        <f aca="false">-IF('Level 2'!$C$11="",0,'Level 2'!$C$11)*F98</f>
        <v>-0</v>
      </c>
      <c r="Z98" s="60" t="n">
        <f aca="false">IF('Level 3'!$C$11="",0,'Level 3'!$C$11)*G98</f>
        <v>0</v>
      </c>
      <c r="AA98" s="60" t="n">
        <f aca="false">IF('Level 4'!$C$11="",0,'Level 4'!$C$11)*(1-'Level 4'!$C$12/100)*I98</f>
        <v>0</v>
      </c>
      <c r="AB98" s="60" t="n">
        <f aca="false">IF('Level 5'!$C$11="",0,'Level 5'!$C$11)*J98</f>
        <v>0</v>
      </c>
      <c r="AC98" s="60" t="n">
        <f aca="false">IF('Level 5'!$C$12="",0,'Level 5'!$C$12)*K98</f>
        <v>0</v>
      </c>
      <c r="AD98" s="60" t="n">
        <f aca="false">IF('Level 5'!$C$13="",0,'Level 5'!$C$13)*(1-Answers!$C$14/100)*M98</f>
        <v>0</v>
      </c>
      <c r="AE98" s="60" t="n">
        <f aca="false">IF('Level 6'!$C$11="",0,'Level 6'!$C$11)*(1-Answers!$C$16/100)*S98</f>
        <v>0</v>
      </c>
      <c r="AF98" s="60" t="n">
        <f aca="false">IF('Level 6'!$C$12="",0,'Level 6'!$C$12)*(1-Answers!$C$17/100)*T98</f>
        <v>0</v>
      </c>
      <c r="AG98" s="60" t="n">
        <f aca="false">IF('Level 6'!$C$13="",0,'Level 6'!$C$13)*(1-Answers!$C$18/100)*U98</f>
        <v>0</v>
      </c>
      <c r="AH98" s="60" t="n">
        <f aca="false">IF('Level 6'!$C$14="",0,'Level 6'!$C$14)*(1-Answers!$C$19/100)*V98</f>
        <v>0</v>
      </c>
      <c r="AI98" s="60" t="n">
        <f aca="false">IF('Level 6'!$C$15="",0,'Level 6'!$C$15)*(1-Answers!$C$20/100)*W98</f>
        <v>0</v>
      </c>
      <c r="AJ98" s="60" t="n">
        <f aca="false">X98</f>
        <v>0</v>
      </c>
      <c r="AK98" s="60" t="n">
        <f aca="false">X98+Y98</f>
        <v>0</v>
      </c>
      <c r="AL98" s="60" t="n">
        <f aca="false">AK98+Z98</f>
        <v>0</v>
      </c>
      <c r="AM98" s="60" t="n">
        <f aca="false">AL98+AA98</f>
        <v>0</v>
      </c>
      <c r="AN98" s="60" t="n">
        <f aca="false">AM98+AB98+AC98+AD98</f>
        <v>0</v>
      </c>
      <c r="AO98" s="60" t="n">
        <f aca="false">AL98+AE98+AF98+AG98+AH98+AI98+AB98+AC98+AD98</f>
        <v>0</v>
      </c>
      <c r="AP98" s="60" t="n">
        <f aca="false">IF(Answers!$C$22="Yes",AO98,AN98)</f>
        <v>0</v>
      </c>
      <c r="AQ98" s="60" t="n">
        <v>583.5</v>
      </c>
      <c r="AR98" s="60" t="n">
        <v>-979.3</v>
      </c>
      <c r="AS98" s="60" t="n">
        <v>0</v>
      </c>
      <c r="AT98" s="60" t="n">
        <v>565.3</v>
      </c>
      <c r="AU98" s="60" t="n">
        <v>376.5</v>
      </c>
      <c r="AV98" s="60" t="n">
        <v>300.4</v>
      </c>
      <c r="AW98" s="60" t="n">
        <v>0</v>
      </c>
      <c r="AX98" s="60" t="n">
        <v>94.7</v>
      </c>
      <c r="AY98" s="60" t="n">
        <v>36.6</v>
      </c>
      <c r="AZ98" s="60" t="n">
        <v>48.8</v>
      </c>
      <c r="BA98" s="60" t="n">
        <v>20.7</v>
      </c>
      <c r="BB98" s="60" t="n">
        <v>364.6</v>
      </c>
      <c r="BC98" s="60" t="n">
        <f aca="false">AQ98+AR98+AS98+AT98+AU98+AV98+AW98</f>
        <v>846.4</v>
      </c>
      <c r="BD98" s="60" t="n">
        <f aca="false">AQ98</f>
        <v>583.5</v>
      </c>
      <c r="BE98" s="60" t="n">
        <f aca="false">AQ98+AR98</f>
        <v>-395.8</v>
      </c>
      <c r="BF98" s="60" t="n">
        <f aca="false">BE98+AS98</f>
        <v>-395.8</v>
      </c>
      <c r="BG98" s="60" t="n">
        <f aca="false">BF98+AT98</f>
        <v>169.5</v>
      </c>
      <c r="BH98" s="60" t="n">
        <f aca="false">BG98+AU98+AV98+AW98</f>
        <v>846.4</v>
      </c>
      <c r="BI98" s="60" t="n">
        <f aca="false">BC98</f>
        <v>846.4</v>
      </c>
      <c r="BJ98" s="60" t="n">
        <f aca="false">IF('Level 1'!$C$31="Yes",BD98,AJ98)</f>
        <v>0</v>
      </c>
      <c r="BK98" s="60" t="n">
        <f aca="false">IF('Level 2'!$C$31="Yes",BE98,AK98)</f>
        <v>0</v>
      </c>
      <c r="BL98" s="60" t="n">
        <f aca="false">IF('Level 3'!$C$31="Yes",BF98,AL98)</f>
        <v>0</v>
      </c>
      <c r="BM98" s="60" t="n">
        <f aca="false">IF('Level 4'!$C$31="Yes",BG98,AM98)</f>
        <v>0</v>
      </c>
      <c r="BN98" s="60" t="n">
        <f aca="false">IF('Level 5'!$C$31="Yes",BH98,AN98)</f>
        <v>0</v>
      </c>
      <c r="BO98" s="60" t="n">
        <f aca="false">IF('Level 6'!$C$31="Yes",BI98,AO98)</f>
        <v>0</v>
      </c>
      <c r="BP98" s="60" t="n">
        <f aca="false">IF('Level 7'!$C$31="Yes",BC98,AP98)</f>
        <v>0</v>
      </c>
      <c r="BQ98" s="60" t="n">
        <f aca="false">D98-AP98</f>
        <v>420</v>
      </c>
      <c r="BR98" s="60" t="n">
        <f aca="false">BQ98^2</f>
        <v>176400</v>
      </c>
      <c r="BS98" s="60" t="n">
        <f aca="false">(BQ98-BQ97)^2</f>
        <v>4761</v>
      </c>
      <c r="BT98" s="60" t="str">
        <f aca="false">IF(D98&gt;2000,ABS(BQ98)/D98,"")</f>
        <v/>
      </c>
      <c r="BU98" s="60" t="n">
        <v>146</v>
      </c>
      <c r="BV98" s="62" t="n">
        <v>0.5549</v>
      </c>
      <c r="BW98" s="60" t="n">
        <v>670.7</v>
      </c>
      <c r="BX98" s="60" t="n">
        <f aca="false">AA98</f>
        <v>0</v>
      </c>
      <c r="BY98" s="60" t="n">
        <f aca="false">H98</f>
        <v>1.56</v>
      </c>
      <c r="BZ98" s="60" t="n">
        <f aca="false">Z98</f>
        <v>0</v>
      </c>
      <c r="CA98" s="60" t="n">
        <f aca="false">AB98+AC98+AD98</f>
        <v>0</v>
      </c>
      <c r="CB98" s="60" t="n">
        <f aca="false">AE98+AF98+AG98+AH98+AI98</f>
        <v>0</v>
      </c>
    </row>
    <row r="99" customFormat="false" ht="15" hidden="false" customHeight="false" outlineLevel="0" collapsed="false">
      <c r="A99" s="58" t="n">
        <v>45585</v>
      </c>
      <c r="B99" s="59" t="n">
        <f aca="false">YEAR(A99)</f>
        <v>2024</v>
      </c>
      <c r="C99" s="59" t="n">
        <f aca="false">MONTH(A99)</f>
        <v>10</v>
      </c>
      <c r="D99" s="60" t="n">
        <v>381</v>
      </c>
      <c r="E99" s="61" t="n">
        <v>0.6664</v>
      </c>
      <c r="F99" s="61" t="n">
        <v>1.0282</v>
      </c>
      <c r="G99" s="61" t="n">
        <v>0</v>
      </c>
      <c r="H99" s="60" t="n">
        <v>0.94</v>
      </c>
      <c r="I99" s="60" t="n">
        <f aca="false">H99+'Level 4'!$C$12/100*I98</f>
        <v>0.94</v>
      </c>
      <c r="J99" s="60" t="n">
        <v>123.63</v>
      </c>
      <c r="K99" s="60" t="n">
        <v>24.89</v>
      </c>
      <c r="L99" s="60" t="n">
        <v>361.59</v>
      </c>
      <c r="M99" s="60" t="n">
        <f aca="false">L99+Answers!$C$14/100*M98</f>
        <v>603.385947664136</v>
      </c>
      <c r="N99" s="60" t="n">
        <v>0</v>
      </c>
      <c r="O99" s="60" t="n">
        <v>0</v>
      </c>
      <c r="P99" s="60" t="n">
        <v>0</v>
      </c>
      <c r="Q99" s="60" t="n">
        <v>0</v>
      </c>
      <c r="R99" s="60" t="n">
        <v>0.56</v>
      </c>
      <c r="S99" s="60" t="n">
        <f aca="false">N99+Answers!$C$16/100*S98</f>
        <v>8.52448395936344</v>
      </c>
      <c r="T99" s="60" t="n">
        <f aca="false">O99+Answers!$C$17/100*T98</f>
        <v>3.7920125590951</v>
      </c>
      <c r="U99" s="60" t="n">
        <f aca="false">P99+Answers!$C$18/100*U98</f>
        <v>4.41050269232819</v>
      </c>
      <c r="V99" s="60" t="n">
        <f aca="false">Q99+Answers!$C$19/100*V98</f>
        <v>7.31254470937004</v>
      </c>
      <c r="W99" s="60" t="n">
        <f aca="false">R99+Answers!$C$20/100*W98</f>
        <v>34.9248345249176</v>
      </c>
      <c r="X99" s="60" t="n">
        <f aca="false">IF('Level 1'!$C$11="",0,'Level 1'!$C$11)*E99</f>
        <v>0</v>
      </c>
      <c r="Y99" s="60" t="n">
        <f aca="false">-IF('Level 2'!$C$11="",0,'Level 2'!$C$11)*F99</f>
        <v>-0</v>
      </c>
      <c r="Z99" s="60" t="n">
        <f aca="false">IF('Level 3'!$C$11="",0,'Level 3'!$C$11)*G99</f>
        <v>0</v>
      </c>
      <c r="AA99" s="60" t="n">
        <f aca="false">IF('Level 4'!$C$11="",0,'Level 4'!$C$11)*(1-'Level 4'!$C$12/100)*I99</f>
        <v>0</v>
      </c>
      <c r="AB99" s="60" t="n">
        <f aca="false">IF('Level 5'!$C$11="",0,'Level 5'!$C$11)*J99</f>
        <v>0</v>
      </c>
      <c r="AC99" s="60" t="n">
        <f aca="false">IF('Level 5'!$C$12="",0,'Level 5'!$C$12)*K99</f>
        <v>0</v>
      </c>
      <c r="AD99" s="60" t="n">
        <f aca="false">IF('Level 5'!$C$13="",0,'Level 5'!$C$13)*(1-Answers!$C$14/100)*M99</f>
        <v>0</v>
      </c>
      <c r="AE99" s="60" t="n">
        <f aca="false">IF('Level 6'!$C$11="",0,'Level 6'!$C$11)*(1-Answers!$C$16/100)*S99</f>
        <v>0</v>
      </c>
      <c r="AF99" s="60" t="n">
        <f aca="false">IF('Level 6'!$C$12="",0,'Level 6'!$C$12)*(1-Answers!$C$17/100)*T99</f>
        <v>0</v>
      </c>
      <c r="AG99" s="60" t="n">
        <f aca="false">IF('Level 6'!$C$13="",0,'Level 6'!$C$13)*(1-Answers!$C$18/100)*U99</f>
        <v>0</v>
      </c>
      <c r="AH99" s="60" t="n">
        <f aca="false">IF('Level 6'!$C$14="",0,'Level 6'!$C$14)*(1-Answers!$C$19/100)*V99</f>
        <v>0</v>
      </c>
      <c r="AI99" s="60" t="n">
        <f aca="false">IF('Level 6'!$C$15="",0,'Level 6'!$C$15)*(1-Answers!$C$20/100)*W99</f>
        <v>0</v>
      </c>
      <c r="AJ99" s="60" t="n">
        <f aca="false">X99</f>
        <v>0</v>
      </c>
      <c r="AK99" s="60" t="n">
        <f aca="false">X99+Y99</f>
        <v>0</v>
      </c>
      <c r="AL99" s="60" t="n">
        <f aca="false">AK99+Z99</f>
        <v>0</v>
      </c>
      <c r="AM99" s="60" t="n">
        <f aca="false">AL99+AA99</f>
        <v>0</v>
      </c>
      <c r="AN99" s="60" t="n">
        <f aca="false">AM99+AB99+AC99+AD99</f>
        <v>0</v>
      </c>
      <c r="AO99" s="60" t="n">
        <f aca="false">AL99+AE99+AF99+AG99+AH99+AI99+AB99+AC99+AD99</f>
        <v>0</v>
      </c>
      <c r="AP99" s="60" t="n">
        <f aca="false">IF(Answers!$C$22="Yes",AO99,AN99)</f>
        <v>0</v>
      </c>
      <c r="AQ99" s="60" t="n">
        <v>583.5</v>
      </c>
      <c r="AR99" s="60" t="n">
        <v>-979.3</v>
      </c>
      <c r="AS99" s="60" t="n">
        <v>0</v>
      </c>
      <c r="AT99" s="60" t="n">
        <v>515.4</v>
      </c>
      <c r="AU99" s="60" t="n">
        <v>433.6</v>
      </c>
      <c r="AV99" s="60" t="n">
        <v>91</v>
      </c>
      <c r="AW99" s="60" t="n">
        <v>0</v>
      </c>
      <c r="AX99" s="60" t="n">
        <v>80.5</v>
      </c>
      <c r="AY99" s="60" t="n">
        <v>31.1</v>
      </c>
      <c r="AZ99" s="60" t="n">
        <v>41.4</v>
      </c>
      <c r="BA99" s="60" t="n">
        <v>17.6</v>
      </c>
      <c r="BB99" s="60" t="n">
        <v>344.8</v>
      </c>
      <c r="BC99" s="60" t="n">
        <f aca="false">AQ99+AR99+AS99+AT99+AU99+AV99+AW99</f>
        <v>644.2</v>
      </c>
      <c r="BD99" s="60" t="n">
        <f aca="false">AQ99</f>
        <v>583.5</v>
      </c>
      <c r="BE99" s="60" t="n">
        <f aca="false">AQ99+AR99</f>
        <v>-395.8</v>
      </c>
      <c r="BF99" s="60" t="n">
        <f aca="false">BE99+AS99</f>
        <v>-395.8</v>
      </c>
      <c r="BG99" s="60" t="n">
        <f aca="false">BF99+AT99</f>
        <v>119.6</v>
      </c>
      <c r="BH99" s="60" t="n">
        <f aca="false">BG99+AU99+AV99+AW99</f>
        <v>644.2</v>
      </c>
      <c r="BI99" s="60" t="n">
        <f aca="false">BC99</f>
        <v>644.2</v>
      </c>
      <c r="BJ99" s="60" t="n">
        <f aca="false">IF('Level 1'!$C$31="Yes",BD99,AJ99)</f>
        <v>0</v>
      </c>
      <c r="BK99" s="60" t="n">
        <f aca="false">IF('Level 2'!$C$31="Yes",BE99,AK99)</f>
        <v>0</v>
      </c>
      <c r="BL99" s="60" t="n">
        <f aca="false">IF('Level 3'!$C$31="Yes",BF99,AL99)</f>
        <v>0</v>
      </c>
      <c r="BM99" s="60" t="n">
        <f aca="false">IF('Level 4'!$C$31="Yes",BG99,AM99)</f>
        <v>0</v>
      </c>
      <c r="BN99" s="60" t="n">
        <f aca="false">IF('Level 5'!$C$31="Yes",BH99,AN99)</f>
        <v>0</v>
      </c>
      <c r="BO99" s="60" t="n">
        <f aca="false">IF('Level 6'!$C$31="Yes",BI99,AO99)</f>
        <v>0</v>
      </c>
      <c r="BP99" s="60" t="n">
        <f aca="false">IF('Level 7'!$C$31="Yes",BC99,AP99)</f>
        <v>0</v>
      </c>
      <c r="BQ99" s="60" t="n">
        <f aca="false">D99-AP99</f>
        <v>381</v>
      </c>
      <c r="BR99" s="60" t="n">
        <f aca="false">BQ99^2</f>
        <v>145161</v>
      </c>
      <c r="BS99" s="60" t="n">
        <f aca="false">(BQ99-BQ98)^2</f>
        <v>1521</v>
      </c>
      <c r="BT99" s="60" t="str">
        <f aca="false">IF(D99&gt;2000,ABS(BQ99)/D99,"")</f>
        <v/>
      </c>
      <c r="BU99" s="60" t="n">
        <v>107</v>
      </c>
      <c r="BV99" s="62" t="n">
        <v>0.5549</v>
      </c>
      <c r="BW99" s="60" t="n">
        <v>637.6</v>
      </c>
      <c r="BX99" s="60" t="n">
        <f aca="false">AA99</f>
        <v>0</v>
      </c>
      <c r="BY99" s="60" t="n">
        <f aca="false">H99</f>
        <v>0.94</v>
      </c>
      <c r="BZ99" s="60" t="n">
        <f aca="false">Z99</f>
        <v>0</v>
      </c>
      <c r="CA99" s="60" t="n">
        <f aca="false">AB99+AC99+AD99</f>
        <v>0</v>
      </c>
      <c r="CB99" s="60" t="n">
        <f aca="false">AE99+AF99+AG99+AH99+AI99</f>
        <v>0</v>
      </c>
    </row>
    <row r="100" customFormat="false" ht="15" hidden="false" customHeight="false" outlineLevel="0" collapsed="false">
      <c r="A100" s="58" t="n">
        <v>45592</v>
      </c>
      <c r="B100" s="59" t="n">
        <f aca="false">YEAR(A100)</f>
        <v>2024</v>
      </c>
      <c r="C100" s="59" t="n">
        <f aca="false">MONTH(A100)</f>
        <v>10</v>
      </c>
      <c r="D100" s="60" t="n">
        <v>375</v>
      </c>
      <c r="E100" s="61" t="n">
        <v>0.6654</v>
      </c>
      <c r="F100" s="61" t="n">
        <v>1.0282</v>
      </c>
      <c r="G100" s="61" t="n">
        <v>0</v>
      </c>
      <c r="H100" s="60" t="n">
        <v>0.77</v>
      </c>
      <c r="I100" s="60" t="n">
        <f aca="false">H100+'Level 4'!$C$12/100*I99</f>
        <v>0.77</v>
      </c>
      <c r="J100" s="60" t="n">
        <v>120.14</v>
      </c>
      <c r="K100" s="60" t="n">
        <v>17.72</v>
      </c>
      <c r="L100" s="60" t="n">
        <v>412.94</v>
      </c>
      <c r="M100" s="60" t="n">
        <f aca="false">L100+Answers!$C$14/100*M99</f>
        <v>774.971568598482</v>
      </c>
      <c r="N100" s="60" t="n">
        <v>0</v>
      </c>
      <c r="O100" s="60" t="n">
        <v>0</v>
      </c>
      <c r="P100" s="60" t="n">
        <v>0</v>
      </c>
      <c r="Q100" s="60" t="n">
        <v>0</v>
      </c>
      <c r="R100" s="60" t="n">
        <v>0.39</v>
      </c>
      <c r="S100" s="60" t="n">
        <f aca="false">N100+Answers!$C$16/100*S99</f>
        <v>6.81958716749075</v>
      </c>
      <c r="T100" s="60" t="n">
        <f aca="false">O100+Answers!$C$17/100*T99</f>
        <v>3.03361004727608</v>
      </c>
      <c r="U100" s="60" t="n">
        <f aca="false">P100+Answers!$C$18/100*U99</f>
        <v>3.52840215386255</v>
      </c>
      <c r="V100" s="60" t="n">
        <f aca="false">Q100+Answers!$C$19/100*V99</f>
        <v>5.85003576749603</v>
      </c>
      <c r="W100" s="60" t="n">
        <f aca="false">R100+Answers!$C$20/100*W99</f>
        <v>28.3298676199341</v>
      </c>
      <c r="X100" s="60" t="n">
        <f aca="false">IF('Level 1'!$C$11="",0,'Level 1'!$C$11)*E100</f>
        <v>0</v>
      </c>
      <c r="Y100" s="60" t="n">
        <f aca="false">-IF('Level 2'!$C$11="",0,'Level 2'!$C$11)*F100</f>
        <v>-0</v>
      </c>
      <c r="Z100" s="60" t="n">
        <f aca="false">IF('Level 3'!$C$11="",0,'Level 3'!$C$11)*G100</f>
        <v>0</v>
      </c>
      <c r="AA100" s="60" t="n">
        <f aca="false">IF('Level 4'!$C$11="",0,'Level 4'!$C$11)*(1-'Level 4'!$C$12/100)*I100</f>
        <v>0</v>
      </c>
      <c r="AB100" s="60" t="n">
        <f aca="false">IF('Level 5'!$C$11="",0,'Level 5'!$C$11)*J100</f>
        <v>0</v>
      </c>
      <c r="AC100" s="60" t="n">
        <f aca="false">IF('Level 5'!$C$12="",0,'Level 5'!$C$12)*K100</f>
        <v>0</v>
      </c>
      <c r="AD100" s="60" t="n">
        <f aca="false">IF('Level 5'!$C$13="",0,'Level 5'!$C$13)*(1-Answers!$C$14/100)*M100</f>
        <v>0</v>
      </c>
      <c r="AE100" s="60" t="n">
        <f aca="false">IF('Level 6'!$C$11="",0,'Level 6'!$C$11)*(1-Answers!$C$16/100)*S100</f>
        <v>0</v>
      </c>
      <c r="AF100" s="60" t="n">
        <f aca="false">IF('Level 6'!$C$12="",0,'Level 6'!$C$12)*(1-Answers!$C$17/100)*T100</f>
        <v>0</v>
      </c>
      <c r="AG100" s="60" t="n">
        <f aca="false">IF('Level 6'!$C$13="",0,'Level 6'!$C$13)*(1-Answers!$C$18/100)*U100</f>
        <v>0</v>
      </c>
      <c r="AH100" s="60" t="n">
        <f aca="false">IF('Level 6'!$C$14="",0,'Level 6'!$C$14)*(1-Answers!$C$19/100)*V100</f>
        <v>0</v>
      </c>
      <c r="AI100" s="60" t="n">
        <f aca="false">IF('Level 6'!$C$15="",0,'Level 6'!$C$15)*(1-Answers!$C$20/100)*W100</f>
        <v>0</v>
      </c>
      <c r="AJ100" s="60" t="n">
        <f aca="false">X100</f>
        <v>0</v>
      </c>
      <c r="AK100" s="60" t="n">
        <f aca="false">X100+Y100</f>
        <v>0</v>
      </c>
      <c r="AL100" s="60" t="n">
        <f aca="false">AK100+Z100</f>
        <v>0</v>
      </c>
      <c r="AM100" s="60" t="n">
        <f aca="false">AL100+AA100</f>
        <v>0</v>
      </c>
      <c r="AN100" s="60" t="n">
        <f aca="false">AM100+AB100+AC100+AD100</f>
        <v>0</v>
      </c>
      <c r="AO100" s="60" t="n">
        <f aca="false">AL100+AE100+AF100+AG100+AH100+AI100+AB100+AC100+AD100</f>
        <v>0</v>
      </c>
      <c r="AP100" s="60" t="n">
        <f aca="false">IF(Answers!$C$22="Yes",AO100,AN100)</f>
        <v>0</v>
      </c>
      <c r="AQ100" s="60" t="n">
        <v>582.6</v>
      </c>
      <c r="AR100" s="60" t="n">
        <v>-979.3</v>
      </c>
      <c r="AS100" s="60" t="n">
        <v>0</v>
      </c>
      <c r="AT100" s="60" t="n">
        <v>484</v>
      </c>
      <c r="AU100" s="60" t="n">
        <v>415</v>
      </c>
      <c r="AV100" s="60" t="n">
        <v>64.8</v>
      </c>
      <c r="AW100" s="60" t="n">
        <v>0</v>
      </c>
      <c r="AX100" s="60" t="n">
        <v>68.4</v>
      </c>
      <c r="AY100" s="60" t="n">
        <v>26.4</v>
      </c>
      <c r="AZ100" s="60" t="n">
        <v>35.2</v>
      </c>
      <c r="BA100" s="60" t="n">
        <v>15</v>
      </c>
      <c r="BB100" s="60" t="n">
        <v>338.9</v>
      </c>
      <c r="BC100" s="60" t="n">
        <f aca="false">AQ100+AR100+AS100+AT100+AU100+AV100+AW100</f>
        <v>567.1</v>
      </c>
      <c r="BD100" s="60" t="n">
        <f aca="false">AQ100</f>
        <v>582.6</v>
      </c>
      <c r="BE100" s="60" t="n">
        <f aca="false">AQ100+AR100</f>
        <v>-396.7</v>
      </c>
      <c r="BF100" s="60" t="n">
        <f aca="false">BE100+AS100</f>
        <v>-396.7</v>
      </c>
      <c r="BG100" s="60" t="n">
        <f aca="false">BF100+AT100</f>
        <v>87.3000000000001</v>
      </c>
      <c r="BH100" s="60" t="n">
        <f aca="false">BG100+AU100+AV100+AW100</f>
        <v>567.1</v>
      </c>
      <c r="BI100" s="60" t="n">
        <f aca="false">BC100</f>
        <v>567.1</v>
      </c>
      <c r="BJ100" s="60" t="n">
        <f aca="false">IF('Level 1'!$C$31="Yes",BD100,AJ100)</f>
        <v>0</v>
      </c>
      <c r="BK100" s="60" t="n">
        <f aca="false">IF('Level 2'!$C$31="Yes",BE100,AK100)</f>
        <v>0</v>
      </c>
      <c r="BL100" s="60" t="n">
        <f aca="false">IF('Level 3'!$C$31="Yes",BF100,AL100)</f>
        <v>0</v>
      </c>
      <c r="BM100" s="60" t="n">
        <f aca="false">IF('Level 4'!$C$31="Yes",BG100,AM100)</f>
        <v>0</v>
      </c>
      <c r="BN100" s="60" t="n">
        <f aca="false">IF('Level 5'!$C$31="Yes",BH100,AN100)</f>
        <v>0</v>
      </c>
      <c r="BO100" s="60" t="n">
        <f aca="false">IF('Level 6'!$C$31="Yes",BI100,AO100)</f>
        <v>0</v>
      </c>
      <c r="BP100" s="60" t="n">
        <f aca="false">IF('Level 7'!$C$31="Yes",BC100,AP100)</f>
        <v>0</v>
      </c>
      <c r="BQ100" s="60" t="n">
        <f aca="false">D100-AP100</f>
        <v>375</v>
      </c>
      <c r="BR100" s="60" t="n">
        <f aca="false">BQ100^2</f>
        <v>140625</v>
      </c>
      <c r="BS100" s="60" t="n">
        <f aca="false">(BQ100-BQ99)^2</f>
        <v>36</v>
      </c>
      <c r="BT100" s="60" t="str">
        <f aca="false">IF(D100&gt;2000,ABS(BQ100)/D100,"")</f>
        <v/>
      </c>
      <c r="BU100" s="60" t="n">
        <v>160</v>
      </c>
      <c r="BV100" s="62" t="n">
        <v>0.5535</v>
      </c>
      <c r="BW100" s="60" t="n">
        <v>728</v>
      </c>
      <c r="BX100" s="60" t="n">
        <f aca="false">AA100</f>
        <v>0</v>
      </c>
      <c r="BY100" s="60" t="n">
        <f aca="false">H100</f>
        <v>0.77</v>
      </c>
      <c r="BZ100" s="60" t="n">
        <f aca="false">Z100</f>
        <v>0</v>
      </c>
      <c r="CA100" s="60" t="n">
        <f aca="false">AB100+AC100+AD100</f>
        <v>0</v>
      </c>
      <c r="CB100" s="60" t="n">
        <f aca="false">AE100+AF100+AG100+AH100+AI100</f>
        <v>0</v>
      </c>
    </row>
    <row r="101" customFormat="false" ht="15" hidden="false" customHeight="false" outlineLevel="0" collapsed="false">
      <c r="A101" s="58" t="n">
        <v>45599</v>
      </c>
      <c r="B101" s="59" t="n">
        <f aca="false">YEAR(A101)</f>
        <v>2024</v>
      </c>
      <c r="C101" s="59" t="n">
        <f aca="false">MONTH(A101)</f>
        <v>11</v>
      </c>
      <c r="D101" s="60" t="n">
        <v>800</v>
      </c>
      <c r="E101" s="61" t="n">
        <v>0.6645</v>
      </c>
      <c r="F101" s="61" t="n">
        <v>1.0282</v>
      </c>
      <c r="G101" s="61" t="n">
        <v>0</v>
      </c>
      <c r="H101" s="60" t="n">
        <v>1.39</v>
      </c>
      <c r="I101" s="60" t="n">
        <f aca="false">H101+'Level 4'!$C$12/100*I100</f>
        <v>1.39</v>
      </c>
      <c r="J101" s="60" t="n">
        <v>141.18</v>
      </c>
      <c r="K101" s="60" t="n">
        <v>26.1</v>
      </c>
      <c r="L101" s="60" t="n">
        <v>71.38</v>
      </c>
      <c r="M101" s="60" t="n">
        <f aca="false">L101+Answers!$C$14/100*M100</f>
        <v>536.362941159089</v>
      </c>
      <c r="N101" s="60" t="n">
        <v>0</v>
      </c>
      <c r="O101" s="60" t="n">
        <v>0</v>
      </c>
      <c r="P101" s="60" t="n">
        <v>0</v>
      </c>
      <c r="Q101" s="60" t="n">
        <v>0</v>
      </c>
      <c r="R101" s="60" t="n">
        <v>0.59</v>
      </c>
      <c r="S101" s="60" t="n">
        <f aca="false">N101+Answers!$C$16/100*S100</f>
        <v>5.4556697339926</v>
      </c>
      <c r="T101" s="60" t="n">
        <f aca="false">O101+Answers!$C$17/100*T100</f>
        <v>2.42688803782087</v>
      </c>
      <c r="U101" s="60" t="n">
        <f aca="false">P101+Answers!$C$18/100*U100</f>
        <v>2.82272172309004</v>
      </c>
      <c r="V101" s="60" t="n">
        <f aca="false">Q101+Answers!$C$19/100*V100</f>
        <v>4.68002861399682</v>
      </c>
      <c r="W101" s="60" t="n">
        <f aca="false">R101+Answers!$C$20/100*W100</f>
        <v>23.2538940959473</v>
      </c>
      <c r="X101" s="60" t="n">
        <f aca="false">IF('Level 1'!$C$11="",0,'Level 1'!$C$11)*E101</f>
        <v>0</v>
      </c>
      <c r="Y101" s="60" t="n">
        <f aca="false">-IF('Level 2'!$C$11="",0,'Level 2'!$C$11)*F101</f>
        <v>-0</v>
      </c>
      <c r="Z101" s="60" t="n">
        <f aca="false">IF('Level 3'!$C$11="",0,'Level 3'!$C$11)*G101</f>
        <v>0</v>
      </c>
      <c r="AA101" s="60" t="n">
        <f aca="false">IF('Level 4'!$C$11="",0,'Level 4'!$C$11)*(1-'Level 4'!$C$12/100)*I101</f>
        <v>0</v>
      </c>
      <c r="AB101" s="60" t="n">
        <f aca="false">IF('Level 5'!$C$11="",0,'Level 5'!$C$11)*J101</f>
        <v>0</v>
      </c>
      <c r="AC101" s="60" t="n">
        <f aca="false">IF('Level 5'!$C$12="",0,'Level 5'!$C$12)*K101</f>
        <v>0</v>
      </c>
      <c r="AD101" s="60" t="n">
        <f aca="false">IF('Level 5'!$C$13="",0,'Level 5'!$C$13)*(1-Answers!$C$14/100)*M101</f>
        <v>0</v>
      </c>
      <c r="AE101" s="60" t="n">
        <f aca="false">IF('Level 6'!$C$11="",0,'Level 6'!$C$11)*(1-Answers!$C$16/100)*S101</f>
        <v>0</v>
      </c>
      <c r="AF101" s="60" t="n">
        <f aca="false">IF('Level 6'!$C$12="",0,'Level 6'!$C$12)*(1-Answers!$C$17/100)*T101</f>
        <v>0</v>
      </c>
      <c r="AG101" s="60" t="n">
        <f aca="false">IF('Level 6'!$C$13="",0,'Level 6'!$C$13)*(1-Answers!$C$18/100)*U101</f>
        <v>0</v>
      </c>
      <c r="AH101" s="60" t="n">
        <f aca="false">IF('Level 6'!$C$14="",0,'Level 6'!$C$14)*(1-Answers!$C$19/100)*V101</f>
        <v>0</v>
      </c>
      <c r="AI101" s="60" t="n">
        <f aca="false">IF('Level 6'!$C$15="",0,'Level 6'!$C$15)*(1-Answers!$C$20/100)*W101</f>
        <v>0</v>
      </c>
      <c r="AJ101" s="60" t="n">
        <f aca="false">X101</f>
        <v>0</v>
      </c>
      <c r="AK101" s="60" t="n">
        <f aca="false">X101+Y101</f>
        <v>0</v>
      </c>
      <c r="AL101" s="60" t="n">
        <f aca="false">AK101+Z101</f>
        <v>0</v>
      </c>
      <c r="AM101" s="60" t="n">
        <f aca="false">AL101+AA101</f>
        <v>0</v>
      </c>
      <c r="AN101" s="60" t="n">
        <f aca="false">AM101+AB101+AC101+AD101</f>
        <v>0</v>
      </c>
      <c r="AO101" s="60" t="n">
        <f aca="false">AL101+AE101+AF101+AG101+AH101+AI101+AB101+AC101+AD101</f>
        <v>0</v>
      </c>
      <c r="AP101" s="60" t="n">
        <f aca="false">IF(Answers!$C$22="Yes",AO101,AN101)</f>
        <v>0</v>
      </c>
      <c r="AQ101" s="60" t="n">
        <v>581.8</v>
      </c>
      <c r="AR101" s="60" t="n">
        <v>-979.3</v>
      </c>
      <c r="AS101" s="60" t="n">
        <v>0</v>
      </c>
      <c r="AT101" s="60" t="n">
        <v>428.6</v>
      </c>
      <c r="AU101" s="60" t="n">
        <v>461.8</v>
      </c>
      <c r="AV101" s="60" t="n">
        <v>95.5</v>
      </c>
      <c r="AW101" s="60" t="n">
        <v>0</v>
      </c>
      <c r="AX101" s="60" t="n">
        <v>58.1</v>
      </c>
      <c r="AY101" s="60" t="n">
        <v>22.5</v>
      </c>
      <c r="AZ101" s="60" t="n">
        <v>29.9</v>
      </c>
      <c r="BA101" s="60" t="n">
        <v>12.7</v>
      </c>
      <c r="BB101" s="60" t="n">
        <v>305.4</v>
      </c>
      <c r="BC101" s="60" t="n">
        <f aca="false">AQ101+AR101+AS101+AT101+AU101+AV101+AW101</f>
        <v>588.4</v>
      </c>
      <c r="BD101" s="60" t="n">
        <f aca="false">AQ101</f>
        <v>581.8</v>
      </c>
      <c r="BE101" s="60" t="n">
        <f aca="false">AQ101+AR101</f>
        <v>-397.5</v>
      </c>
      <c r="BF101" s="60" t="n">
        <f aca="false">BE101+AS101</f>
        <v>-397.5</v>
      </c>
      <c r="BG101" s="60" t="n">
        <f aca="false">BF101+AT101</f>
        <v>31.1</v>
      </c>
      <c r="BH101" s="60" t="n">
        <f aca="false">BG101+AU101+AV101+AW101</f>
        <v>588.4</v>
      </c>
      <c r="BI101" s="60" t="n">
        <f aca="false">BC101</f>
        <v>588.4</v>
      </c>
      <c r="BJ101" s="60" t="n">
        <f aca="false">IF('Level 1'!$C$31="Yes",BD101,AJ101)</f>
        <v>0</v>
      </c>
      <c r="BK101" s="60" t="n">
        <f aca="false">IF('Level 2'!$C$31="Yes",BE101,AK101)</f>
        <v>0</v>
      </c>
      <c r="BL101" s="60" t="n">
        <f aca="false">IF('Level 3'!$C$31="Yes",BF101,AL101)</f>
        <v>0</v>
      </c>
      <c r="BM101" s="60" t="n">
        <f aca="false">IF('Level 4'!$C$31="Yes",BG101,AM101)</f>
        <v>0</v>
      </c>
      <c r="BN101" s="60" t="n">
        <f aca="false">IF('Level 5'!$C$31="Yes",BH101,AN101)</f>
        <v>0</v>
      </c>
      <c r="BO101" s="60" t="n">
        <f aca="false">IF('Level 6'!$C$31="Yes",BI101,AO101)</f>
        <v>0</v>
      </c>
      <c r="BP101" s="60" t="n">
        <f aca="false">IF('Level 7'!$C$31="Yes",BC101,AP101)</f>
        <v>0</v>
      </c>
      <c r="BQ101" s="60" t="n">
        <f aca="false">D101-AP101</f>
        <v>800</v>
      </c>
      <c r="BR101" s="60" t="n">
        <f aca="false">BQ101^2</f>
        <v>640000</v>
      </c>
      <c r="BS101" s="60" t="n">
        <f aca="false">(BQ101-BQ100)^2</f>
        <v>180625</v>
      </c>
      <c r="BT101" s="60" t="str">
        <f aca="false">IF(D101&gt;2000,ABS(BQ101)/D101,"")</f>
        <v/>
      </c>
      <c r="BU101" s="60" t="n">
        <v>151</v>
      </c>
      <c r="BV101" s="62" t="n">
        <v>0.5517</v>
      </c>
      <c r="BW101" s="60" t="n">
        <v>321.3</v>
      </c>
      <c r="BX101" s="60" t="n">
        <f aca="false">AA101</f>
        <v>0</v>
      </c>
      <c r="BY101" s="60" t="n">
        <f aca="false">H101</f>
        <v>1.39</v>
      </c>
      <c r="BZ101" s="60" t="n">
        <f aca="false">Z101</f>
        <v>0</v>
      </c>
      <c r="CA101" s="60" t="n">
        <f aca="false">AB101+AC101+AD101</f>
        <v>0</v>
      </c>
      <c r="CB101" s="60" t="n">
        <f aca="false">AE101+AF101+AG101+AH101+AI101</f>
        <v>0</v>
      </c>
    </row>
    <row r="102" customFormat="false" ht="15" hidden="false" customHeight="false" outlineLevel="0" collapsed="false">
      <c r="A102" s="58" t="n">
        <v>45606</v>
      </c>
      <c r="B102" s="59" t="n">
        <f aca="false">YEAR(A102)</f>
        <v>2024</v>
      </c>
      <c r="C102" s="59" t="n">
        <f aca="false">MONTH(A102)</f>
        <v>11</v>
      </c>
      <c r="D102" s="60" t="n">
        <v>217</v>
      </c>
      <c r="E102" s="61" t="n">
        <v>0.6635</v>
      </c>
      <c r="F102" s="61" t="n">
        <v>1.0282</v>
      </c>
      <c r="G102" s="61" t="n">
        <v>0</v>
      </c>
      <c r="H102" s="60" t="n">
        <v>1.01</v>
      </c>
      <c r="I102" s="60" t="n">
        <f aca="false">H102+'Level 4'!$C$12/100*I101</f>
        <v>1.01</v>
      </c>
      <c r="J102" s="60" t="n">
        <v>157.2</v>
      </c>
      <c r="K102" s="60" t="n">
        <v>33.4</v>
      </c>
      <c r="L102" s="60" t="n">
        <v>6.8</v>
      </c>
      <c r="M102" s="60" t="n">
        <f aca="false">L102+Answers!$C$14/100*M101</f>
        <v>328.617764695453</v>
      </c>
      <c r="N102" s="60" t="n">
        <v>0</v>
      </c>
      <c r="O102" s="60" t="n">
        <v>0</v>
      </c>
      <c r="P102" s="60" t="n">
        <v>0</v>
      </c>
      <c r="Q102" s="60" t="n">
        <v>0</v>
      </c>
      <c r="R102" s="60" t="n">
        <v>0.79</v>
      </c>
      <c r="S102" s="60" t="n">
        <f aca="false">N102+Answers!$C$16/100*S101</f>
        <v>4.36453578719408</v>
      </c>
      <c r="T102" s="60" t="n">
        <f aca="false">O102+Answers!$C$17/100*T101</f>
        <v>1.94151043025669</v>
      </c>
      <c r="U102" s="60" t="n">
        <f aca="false">P102+Answers!$C$18/100*U101</f>
        <v>2.25817737847203</v>
      </c>
      <c r="V102" s="60" t="n">
        <f aca="false">Q102+Answers!$C$19/100*V101</f>
        <v>3.74402289119746</v>
      </c>
      <c r="W102" s="60" t="n">
        <f aca="false">R102+Answers!$C$20/100*W101</f>
        <v>19.3931152767578</v>
      </c>
      <c r="X102" s="60" t="n">
        <f aca="false">IF('Level 1'!$C$11="",0,'Level 1'!$C$11)*E102</f>
        <v>0</v>
      </c>
      <c r="Y102" s="60" t="n">
        <f aca="false">-IF('Level 2'!$C$11="",0,'Level 2'!$C$11)*F102</f>
        <v>-0</v>
      </c>
      <c r="Z102" s="60" t="n">
        <f aca="false">IF('Level 3'!$C$11="",0,'Level 3'!$C$11)*G102</f>
        <v>0</v>
      </c>
      <c r="AA102" s="60" t="n">
        <f aca="false">IF('Level 4'!$C$11="",0,'Level 4'!$C$11)*(1-'Level 4'!$C$12/100)*I102</f>
        <v>0</v>
      </c>
      <c r="AB102" s="60" t="n">
        <f aca="false">IF('Level 5'!$C$11="",0,'Level 5'!$C$11)*J102</f>
        <v>0</v>
      </c>
      <c r="AC102" s="60" t="n">
        <f aca="false">IF('Level 5'!$C$12="",0,'Level 5'!$C$12)*K102</f>
        <v>0</v>
      </c>
      <c r="AD102" s="60" t="n">
        <f aca="false">IF('Level 5'!$C$13="",0,'Level 5'!$C$13)*(1-Answers!$C$14/100)*M102</f>
        <v>0</v>
      </c>
      <c r="AE102" s="60" t="n">
        <f aca="false">IF('Level 6'!$C$11="",0,'Level 6'!$C$11)*(1-Answers!$C$16/100)*S102</f>
        <v>0</v>
      </c>
      <c r="AF102" s="60" t="n">
        <f aca="false">IF('Level 6'!$C$12="",0,'Level 6'!$C$12)*(1-Answers!$C$17/100)*T102</f>
        <v>0</v>
      </c>
      <c r="AG102" s="60" t="n">
        <f aca="false">IF('Level 6'!$C$13="",0,'Level 6'!$C$13)*(1-Answers!$C$18/100)*U102</f>
        <v>0</v>
      </c>
      <c r="AH102" s="60" t="n">
        <f aca="false">IF('Level 6'!$C$14="",0,'Level 6'!$C$14)*(1-Answers!$C$19/100)*V102</f>
        <v>0</v>
      </c>
      <c r="AI102" s="60" t="n">
        <f aca="false">IF('Level 6'!$C$15="",0,'Level 6'!$C$15)*(1-Answers!$C$20/100)*W102</f>
        <v>0</v>
      </c>
      <c r="AJ102" s="60" t="n">
        <f aca="false">X102</f>
        <v>0</v>
      </c>
      <c r="AK102" s="60" t="n">
        <f aca="false">X102+Y102</f>
        <v>0</v>
      </c>
      <c r="AL102" s="60" t="n">
        <f aca="false">AK102+Z102</f>
        <v>0</v>
      </c>
      <c r="AM102" s="60" t="n">
        <f aca="false">AL102+AA102</f>
        <v>0</v>
      </c>
      <c r="AN102" s="60" t="n">
        <f aca="false">AM102+AB102+AC102+AD102</f>
        <v>0</v>
      </c>
      <c r="AO102" s="60" t="n">
        <f aca="false">AL102+AE102+AF102+AG102+AH102+AI102+AB102+AC102+AD102</f>
        <v>0</v>
      </c>
      <c r="AP102" s="60" t="n">
        <f aca="false">IF(Answers!$C$22="Yes",AO102,AN102)</f>
        <v>0</v>
      </c>
      <c r="AQ102" s="60" t="n">
        <v>581</v>
      </c>
      <c r="AR102" s="60" t="n">
        <v>-979.3</v>
      </c>
      <c r="AS102" s="60" t="n">
        <v>0</v>
      </c>
      <c r="AT102" s="60" t="n">
        <v>369.9</v>
      </c>
      <c r="AU102" s="60" t="n">
        <v>511.9</v>
      </c>
      <c r="AV102" s="60" t="n">
        <v>122.2</v>
      </c>
      <c r="AW102" s="60" t="n">
        <v>0</v>
      </c>
      <c r="AX102" s="60" t="n">
        <v>49.4</v>
      </c>
      <c r="AY102" s="60" t="n">
        <v>19.1</v>
      </c>
      <c r="AZ102" s="60" t="n">
        <v>25.5</v>
      </c>
      <c r="BA102" s="60" t="n">
        <v>10.8</v>
      </c>
      <c r="BB102" s="60" t="n">
        <v>265.1</v>
      </c>
      <c r="BC102" s="60" t="n">
        <f aca="false">AQ102+AR102+AS102+AT102+AU102+AV102+AW102</f>
        <v>605.7</v>
      </c>
      <c r="BD102" s="60" t="n">
        <f aca="false">AQ102</f>
        <v>581</v>
      </c>
      <c r="BE102" s="60" t="n">
        <f aca="false">AQ102+AR102</f>
        <v>-398.3</v>
      </c>
      <c r="BF102" s="60" t="n">
        <f aca="false">BE102+AS102</f>
        <v>-398.3</v>
      </c>
      <c r="BG102" s="60" t="n">
        <f aca="false">BF102+AT102</f>
        <v>-28.4</v>
      </c>
      <c r="BH102" s="60" t="n">
        <f aca="false">BG102+AU102+AV102+AW102</f>
        <v>605.7</v>
      </c>
      <c r="BI102" s="60" t="n">
        <f aca="false">BC102</f>
        <v>605.7</v>
      </c>
      <c r="BJ102" s="60" t="n">
        <f aca="false">IF('Level 1'!$C$31="Yes",BD102,AJ102)</f>
        <v>0</v>
      </c>
      <c r="BK102" s="60" t="n">
        <f aca="false">IF('Level 2'!$C$31="Yes",BE102,AK102)</f>
        <v>0</v>
      </c>
      <c r="BL102" s="60" t="n">
        <f aca="false">IF('Level 3'!$C$31="Yes",BF102,AL102)</f>
        <v>0</v>
      </c>
      <c r="BM102" s="60" t="n">
        <f aca="false">IF('Level 4'!$C$31="Yes",BG102,AM102)</f>
        <v>0</v>
      </c>
      <c r="BN102" s="60" t="n">
        <f aca="false">IF('Level 5'!$C$31="Yes",BH102,AN102)</f>
        <v>0</v>
      </c>
      <c r="BO102" s="60" t="n">
        <f aca="false">IF('Level 6'!$C$31="Yes",BI102,AO102)</f>
        <v>0</v>
      </c>
      <c r="BP102" s="60" t="n">
        <f aca="false">IF('Level 7'!$C$31="Yes",BC102,AP102)</f>
        <v>0</v>
      </c>
      <c r="BQ102" s="60" t="n">
        <f aca="false">D102-AP102</f>
        <v>217</v>
      </c>
      <c r="BR102" s="60" t="n">
        <f aca="false">BQ102^2</f>
        <v>47089</v>
      </c>
      <c r="BS102" s="60" t="n">
        <f aca="false">(BQ102-BQ101)^2</f>
        <v>339889</v>
      </c>
      <c r="BT102" s="60" t="str">
        <f aca="false">IF(D102&gt;2000,ABS(BQ102)/D102,"")</f>
        <v/>
      </c>
      <c r="BU102" s="60" t="n">
        <v>121</v>
      </c>
      <c r="BV102" s="62" t="n">
        <v>0.5517</v>
      </c>
      <c r="BW102" s="60" t="n">
        <v>248.3</v>
      </c>
      <c r="BX102" s="60" t="n">
        <f aca="false">AA102</f>
        <v>0</v>
      </c>
      <c r="BY102" s="60" t="n">
        <f aca="false">H102</f>
        <v>1.01</v>
      </c>
      <c r="BZ102" s="60" t="n">
        <f aca="false">Z102</f>
        <v>0</v>
      </c>
      <c r="CA102" s="60" t="n">
        <f aca="false">AB102+AC102+AD102</f>
        <v>0</v>
      </c>
      <c r="CB102" s="60" t="n">
        <f aca="false">AE102+AF102+AG102+AH102+AI102</f>
        <v>0</v>
      </c>
    </row>
    <row r="103" customFormat="false" ht="15" hidden="false" customHeight="false" outlineLevel="0" collapsed="false">
      <c r="A103" s="58" t="n">
        <v>45613</v>
      </c>
      <c r="B103" s="59" t="n">
        <f aca="false">YEAR(A103)</f>
        <v>2024</v>
      </c>
      <c r="C103" s="59" t="n">
        <f aca="false">MONTH(A103)</f>
        <v>11</v>
      </c>
      <c r="D103" s="60" t="n">
        <v>205</v>
      </c>
      <c r="E103" s="61" t="n">
        <v>0.663</v>
      </c>
      <c r="F103" s="61" t="n">
        <v>1.0282</v>
      </c>
      <c r="G103" s="61" t="n">
        <v>0</v>
      </c>
      <c r="H103" s="60" t="n">
        <v>0.64</v>
      </c>
      <c r="I103" s="60" t="n">
        <f aca="false">H103+'Level 4'!$C$12/100*I102</f>
        <v>0.64</v>
      </c>
      <c r="J103" s="60" t="n">
        <v>126.48</v>
      </c>
      <c r="K103" s="60" t="n">
        <v>47.36</v>
      </c>
      <c r="L103" s="60" t="n">
        <v>7.88</v>
      </c>
      <c r="M103" s="60" t="n">
        <f aca="false">L103+Answers!$C$14/100*M102</f>
        <v>205.050658817272</v>
      </c>
      <c r="N103" s="60" t="n">
        <v>0</v>
      </c>
      <c r="O103" s="60" t="n">
        <v>0</v>
      </c>
      <c r="P103" s="60" t="n">
        <v>0</v>
      </c>
      <c r="Q103" s="60" t="n">
        <v>0</v>
      </c>
      <c r="R103" s="60" t="n">
        <v>0.43</v>
      </c>
      <c r="S103" s="60" t="n">
        <f aca="false">N103+Answers!$C$16/100*S102</f>
        <v>3.49162862975527</v>
      </c>
      <c r="T103" s="60" t="n">
        <f aca="false">O103+Answers!$C$17/100*T102</f>
        <v>1.55320834420535</v>
      </c>
      <c r="U103" s="60" t="n">
        <f aca="false">P103+Answers!$C$18/100*U102</f>
        <v>1.80654190277763</v>
      </c>
      <c r="V103" s="60" t="n">
        <f aca="false">Q103+Answers!$C$19/100*V102</f>
        <v>2.99521831295797</v>
      </c>
      <c r="W103" s="60" t="n">
        <f aca="false">R103+Answers!$C$20/100*W102</f>
        <v>15.9444922214063</v>
      </c>
      <c r="X103" s="60" t="n">
        <f aca="false">IF('Level 1'!$C$11="",0,'Level 1'!$C$11)*E103</f>
        <v>0</v>
      </c>
      <c r="Y103" s="60" t="n">
        <f aca="false">-IF('Level 2'!$C$11="",0,'Level 2'!$C$11)*F103</f>
        <v>-0</v>
      </c>
      <c r="Z103" s="60" t="n">
        <f aca="false">IF('Level 3'!$C$11="",0,'Level 3'!$C$11)*G103</f>
        <v>0</v>
      </c>
      <c r="AA103" s="60" t="n">
        <f aca="false">IF('Level 4'!$C$11="",0,'Level 4'!$C$11)*(1-'Level 4'!$C$12/100)*I103</f>
        <v>0</v>
      </c>
      <c r="AB103" s="60" t="n">
        <f aca="false">IF('Level 5'!$C$11="",0,'Level 5'!$C$11)*J103</f>
        <v>0</v>
      </c>
      <c r="AC103" s="60" t="n">
        <f aca="false">IF('Level 5'!$C$12="",0,'Level 5'!$C$12)*K103</f>
        <v>0</v>
      </c>
      <c r="AD103" s="60" t="n">
        <f aca="false">IF('Level 5'!$C$13="",0,'Level 5'!$C$13)*(1-Answers!$C$14/100)*M103</f>
        <v>0</v>
      </c>
      <c r="AE103" s="60" t="n">
        <f aca="false">IF('Level 6'!$C$11="",0,'Level 6'!$C$11)*(1-Answers!$C$16/100)*S103</f>
        <v>0</v>
      </c>
      <c r="AF103" s="60" t="n">
        <f aca="false">IF('Level 6'!$C$12="",0,'Level 6'!$C$12)*(1-Answers!$C$17/100)*T103</f>
        <v>0</v>
      </c>
      <c r="AG103" s="60" t="n">
        <f aca="false">IF('Level 6'!$C$13="",0,'Level 6'!$C$13)*(1-Answers!$C$18/100)*U103</f>
        <v>0</v>
      </c>
      <c r="AH103" s="60" t="n">
        <f aca="false">IF('Level 6'!$C$14="",0,'Level 6'!$C$14)*(1-Answers!$C$19/100)*V103</f>
        <v>0</v>
      </c>
      <c r="AI103" s="60" t="n">
        <f aca="false">IF('Level 6'!$C$15="",0,'Level 6'!$C$15)*(1-Answers!$C$20/100)*W103</f>
        <v>0</v>
      </c>
      <c r="AJ103" s="60" t="n">
        <f aca="false">X103</f>
        <v>0</v>
      </c>
      <c r="AK103" s="60" t="n">
        <f aca="false">X103+Y103</f>
        <v>0</v>
      </c>
      <c r="AL103" s="60" t="n">
        <f aca="false">AK103+Z103</f>
        <v>0</v>
      </c>
      <c r="AM103" s="60" t="n">
        <f aca="false">AL103+AA103</f>
        <v>0</v>
      </c>
      <c r="AN103" s="60" t="n">
        <f aca="false">AM103+AB103+AC103+AD103</f>
        <v>0</v>
      </c>
      <c r="AO103" s="60" t="n">
        <f aca="false">AL103+AE103+AF103+AG103+AH103+AI103+AB103+AC103+AD103</f>
        <v>0</v>
      </c>
      <c r="AP103" s="60" t="n">
        <f aca="false">IF(Answers!$C$22="Yes",AO103,AN103)</f>
        <v>0</v>
      </c>
      <c r="AQ103" s="60" t="n">
        <v>580.5</v>
      </c>
      <c r="AR103" s="60" t="n">
        <v>-979.3</v>
      </c>
      <c r="AS103" s="60" t="n">
        <v>0</v>
      </c>
      <c r="AT103" s="60" t="n">
        <v>322.7</v>
      </c>
      <c r="AU103" s="60" t="n">
        <v>407.2</v>
      </c>
      <c r="AV103" s="60" t="n">
        <v>173.3</v>
      </c>
      <c r="AW103" s="60" t="n">
        <v>0</v>
      </c>
      <c r="AX103" s="60" t="n">
        <v>42</v>
      </c>
      <c r="AY103" s="60" t="n">
        <v>16.2</v>
      </c>
      <c r="AZ103" s="60" t="n">
        <v>21.6</v>
      </c>
      <c r="BA103" s="60" t="n">
        <v>9.2</v>
      </c>
      <c r="BB103" s="60" t="n">
        <v>233.7</v>
      </c>
      <c r="BC103" s="60" t="n">
        <f aca="false">AQ103+AR103+AS103+AT103+AU103+AV103+AW103</f>
        <v>504.4</v>
      </c>
      <c r="BD103" s="60" t="n">
        <f aca="false">AQ103</f>
        <v>580.5</v>
      </c>
      <c r="BE103" s="60" t="n">
        <f aca="false">AQ103+AR103</f>
        <v>-398.8</v>
      </c>
      <c r="BF103" s="60" t="n">
        <f aca="false">BE103+AS103</f>
        <v>-398.8</v>
      </c>
      <c r="BG103" s="60" t="n">
        <f aca="false">BF103+AT103</f>
        <v>-76.1</v>
      </c>
      <c r="BH103" s="60" t="n">
        <f aca="false">BG103+AU103+AV103+AW103</f>
        <v>504.4</v>
      </c>
      <c r="BI103" s="60" t="n">
        <f aca="false">BC103</f>
        <v>504.4</v>
      </c>
      <c r="BJ103" s="60" t="n">
        <f aca="false">IF('Level 1'!$C$31="Yes",BD103,AJ103)</f>
        <v>0</v>
      </c>
      <c r="BK103" s="60" t="n">
        <f aca="false">IF('Level 2'!$C$31="Yes",BE103,AK103)</f>
        <v>0</v>
      </c>
      <c r="BL103" s="60" t="n">
        <f aca="false">IF('Level 3'!$C$31="Yes",BF103,AL103)</f>
        <v>0</v>
      </c>
      <c r="BM103" s="60" t="n">
        <f aca="false">IF('Level 4'!$C$31="Yes",BG103,AM103)</f>
        <v>0</v>
      </c>
      <c r="BN103" s="60" t="n">
        <f aca="false">IF('Level 5'!$C$31="Yes",BH103,AN103)</f>
        <v>0</v>
      </c>
      <c r="BO103" s="60" t="n">
        <f aca="false">IF('Level 6'!$C$31="Yes",BI103,AO103)</f>
        <v>0</v>
      </c>
      <c r="BP103" s="60" t="n">
        <f aca="false">IF('Level 7'!$C$31="Yes",BC103,AP103)</f>
        <v>0</v>
      </c>
      <c r="BQ103" s="60" t="n">
        <f aca="false">D103-AP103</f>
        <v>205</v>
      </c>
      <c r="BR103" s="60" t="n">
        <f aca="false">BQ103^2</f>
        <v>42025</v>
      </c>
      <c r="BS103" s="60" t="n">
        <f aca="false">(BQ103-BQ102)^2</f>
        <v>144</v>
      </c>
      <c r="BT103" s="60" t="str">
        <f aca="false">IF(D103&gt;2000,ABS(BQ103)/D103,"")</f>
        <v/>
      </c>
      <c r="BU103" s="60" t="n">
        <v>119</v>
      </c>
      <c r="BV103" s="62" t="n">
        <v>0.5517</v>
      </c>
      <c r="BW103" s="60" t="n">
        <v>247.8</v>
      </c>
      <c r="BX103" s="60" t="n">
        <f aca="false">AA103</f>
        <v>0</v>
      </c>
      <c r="BY103" s="60" t="n">
        <f aca="false">H103</f>
        <v>0.64</v>
      </c>
      <c r="BZ103" s="60" t="n">
        <f aca="false">Z103</f>
        <v>0</v>
      </c>
      <c r="CA103" s="60" t="n">
        <f aca="false">AB103+AC103+AD103</f>
        <v>0</v>
      </c>
      <c r="CB103" s="60" t="n">
        <f aca="false">AE103+AF103+AG103+AH103+AI103</f>
        <v>0</v>
      </c>
    </row>
    <row r="104" customFormat="false" ht="15" hidden="false" customHeight="false" outlineLevel="0" collapsed="false">
      <c r="A104" s="58" t="n">
        <v>45620</v>
      </c>
      <c r="B104" s="59" t="n">
        <f aca="false">YEAR(A104)</f>
        <v>2024</v>
      </c>
      <c r="C104" s="59" t="n">
        <f aca="false">MONTH(A104)</f>
        <v>11</v>
      </c>
      <c r="D104" s="60" t="n">
        <v>114</v>
      </c>
      <c r="E104" s="61" t="n">
        <v>0.6633</v>
      </c>
      <c r="F104" s="61" t="n">
        <v>1.0282</v>
      </c>
      <c r="G104" s="61" t="n">
        <v>0</v>
      </c>
      <c r="H104" s="60" t="n">
        <v>0.36</v>
      </c>
      <c r="I104" s="60" t="n">
        <f aca="false">H104+'Level 4'!$C$12/100*I103</f>
        <v>0.36</v>
      </c>
      <c r="J104" s="60" t="n">
        <v>126.53</v>
      </c>
      <c r="K104" s="60" t="n">
        <v>28.13</v>
      </c>
      <c r="L104" s="60" t="n">
        <v>8.39</v>
      </c>
      <c r="M104" s="60" t="n">
        <f aca="false">L104+Answers!$C$14/100*M103</f>
        <v>131.420395290363</v>
      </c>
      <c r="N104" s="60" t="n">
        <v>0</v>
      </c>
      <c r="O104" s="60" t="n">
        <v>0</v>
      </c>
      <c r="P104" s="60" t="n">
        <v>0</v>
      </c>
      <c r="Q104" s="60" t="n">
        <v>0</v>
      </c>
      <c r="R104" s="60" t="n">
        <v>0.24</v>
      </c>
      <c r="S104" s="60" t="n">
        <f aca="false">N104+Answers!$C$16/100*S103</f>
        <v>2.79330290380421</v>
      </c>
      <c r="T104" s="60" t="n">
        <f aca="false">O104+Answers!$C$17/100*T103</f>
        <v>1.24256667536428</v>
      </c>
      <c r="U104" s="60" t="n">
        <f aca="false">P104+Answers!$C$18/100*U103</f>
        <v>1.4452335222221</v>
      </c>
      <c r="V104" s="60" t="n">
        <f aca="false">Q104+Answers!$C$19/100*V103</f>
        <v>2.39617465036637</v>
      </c>
      <c r="W104" s="60" t="n">
        <f aca="false">R104+Answers!$C$20/100*W103</f>
        <v>12.995593777125</v>
      </c>
      <c r="X104" s="60" t="n">
        <f aca="false">IF('Level 1'!$C$11="",0,'Level 1'!$C$11)*E104</f>
        <v>0</v>
      </c>
      <c r="Y104" s="60" t="n">
        <f aca="false">-IF('Level 2'!$C$11="",0,'Level 2'!$C$11)*F104</f>
        <v>-0</v>
      </c>
      <c r="Z104" s="60" t="n">
        <f aca="false">IF('Level 3'!$C$11="",0,'Level 3'!$C$11)*G104</f>
        <v>0</v>
      </c>
      <c r="AA104" s="60" t="n">
        <f aca="false">IF('Level 4'!$C$11="",0,'Level 4'!$C$11)*(1-'Level 4'!$C$12/100)*I104</f>
        <v>0</v>
      </c>
      <c r="AB104" s="60" t="n">
        <f aca="false">IF('Level 5'!$C$11="",0,'Level 5'!$C$11)*J104</f>
        <v>0</v>
      </c>
      <c r="AC104" s="60" t="n">
        <f aca="false">IF('Level 5'!$C$12="",0,'Level 5'!$C$12)*K104</f>
        <v>0</v>
      </c>
      <c r="AD104" s="60" t="n">
        <f aca="false">IF('Level 5'!$C$13="",0,'Level 5'!$C$13)*(1-Answers!$C$14/100)*M104</f>
        <v>0</v>
      </c>
      <c r="AE104" s="60" t="n">
        <f aca="false">IF('Level 6'!$C$11="",0,'Level 6'!$C$11)*(1-Answers!$C$16/100)*S104</f>
        <v>0</v>
      </c>
      <c r="AF104" s="60" t="n">
        <f aca="false">IF('Level 6'!$C$12="",0,'Level 6'!$C$12)*(1-Answers!$C$17/100)*T104</f>
        <v>0</v>
      </c>
      <c r="AG104" s="60" t="n">
        <f aca="false">IF('Level 6'!$C$13="",0,'Level 6'!$C$13)*(1-Answers!$C$18/100)*U104</f>
        <v>0</v>
      </c>
      <c r="AH104" s="60" t="n">
        <f aca="false">IF('Level 6'!$C$14="",0,'Level 6'!$C$14)*(1-Answers!$C$19/100)*V104</f>
        <v>0</v>
      </c>
      <c r="AI104" s="60" t="n">
        <f aca="false">IF('Level 6'!$C$15="",0,'Level 6'!$C$15)*(1-Answers!$C$20/100)*W104</f>
        <v>0</v>
      </c>
      <c r="AJ104" s="60" t="n">
        <f aca="false">X104</f>
        <v>0</v>
      </c>
      <c r="AK104" s="60" t="n">
        <f aca="false">X104+Y104</f>
        <v>0</v>
      </c>
      <c r="AL104" s="60" t="n">
        <f aca="false">AK104+Z104</f>
        <v>0</v>
      </c>
      <c r="AM104" s="60" t="n">
        <f aca="false">AL104+AA104</f>
        <v>0</v>
      </c>
      <c r="AN104" s="60" t="n">
        <f aca="false">AM104+AB104+AC104+AD104</f>
        <v>0</v>
      </c>
      <c r="AO104" s="60" t="n">
        <f aca="false">AL104+AE104+AF104+AG104+AH104+AI104+AB104+AC104+AD104</f>
        <v>0</v>
      </c>
      <c r="AP104" s="60" t="n">
        <f aca="false">IF(Answers!$C$22="Yes",AO104,AN104)</f>
        <v>0</v>
      </c>
      <c r="AQ104" s="60" t="n">
        <v>580.8</v>
      </c>
      <c r="AR104" s="60" t="n">
        <v>-979.3</v>
      </c>
      <c r="AS104" s="60" t="n">
        <v>0</v>
      </c>
      <c r="AT104" s="60" t="n">
        <v>286.5</v>
      </c>
      <c r="AU104" s="60" t="n">
        <v>396.5</v>
      </c>
      <c r="AV104" s="60" t="n">
        <v>102.9</v>
      </c>
      <c r="AW104" s="60" t="n">
        <v>0</v>
      </c>
      <c r="AX104" s="60" t="n">
        <v>35.7</v>
      </c>
      <c r="AY104" s="60" t="n">
        <v>13.8</v>
      </c>
      <c r="AZ104" s="60" t="n">
        <v>18.4</v>
      </c>
      <c r="BA104" s="60" t="n">
        <v>7.8</v>
      </c>
      <c r="BB104" s="60" t="n">
        <v>210.8</v>
      </c>
      <c r="BC104" s="60" t="n">
        <f aca="false">AQ104+AR104+AS104+AT104+AU104+AV104+AW104</f>
        <v>387.4</v>
      </c>
      <c r="BD104" s="60" t="n">
        <f aca="false">AQ104</f>
        <v>580.8</v>
      </c>
      <c r="BE104" s="60" t="n">
        <f aca="false">AQ104+AR104</f>
        <v>-398.5</v>
      </c>
      <c r="BF104" s="60" t="n">
        <f aca="false">BE104+AS104</f>
        <v>-398.5</v>
      </c>
      <c r="BG104" s="60" t="n">
        <f aca="false">BF104+AT104</f>
        <v>-112</v>
      </c>
      <c r="BH104" s="60" t="n">
        <f aca="false">BG104+AU104+AV104+AW104</f>
        <v>387.4</v>
      </c>
      <c r="BI104" s="60" t="n">
        <f aca="false">BC104</f>
        <v>387.4</v>
      </c>
      <c r="BJ104" s="60" t="n">
        <f aca="false">IF('Level 1'!$C$31="Yes",BD104,AJ104)</f>
        <v>0</v>
      </c>
      <c r="BK104" s="60" t="n">
        <f aca="false">IF('Level 2'!$C$31="Yes",BE104,AK104)</f>
        <v>0</v>
      </c>
      <c r="BL104" s="60" t="n">
        <f aca="false">IF('Level 3'!$C$31="Yes",BF104,AL104)</f>
        <v>0</v>
      </c>
      <c r="BM104" s="60" t="n">
        <f aca="false">IF('Level 4'!$C$31="Yes",BG104,AM104)</f>
        <v>0</v>
      </c>
      <c r="BN104" s="60" t="n">
        <f aca="false">IF('Level 5'!$C$31="Yes",BH104,AN104)</f>
        <v>0</v>
      </c>
      <c r="BO104" s="60" t="n">
        <f aca="false">IF('Level 6'!$C$31="Yes",BI104,AO104)</f>
        <v>0</v>
      </c>
      <c r="BP104" s="60" t="n">
        <f aca="false">IF('Level 7'!$C$31="Yes",BC104,AP104)</f>
        <v>0</v>
      </c>
      <c r="BQ104" s="60" t="n">
        <f aca="false">D104-AP104</f>
        <v>114</v>
      </c>
      <c r="BR104" s="60" t="n">
        <f aca="false">BQ104^2</f>
        <v>12996</v>
      </c>
      <c r="BS104" s="60" t="n">
        <f aca="false">(BQ104-BQ103)^2</f>
        <v>8281</v>
      </c>
      <c r="BT104" s="60" t="str">
        <f aca="false">IF(D104&gt;2000,ABS(BQ104)/D104,"")</f>
        <v/>
      </c>
      <c r="BU104" s="60" t="n">
        <v>107</v>
      </c>
      <c r="BV104" s="62" t="n">
        <v>0.5518</v>
      </c>
      <c r="BW104" s="60" t="n">
        <v>238</v>
      </c>
      <c r="BX104" s="60" t="n">
        <f aca="false">AA104</f>
        <v>0</v>
      </c>
      <c r="BY104" s="60" t="n">
        <f aca="false">H104</f>
        <v>0.36</v>
      </c>
      <c r="BZ104" s="60" t="n">
        <f aca="false">Z104</f>
        <v>0</v>
      </c>
      <c r="CA104" s="60" t="n">
        <f aca="false">AB104+AC104+AD104</f>
        <v>0</v>
      </c>
      <c r="CB104" s="60" t="n">
        <f aca="false">AE104+AF104+AG104+AH104+AI104</f>
        <v>0</v>
      </c>
    </row>
    <row r="105" customFormat="false" ht="15" hidden="false" customHeight="false" outlineLevel="0" collapsed="false">
      <c r="A105" s="58" t="n">
        <v>45627</v>
      </c>
      <c r="B105" s="59" t="n">
        <f aca="false">YEAR(A105)</f>
        <v>2024</v>
      </c>
      <c r="C105" s="59" t="n">
        <f aca="false">MONTH(A105)</f>
        <v>12</v>
      </c>
      <c r="D105" s="60" t="n">
        <v>182</v>
      </c>
      <c r="E105" s="61" t="n">
        <v>0.6637</v>
      </c>
      <c r="F105" s="61" t="n">
        <v>1.0282</v>
      </c>
      <c r="G105" s="61" t="n">
        <v>0</v>
      </c>
      <c r="H105" s="60" t="n">
        <v>0.42</v>
      </c>
      <c r="I105" s="60" t="n">
        <f aca="false">H105+'Level 4'!$C$12/100*I104</f>
        <v>0.42</v>
      </c>
      <c r="J105" s="60" t="n">
        <v>91.13</v>
      </c>
      <c r="K105" s="60" t="n">
        <v>14.02</v>
      </c>
      <c r="L105" s="60" t="n">
        <v>8.48</v>
      </c>
      <c r="M105" s="60" t="n">
        <f aca="false">L105+Answers!$C$14/100*M104</f>
        <v>87.3322371742179</v>
      </c>
      <c r="N105" s="60" t="n">
        <v>0</v>
      </c>
      <c r="O105" s="60" t="n">
        <v>0</v>
      </c>
      <c r="P105" s="60" t="n">
        <v>0</v>
      </c>
      <c r="Q105" s="60" t="n">
        <v>0</v>
      </c>
      <c r="R105" s="60" t="n">
        <v>0.24</v>
      </c>
      <c r="S105" s="60" t="n">
        <f aca="false">N105+Answers!$C$16/100*S104</f>
        <v>2.23464232304337</v>
      </c>
      <c r="T105" s="60" t="n">
        <f aca="false">O105+Answers!$C$17/100*T104</f>
        <v>0.994053340291427</v>
      </c>
      <c r="U105" s="60" t="n">
        <f aca="false">P105+Answers!$C$18/100*U104</f>
        <v>1.15618681777768</v>
      </c>
      <c r="V105" s="60" t="n">
        <f aca="false">Q105+Answers!$C$19/100*V104</f>
        <v>1.9169397202931</v>
      </c>
      <c r="W105" s="60" t="n">
        <f aca="false">R105+Answers!$C$20/100*W104</f>
        <v>10.6364750217</v>
      </c>
      <c r="X105" s="60" t="n">
        <f aca="false">IF('Level 1'!$C$11="",0,'Level 1'!$C$11)*E105</f>
        <v>0</v>
      </c>
      <c r="Y105" s="60" t="n">
        <f aca="false">-IF('Level 2'!$C$11="",0,'Level 2'!$C$11)*F105</f>
        <v>-0</v>
      </c>
      <c r="Z105" s="60" t="n">
        <f aca="false">IF('Level 3'!$C$11="",0,'Level 3'!$C$11)*G105</f>
        <v>0</v>
      </c>
      <c r="AA105" s="60" t="n">
        <f aca="false">IF('Level 4'!$C$11="",0,'Level 4'!$C$11)*(1-'Level 4'!$C$12/100)*I105</f>
        <v>0</v>
      </c>
      <c r="AB105" s="60" t="n">
        <f aca="false">IF('Level 5'!$C$11="",0,'Level 5'!$C$11)*J105</f>
        <v>0</v>
      </c>
      <c r="AC105" s="60" t="n">
        <f aca="false">IF('Level 5'!$C$12="",0,'Level 5'!$C$12)*K105</f>
        <v>0</v>
      </c>
      <c r="AD105" s="60" t="n">
        <f aca="false">IF('Level 5'!$C$13="",0,'Level 5'!$C$13)*(1-Answers!$C$14/100)*M105</f>
        <v>0</v>
      </c>
      <c r="AE105" s="60" t="n">
        <f aca="false">IF('Level 6'!$C$11="",0,'Level 6'!$C$11)*(1-Answers!$C$16/100)*S105</f>
        <v>0</v>
      </c>
      <c r="AF105" s="60" t="n">
        <f aca="false">IF('Level 6'!$C$12="",0,'Level 6'!$C$12)*(1-Answers!$C$17/100)*T105</f>
        <v>0</v>
      </c>
      <c r="AG105" s="60" t="n">
        <f aca="false">IF('Level 6'!$C$13="",0,'Level 6'!$C$13)*(1-Answers!$C$18/100)*U105</f>
        <v>0</v>
      </c>
      <c r="AH105" s="60" t="n">
        <f aca="false">IF('Level 6'!$C$14="",0,'Level 6'!$C$14)*(1-Answers!$C$19/100)*V105</f>
        <v>0</v>
      </c>
      <c r="AI105" s="60" t="n">
        <f aca="false">IF('Level 6'!$C$15="",0,'Level 6'!$C$15)*(1-Answers!$C$20/100)*W105</f>
        <v>0</v>
      </c>
      <c r="AJ105" s="60" t="n">
        <f aca="false">X105</f>
        <v>0</v>
      </c>
      <c r="AK105" s="60" t="n">
        <f aca="false">X105+Y105</f>
        <v>0</v>
      </c>
      <c r="AL105" s="60" t="n">
        <f aca="false">AK105+Z105</f>
        <v>0</v>
      </c>
      <c r="AM105" s="60" t="n">
        <f aca="false">AL105+AA105</f>
        <v>0</v>
      </c>
      <c r="AN105" s="60" t="n">
        <f aca="false">AM105+AB105+AC105+AD105</f>
        <v>0</v>
      </c>
      <c r="AO105" s="60" t="n">
        <f aca="false">AL105+AE105+AF105+AG105+AH105+AI105+AB105+AC105+AD105</f>
        <v>0</v>
      </c>
      <c r="AP105" s="60" t="n">
        <f aca="false">IF(Answers!$C$22="Yes",AO105,AN105)</f>
        <v>0</v>
      </c>
      <c r="AQ105" s="60" t="n">
        <v>581.1</v>
      </c>
      <c r="AR105" s="60" t="n">
        <v>-979.3</v>
      </c>
      <c r="AS105" s="60" t="n">
        <v>0</v>
      </c>
      <c r="AT105" s="60" t="n">
        <v>254.5</v>
      </c>
      <c r="AU105" s="60" t="n">
        <v>259.1</v>
      </c>
      <c r="AV105" s="60" t="n">
        <v>51.3</v>
      </c>
      <c r="AW105" s="60" t="n">
        <v>0</v>
      </c>
      <c r="AX105" s="60" t="n">
        <v>30.3</v>
      </c>
      <c r="AY105" s="60" t="n">
        <v>11.7</v>
      </c>
      <c r="AZ105" s="60" t="n">
        <v>15.6</v>
      </c>
      <c r="BA105" s="60" t="n">
        <v>6.6</v>
      </c>
      <c r="BB105" s="60" t="n">
        <v>190.2</v>
      </c>
      <c r="BC105" s="60" t="n">
        <f aca="false">AQ105+AR105+AS105+AT105+AU105+AV105+AW105</f>
        <v>166.7</v>
      </c>
      <c r="BD105" s="60" t="n">
        <f aca="false">AQ105</f>
        <v>581.1</v>
      </c>
      <c r="BE105" s="60" t="n">
        <f aca="false">AQ105+AR105</f>
        <v>-398.2</v>
      </c>
      <c r="BF105" s="60" t="n">
        <f aca="false">BE105+AS105</f>
        <v>-398.2</v>
      </c>
      <c r="BG105" s="60" t="n">
        <f aca="false">BF105+AT105</f>
        <v>-143.7</v>
      </c>
      <c r="BH105" s="60" t="n">
        <f aca="false">BG105+AU105+AV105+AW105</f>
        <v>166.7</v>
      </c>
      <c r="BI105" s="60" t="n">
        <f aca="false">BC105</f>
        <v>166.7</v>
      </c>
      <c r="BJ105" s="60" t="n">
        <f aca="false">IF('Level 1'!$C$31="Yes",BD105,AJ105)</f>
        <v>0</v>
      </c>
      <c r="BK105" s="60" t="n">
        <f aca="false">IF('Level 2'!$C$31="Yes",BE105,AK105)</f>
        <v>0</v>
      </c>
      <c r="BL105" s="60" t="n">
        <f aca="false">IF('Level 3'!$C$31="Yes",BF105,AL105)</f>
        <v>0</v>
      </c>
      <c r="BM105" s="60" t="n">
        <f aca="false">IF('Level 4'!$C$31="Yes",BG105,AM105)</f>
        <v>0</v>
      </c>
      <c r="BN105" s="60" t="n">
        <f aca="false">IF('Level 5'!$C$31="Yes",BH105,AN105)</f>
        <v>0</v>
      </c>
      <c r="BO105" s="60" t="n">
        <f aca="false">IF('Level 6'!$C$31="Yes",BI105,AO105)</f>
        <v>0</v>
      </c>
      <c r="BP105" s="60" t="n">
        <f aca="false">IF('Level 7'!$C$31="Yes",BC105,AP105)</f>
        <v>0</v>
      </c>
      <c r="BQ105" s="60" t="n">
        <f aca="false">D105-AP105</f>
        <v>182</v>
      </c>
      <c r="BR105" s="60" t="n">
        <f aca="false">BQ105^2</f>
        <v>33124</v>
      </c>
      <c r="BS105" s="60" t="n">
        <f aca="false">(BQ105-BQ104)^2</f>
        <v>4624</v>
      </c>
      <c r="BT105" s="60" t="str">
        <f aca="false">IF(D105&gt;2000,ABS(BQ105)/D105,"")</f>
        <v/>
      </c>
      <c r="BU105" s="60" t="n">
        <v>88</v>
      </c>
      <c r="BV105" s="62" t="n">
        <v>0.5528</v>
      </c>
      <c r="BW105" s="60" t="n">
        <v>182.7</v>
      </c>
      <c r="BX105" s="60" t="n">
        <f aca="false">AA105</f>
        <v>0</v>
      </c>
      <c r="BY105" s="60" t="n">
        <f aca="false">H105</f>
        <v>0.42</v>
      </c>
      <c r="BZ105" s="60" t="n">
        <f aca="false">Z105</f>
        <v>0</v>
      </c>
      <c r="CA105" s="60" t="n">
        <f aca="false">AB105+AC105+AD105</f>
        <v>0</v>
      </c>
      <c r="CB105" s="60" t="n">
        <f aca="false">AE105+AF105+AG105+AH105+AI105</f>
        <v>0</v>
      </c>
    </row>
    <row r="106" customFormat="false" ht="15" hidden="false" customHeight="false" outlineLevel="0" collapsed="false">
      <c r="A106" s="58" t="n">
        <v>45634</v>
      </c>
      <c r="B106" s="59" t="n">
        <f aca="false">YEAR(A106)</f>
        <v>2024</v>
      </c>
      <c r="C106" s="59" t="n">
        <f aca="false">MONTH(A106)</f>
        <v>12</v>
      </c>
      <c r="D106" s="60" t="n">
        <v>183</v>
      </c>
      <c r="E106" s="61" t="n">
        <v>0.664</v>
      </c>
      <c r="F106" s="61" t="n">
        <v>1.0282</v>
      </c>
      <c r="G106" s="61" t="n">
        <v>0</v>
      </c>
      <c r="H106" s="60" t="n">
        <v>0.36</v>
      </c>
      <c r="I106" s="60" t="n">
        <f aca="false">H106+'Level 4'!$C$12/100*I105</f>
        <v>0.36</v>
      </c>
      <c r="J106" s="60" t="n">
        <v>37.3</v>
      </c>
      <c r="K106" s="60" t="n">
        <v>0.72</v>
      </c>
      <c r="L106" s="60" t="n">
        <v>7.74</v>
      </c>
      <c r="M106" s="60" t="n">
        <f aca="false">L106+Answers!$C$14/100*M105</f>
        <v>60.1393423045307</v>
      </c>
      <c r="N106" s="60" t="n">
        <v>0</v>
      </c>
      <c r="O106" s="60" t="n">
        <v>0</v>
      </c>
      <c r="P106" s="60" t="n">
        <v>0</v>
      </c>
      <c r="Q106" s="60" t="n">
        <v>0</v>
      </c>
      <c r="R106" s="60" t="n">
        <v>0.18</v>
      </c>
      <c r="S106" s="60" t="n">
        <f aca="false">N106+Answers!$C$16/100*S105</f>
        <v>1.7877138584347</v>
      </c>
      <c r="T106" s="60" t="n">
        <f aca="false">O106+Answers!$C$17/100*T105</f>
        <v>0.795242672233142</v>
      </c>
      <c r="U106" s="60" t="n">
        <f aca="false">P106+Answers!$C$18/100*U105</f>
        <v>0.924949454222144</v>
      </c>
      <c r="V106" s="60" t="n">
        <f aca="false">Q106+Answers!$C$19/100*V105</f>
        <v>1.53355177623448</v>
      </c>
      <c r="W106" s="60" t="n">
        <f aca="false">R106+Answers!$C$20/100*W105</f>
        <v>8.68918001736</v>
      </c>
      <c r="X106" s="60" t="n">
        <f aca="false">IF('Level 1'!$C$11="",0,'Level 1'!$C$11)*E106</f>
        <v>0</v>
      </c>
      <c r="Y106" s="60" t="n">
        <f aca="false">-IF('Level 2'!$C$11="",0,'Level 2'!$C$11)*F106</f>
        <v>-0</v>
      </c>
      <c r="Z106" s="60" t="n">
        <f aca="false">IF('Level 3'!$C$11="",0,'Level 3'!$C$11)*G106</f>
        <v>0</v>
      </c>
      <c r="AA106" s="60" t="n">
        <f aca="false">IF('Level 4'!$C$11="",0,'Level 4'!$C$11)*(1-'Level 4'!$C$12/100)*I106</f>
        <v>0</v>
      </c>
      <c r="AB106" s="60" t="n">
        <f aca="false">IF('Level 5'!$C$11="",0,'Level 5'!$C$11)*J106</f>
        <v>0</v>
      </c>
      <c r="AC106" s="60" t="n">
        <f aca="false">IF('Level 5'!$C$12="",0,'Level 5'!$C$12)*K106</f>
        <v>0</v>
      </c>
      <c r="AD106" s="60" t="n">
        <f aca="false">IF('Level 5'!$C$13="",0,'Level 5'!$C$13)*(1-Answers!$C$14/100)*M106</f>
        <v>0</v>
      </c>
      <c r="AE106" s="60" t="n">
        <f aca="false">IF('Level 6'!$C$11="",0,'Level 6'!$C$11)*(1-Answers!$C$16/100)*S106</f>
        <v>0</v>
      </c>
      <c r="AF106" s="60" t="n">
        <f aca="false">IF('Level 6'!$C$12="",0,'Level 6'!$C$12)*(1-Answers!$C$17/100)*T106</f>
        <v>0</v>
      </c>
      <c r="AG106" s="60" t="n">
        <f aca="false">IF('Level 6'!$C$13="",0,'Level 6'!$C$13)*(1-Answers!$C$18/100)*U106</f>
        <v>0</v>
      </c>
      <c r="AH106" s="60" t="n">
        <f aca="false">IF('Level 6'!$C$14="",0,'Level 6'!$C$14)*(1-Answers!$C$19/100)*V106</f>
        <v>0</v>
      </c>
      <c r="AI106" s="60" t="n">
        <f aca="false">IF('Level 6'!$C$15="",0,'Level 6'!$C$15)*(1-Answers!$C$20/100)*W106</f>
        <v>0</v>
      </c>
      <c r="AJ106" s="60" t="n">
        <f aca="false">X106</f>
        <v>0</v>
      </c>
      <c r="AK106" s="60" t="n">
        <f aca="false">X106+Y106</f>
        <v>0</v>
      </c>
      <c r="AL106" s="60" t="n">
        <f aca="false">AK106+Z106</f>
        <v>0</v>
      </c>
      <c r="AM106" s="60" t="n">
        <f aca="false">AL106+AA106</f>
        <v>0</v>
      </c>
      <c r="AN106" s="60" t="n">
        <f aca="false">AM106+AB106+AC106+AD106</f>
        <v>0</v>
      </c>
      <c r="AO106" s="60" t="n">
        <f aca="false">AL106+AE106+AF106+AG106+AH106+AI106+AB106+AC106+AD106</f>
        <v>0</v>
      </c>
      <c r="AP106" s="60" t="n">
        <f aca="false">IF(Answers!$C$22="Yes",AO106,AN106)</f>
        <v>0</v>
      </c>
      <c r="AQ106" s="60" t="n">
        <v>581.4</v>
      </c>
      <c r="AR106" s="60" t="n">
        <v>-979.3</v>
      </c>
      <c r="AS106" s="60" t="n">
        <v>0</v>
      </c>
      <c r="AT106" s="60" t="n">
        <v>225</v>
      </c>
      <c r="AU106" s="60" t="n">
        <v>57.3</v>
      </c>
      <c r="AV106" s="60" t="n">
        <v>2.7</v>
      </c>
      <c r="AW106" s="60" t="n">
        <v>0</v>
      </c>
      <c r="AX106" s="60" t="n">
        <v>25.8</v>
      </c>
      <c r="AY106" s="60" t="n">
        <v>10</v>
      </c>
      <c r="AZ106" s="60" t="n">
        <v>13.3</v>
      </c>
      <c r="BA106" s="60" t="n">
        <v>5.6</v>
      </c>
      <c r="BB106" s="60" t="n">
        <v>170.3</v>
      </c>
      <c r="BC106" s="60" t="n">
        <f aca="false">AQ106+AR106+AS106+AT106+AU106+AV106+AW106</f>
        <v>-112.9</v>
      </c>
      <c r="BD106" s="60" t="n">
        <f aca="false">AQ106</f>
        <v>581.4</v>
      </c>
      <c r="BE106" s="60" t="n">
        <f aca="false">AQ106+AR106</f>
        <v>-397.9</v>
      </c>
      <c r="BF106" s="60" t="n">
        <f aca="false">BE106+AS106</f>
        <v>-397.9</v>
      </c>
      <c r="BG106" s="60" t="n">
        <f aca="false">BF106+AT106</f>
        <v>-172.9</v>
      </c>
      <c r="BH106" s="60" t="n">
        <f aca="false">BG106+AU106+AV106+AW106</f>
        <v>-112.9</v>
      </c>
      <c r="BI106" s="60" t="n">
        <f aca="false">BC106</f>
        <v>-112.9</v>
      </c>
      <c r="BJ106" s="60" t="n">
        <f aca="false">IF('Level 1'!$C$31="Yes",BD106,AJ106)</f>
        <v>0</v>
      </c>
      <c r="BK106" s="60" t="n">
        <f aca="false">IF('Level 2'!$C$31="Yes",BE106,AK106)</f>
        <v>0</v>
      </c>
      <c r="BL106" s="60" t="n">
        <f aca="false">IF('Level 3'!$C$31="Yes",BF106,AL106)</f>
        <v>0</v>
      </c>
      <c r="BM106" s="60" t="n">
        <f aca="false">IF('Level 4'!$C$31="Yes",BG106,AM106)</f>
        <v>0</v>
      </c>
      <c r="BN106" s="60" t="n">
        <f aca="false">IF('Level 5'!$C$31="Yes",BH106,AN106)</f>
        <v>0</v>
      </c>
      <c r="BO106" s="60" t="n">
        <f aca="false">IF('Level 6'!$C$31="Yes",BI106,AO106)</f>
        <v>0</v>
      </c>
      <c r="BP106" s="60" t="n">
        <f aca="false">IF('Level 7'!$C$31="Yes",BC106,AP106)</f>
        <v>0</v>
      </c>
      <c r="BQ106" s="60" t="n">
        <f aca="false">D106-AP106</f>
        <v>183</v>
      </c>
      <c r="BR106" s="60" t="n">
        <f aca="false">BQ106^2</f>
        <v>33489</v>
      </c>
      <c r="BS106" s="60" t="n">
        <f aca="false">(BQ106-BQ105)^2</f>
        <v>1</v>
      </c>
      <c r="BT106" s="60" t="str">
        <f aca="false">IF(D106&gt;2000,ABS(BQ106)/D106,"")</f>
        <v/>
      </c>
      <c r="BU106" s="60" t="n">
        <v>123</v>
      </c>
      <c r="BV106" s="62" t="n">
        <v>0.5528</v>
      </c>
      <c r="BW106" s="60" t="n">
        <v>106.9</v>
      </c>
      <c r="BX106" s="60" t="n">
        <f aca="false">AA106</f>
        <v>0</v>
      </c>
      <c r="BY106" s="60" t="n">
        <f aca="false">H106</f>
        <v>0.36</v>
      </c>
      <c r="BZ106" s="60" t="n">
        <f aca="false">Z106</f>
        <v>0</v>
      </c>
      <c r="CA106" s="60" t="n">
        <f aca="false">AB106+AC106+AD106</f>
        <v>0</v>
      </c>
      <c r="CB106" s="60" t="n">
        <f aca="false">AE106+AF106+AG106+AH106+AI106</f>
        <v>0</v>
      </c>
    </row>
    <row r="107" customFormat="false" ht="15" hidden="false" customHeight="false" outlineLevel="0" collapsed="false">
      <c r="A107" s="58" t="n">
        <v>45641</v>
      </c>
      <c r="B107" s="59" t="n">
        <f aca="false">YEAR(A107)</f>
        <v>2024</v>
      </c>
      <c r="C107" s="59" t="n">
        <f aca="false">MONTH(A107)</f>
        <v>12</v>
      </c>
      <c r="D107" s="60" t="n">
        <v>150</v>
      </c>
      <c r="E107" s="61" t="n">
        <v>0.6983</v>
      </c>
      <c r="F107" s="61" t="n">
        <v>1.0282</v>
      </c>
      <c r="G107" s="61" t="n">
        <v>0</v>
      </c>
      <c r="H107" s="60" t="n">
        <v>0.38</v>
      </c>
      <c r="I107" s="60" t="n">
        <f aca="false">H107+'Level 4'!$C$12/100*I106</f>
        <v>0.38</v>
      </c>
      <c r="J107" s="60" t="n">
        <v>46.83</v>
      </c>
      <c r="K107" s="60" t="n">
        <v>1.01</v>
      </c>
      <c r="L107" s="60" t="n">
        <v>7.68</v>
      </c>
      <c r="M107" s="60" t="n">
        <f aca="false">L107+Answers!$C$14/100*M106</f>
        <v>43.7636053827184</v>
      </c>
      <c r="N107" s="60" t="n">
        <v>0</v>
      </c>
      <c r="O107" s="60" t="n">
        <v>0</v>
      </c>
      <c r="P107" s="60" t="n">
        <v>0</v>
      </c>
      <c r="Q107" s="60" t="n">
        <v>0</v>
      </c>
      <c r="R107" s="60" t="n">
        <v>0.23</v>
      </c>
      <c r="S107" s="60" t="n">
        <f aca="false">N107+Answers!$C$16/100*S106</f>
        <v>1.43017108674776</v>
      </c>
      <c r="T107" s="60" t="n">
        <f aca="false">O107+Answers!$C$17/100*T106</f>
        <v>0.636194137786513</v>
      </c>
      <c r="U107" s="60" t="n">
        <f aca="false">P107+Answers!$C$18/100*U106</f>
        <v>0.739959563377716</v>
      </c>
      <c r="V107" s="60" t="n">
        <f aca="false">Q107+Answers!$C$19/100*V106</f>
        <v>1.22684142098758</v>
      </c>
      <c r="W107" s="60" t="n">
        <f aca="false">R107+Answers!$C$20/100*W106</f>
        <v>7.181344013888</v>
      </c>
      <c r="X107" s="60" t="n">
        <f aca="false">IF('Level 1'!$C$11="",0,'Level 1'!$C$11)*E107</f>
        <v>0</v>
      </c>
      <c r="Y107" s="60" t="n">
        <f aca="false">-IF('Level 2'!$C$11="",0,'Level 2'!$C$11)*F107</f>
        <v>-0</v>
      </c>
      <c r="Z107" s="60" t="n">
        <f aca="false">IF('Level 3'!$C$11="",0,'Level 3'!$C$11)*G107</f>
        <v>0</v>
      </c>
      <c r="AA107" s="60" t="n">
        <f aca="false">IF('Level 4'!$C$11="",0,'Level 4'!$C$11)*(1-'Level 4'!$C$12/100)*I107</f>
        <v>0</v>
      </c>
      <c r="AB107" s="60" t="n">
        <f aca="false">IF('Level 5'!$C$11="",0,'Level 5'!$C$11)*J107</f>
        <v>0</v>
      </c>
      <c r="AC107" s="60" t="n">
        <f aca="false">IF('Level 5'!$C$12="",0,'Level 5'!$C$12)*K107</f>
        <v>0</v>
      </c>
      <c r="AD107" s="60" t="n">
        <f aca="false">IF('Level 5'!$C$13="",0,'Level 5'!$C$13)*(1-Answers!$C$14/100)*M107</f>
        <v>0</v>
      </c>
      <c r="AE107" s="60" t="n">
        <f aca="false">IF('Level 6'!$C$11="",0,'Level 6'!$C$11)*(1-Answers!$C$16/100)*S107</f>
        <v>0</v>
      </c>
      <c r="AF107" s="60" t="n">
        <f aca="false">IF('Level 6'!$C$12="",0,'Level 6'!$C$12)*(1-Answers!$C$17/100)*T107</f>
        <v>0</v>
      </c>
      <c r="AG107" s="60" t="n">
        <f aca="false">IF('Level 6'!$C$13="",0,'Level 6'!$C$13)*(1-Answers!$C$18/100)*U107</f>
        <v>0</v>
      </c>
      <c r="AH107" s="60" t="n">
        <f aca="false">IF('Level 6'!$C$14="",0,'Level 6'!$C$14)*(1-Answers!$C$19/100)*V107</f>
        <v>0</v>
      </c>
      <c r="AI107" s="60" t="n">
        <f aca="false">IF('Level 6'!$C$15="",0,'Level 6'!$C$15)*(1-Answers!$C$20/100)*W107</f>
        <v>0</v>
      </c>
      <c r="AJ107" s="60" t="n">
        <f aca="false">X107</f>
        <v>0</v>
      </c>
      <c r="AK107" s="60" t="n">
        <f aca="false">X107+Y107</f>
        <v>0</v>
      </c>
      <c r="AL107" s="60" t="n">
        <f aca="false">AK107+Z107</f>
        <v>0</v>
      </c>
      <c r="AM107" s="60" t="n">
        <f aca="false">AL107+AA107</f>
        <v>0</v>
      </c>
      <c r="AN107" s="60" t="n">
        <f aca="false">AM107+AB107+AC107+AD107</f>
        <v>0</v>
      </c>
      <c r="AO107" s="60" t="n">
        <f aca="false">AL107+AE107+AF107+AG107+AH107+AI107+AB107+AC107+AD107</f>
        <v>0</v>
      </c>
      <c r="AP107" s="60" t="n">
        <f aca="false">IF(Answers!$C$22="Yes",AO107,AN107)</f>
        <v>0</v>
      </c>
      <c r="AQ107" s="60" t="n">
        <v>611.4</v>
      </c>
      <c r="AR107" s="60" t="n">
        <v>-979.3</v>
      </c>
      <c r="AS107" s="60" t="n">
        <v>0</v>
      </c>
      <c r="AT107" s="60" t="n">
        <v>200.8</v>
      </c>
      <c r="AU107" s="60" t="n">
        <v>88</v>
      </c>
      <c r="AV107" s="60" t="n">
        <v>3.7</v>
      </c>
      <c r="AW107" s="60" t="n">
        <v>0</v>
      </c>
      <c r="AX107" s="60" t="n">
        <v>21.9</v>
      </c>
      <c r="AY107" s="60" t="n">
        <v>8.5</v>
      </c>
      <c r="AZ107" s="60" t="n">
        <v>11.3</v>
      </c>
      <c r="BA107" s="60" t="n">
        <v>4.8</v>
      </c>
      <c r="BB107" s="60" t="n">
        <v>154.3</v>
      </c>
      <c r="BC107" s="60" t="n">
        <f aca="false">AQ107+AR107+AS107+AT107+AU107+AV107+AW107</f>
        <v>-75.4</v>
      </c>
      <c r="BD107" s="60" t="n">
        <f aca="false">AQ107</f>
        <v>611.4</v>
      </c>
      <c r="BE107" s="60" t="n">
        <f aca="false">AQ107+AR107</f>
        <v>-367.9</v>
      </c>
      <c r="BF107" s="60" t="n">
        <f aca="false">BE107+AS107</f>
        <v>-367.9</v>
      </c>
      <c r="BG107" s="60" t="n">
        <f aca="false">BF107+AT107</f>
        <v>-167.1</v>
      </c>
      <c r="BH107" s="60" t="n">
        <f aca="false">BG107+AU107+AV107+AW107</f>
        <v>-75.4</v>
      </c>
      <c r="BI107" s="60" t="n">
        <f aca="false">BC107</f>
        <v>-75.4</v>
      </c>
      <c r="BJ107" s="60" t="n">
        <f aca="false">IF('Level 1'!$C$31="Yes",BD107,AJ107)</f>
        <v>0</v>
      </c>
      <c r="BK107" s="60" t="n">
        <f aca="false">IF('Level 2'!$C$31="Yes",BE107,AK107)</f>
        <v>0</v>
      </c>
      <c r="BL107" s="60" t="n">
        <f aca="false">IF('Level 3'!$C$31="Yes",BF107,AL107)</f>
        <v>0</v>
      </c>
      <c r="BM107" s="60" t="n">
        <f aca="false">IF('Level 4'!$C$31="Yes",BG107,AM107)</f>
        <v>0</v>
      </c>
      <c r="BN107" s="60" t="n">
        <f aca="false">IF('Level 5'!$C$31="Yes",BH107,AN107)</f>
        <v>0</v>
      </c>
      <c r="BO107" s="60" t="n">
        <f aca="false">IF('Level 6'!$C$31="Yes",BI107,AO107)</f>
        <v>0</v>
      </c>
      <c r="BP107" s="60" t="n">
        <f aca="false">IF('Level 7'!$C$31="Yes",BC107,AP107)</f>
        <v>0</v>
      </c>
      <c r="BQ107" s="60" t="n">
        <f aca="false">D107-AP107</f>
        <v>150</v>
      </c>
      <c r="BR107" s="60" t="n">
        <f aca="false">BQ107^2</f>
        <v>22500</v>
      </c>
      <c r="BS107" s="60" t="n">
        <f aca="false">(BQ107-BQ106)^2</f>
        <v>1089</v>
      </c>
      <c r="BT107" s="60" t="str">
        <f aca="false">IF(D107&gt;2000,ABS(BQ107)/D107,"")</f>
        <v/>
      </c>
      <c r="BU107" s="60" t="n">
        <v>129</v>
      </c>
      <c r="BV107" s="62" t="n">
        <v>0.5528</v>
      </c>
      <c r="BW107" s="60" t="n">
        <v>120.4</v>
      </c>
      <c r="BX107" s="60" t="n">
        <f aca="false">AA107</f>
        <v>0</v>
      </c>
      <c r="BY107" s="60" t="n">
        <f aca="false">H107</f>
        <v>0.38</v>
      </c>
      <c r="BZ107" s="60" t="n">
        <f aca="false">Z107</f>
        <v>0</v>
      </c>
      <c r="CA107" s="60" t="n">
        <f aca="false">AB107+AC107+AD107</f>
        <v>0</v>
      </c>
      <c r="CB107" s="60" t="n">
        <f aca="false">AE107+AF107+AG107+AH107+AI107</f>
        <v>0</v>
      </c>
    </row>
    <row r="108" customFormat="false" ht="15" hidden="false" customHeight="false" outlineLevel="0" collapsed="false">
      <c r="A108" s="58" t="n">
        <v>45648</v>
      </c>
      <c r="B108" s="59" t="n">
        <f aca="false">YEAR(A108)</f>
        <v>2024</v>
      </c>
      <c r="C108" s="59" t="n">
        <f aca="false">MONTH(A108)</f>
        <v>12</v>
      </c>
      <c r="D108" s="60" t="n">
        <v>360</v>
      </c>
      <c r="E108" s="61" t="n">
        <v>0.6587</v>
      </c>
      <c r="F108" s="61" t="n">
        <v>1.0282</v>
      </c>
      <c r="G108" s="61" t="n">
        <v>0</v>
      </c>
      <c r="H108" s="60" t="n">
        <v>2.1</v>
      </c>
      <c r="I108" s="60" t="n">
        <f aca="false">H108+'Level 4'!$C$12/100*I107</f>
        <v>2.1</v>
      </c>
      <c r="J108" s="60" t="n">
        <v>44.86</v>
      </c>
      <c r="K108" s="60" t="n">
        <v>1.62</v>
      </c>
      <c r="L108" s="60" t="n">
        <v>7.36</v>
      </c>
      <c r="M108" s="60" t="n">
        <f aca="false">L108+Answers!$C$14/100*M107</f>
        <v>33.6181632296311</v>
      </c>
      <c r="N108" s="60" t="n">
        <v>0</v>
      </c>
      <c r="O108" s="60" t="n">
        <v>0</v>
      </c>
      <c r="P108" s="60" t="n">
        <v>0</v>
      </c>
      <c r="Q108" s="60" t="n">
        <v>0</v>
      </c>
      <c r="R108" s="60" t="n">
        <v>1.74</v>
      </c>
      <c r="S108" s="60" t="n">
        <f aca="false">N108+Answers!$C$16/100*S107</f>
        <v>1.14413686939821</v>
      </c>
      <c r="T108" s="60" t="n">
        <f aca="false">O108+Answers!$C$17/100*T107</f>
        <v>0.508955310229211</v>
      </c>
      <c r="U108" s="60" t="n">
        <f aca="false">P108+Answers!$C$18/100*U107</f>
        <v>0.591967650702172</v>
      </c>
      <c r="V108" s="60" t="n">
        <f aca="false">Q108+Answers!$C$19/100*V107</f>
        <v>0.981473136790067</v>
      </c>
      <c r="W108" s="60" t="n">
        <f aca="false">R108+Answers!$C$20/100*W107</f>
        <v>7.4850752111104</v>
      </c>
      <c r="X108" s="60" t="n">
        <f aca="false">IF('Level 1'!$C$11="",0,'Level 1'!$C$11)*E108</f>
        <v>0</v>
      </c>
      <c r="Y108" s="60" t="n">
        <f aca="false">-IF('Level 2'!$C$11="",0,'Level 2'!$C$11)*F108</f>
        <v>-0</v>
      </c>
      <c r="Z108" s="60" t="n">
        <f aca="false">IF('Level 3'!$C$11="",0,'Level 3'!$C$11)*G108</f>
        <v>0</v>
      </c>
      <c r="AA108" s="60" t="n">
        <f aca="false">IF('Level 4'!$C$11="",0,'Level 4'!$C$11)*(1-'Level 4'!$C$12/100)*I108</f>
        <v>0</v>
      </c>
      <c r="AB108" s="60" t="n">
        <f aca="false">IF('Level 5'!$C$11="",0,'Level 5'!$C$11)*J108</f>
        <v>0</v>
      </c>
      <c r="AC108" s="60" t="n">
        <f aca="false">IF('Level 5'!$C$12="",0,'Level 5'!$C$12)*K108</f>
        <v>0</v>
      </c>
      <c r="AD108" s="60" t="n">
        <f aca="false">IF('Level 5'!$C$13="",0,'Level 5'!$C$13)*(1-Answers!$C$14/100)*M108</f>
        <v>0</v>
      </c>
      <c r="AE108" s="60" t="n">
        <f aca="false">IF('Level 6'!$C$11="",0,'Level 6'!$C$11)*(1-Answers!$C$16/100)*S108</f>
        <v>0</v>
      </c>
      <c r="AF108" s="60" t="n">
        <f aca="false">IF('Level 6'!$C$12="",0,'Level 6'!$C$12)*(1-Answers!$C$17/100)*T108</f>
        <v>0</v>
      </c>
      <c r="AG108" s="60" t="n">
        <f aca="false">IF('Level 6'!$C$13="",0,'Level 6'!$C$13)*(1-Answers!$C$18/100)*U108</f>
        <v>0</v>
      </c>
      <c r="AH108" s="60" t="n">
        <f aca="false">IF('Level 6'!$C$14="",0,'Level 6'!$C$14)*(1-Answers!$C$19/100)*V108</f>
        <v>0</v>
      </c>
      <c r="AI108" s="60" t="n">
        <f aca="false">IF('Level 6'!$C$15="",0,'Level 6'!$C$15)*(1-Answers!$C$20/100)*W108</f>
        <v>0</v>
      </c>
      <c r="AJ108" s="60" t="n">
        <f aca="false">X108</f>
        <v>0</v>
      </c>
      <c r="AK108" s="60" t="n">
        <f aca="false">X108+Y108</f>
        <v>0</v>
      </c>
      <c r="AL108" s="60" t="n">
        <f aca="false">AK108+Z108</f>
        <v>0</v>
      </c>
      <c r="AM108" s="60" t="n">
        <f aca="false">AL108+AA108</f>
        <v>0</v>
      </c>
      <c r="AN108" s="60" t="n">
        <f aca="false">AM108+AB108+AC108+AD108</f>
        <v>0</v>
      </c>
      <c r="AO108" s="60" t="n">
        <f aca="false">AL108+AE108+AF108+AG108+AH108+AI108+AB108+AC108+AD108</f>
        <v>0</v>
      </c>
      <c r="AP108" s="60" t="n">
        <f aca="false">IF(Answers!$C$22="Yes",AO108,AN108)</f>
        <v>0</v>
      </c>
      <c r="AQ108" s="60" t="n">
        <v>576.7</v>
      </c>
      <c r="AR108" s="60" t="n">
        <v>-979.3</v>
      </c>
      <c r="AS108" s="60" t="n">
        <v>0</v>
      </c>
      <c r="AT108" s="60" t="n">
        <v>188</v>
      </c>
      <c r="AU108" s="60" t="n">
        <v>83.8</v>
      </c>
      <c r="AV108" s="60" t="n">
        <v>5.9</v>
      </c>
      <c r="AW108" s="60" t="n">
        <v>0</v>
      </c>
      <c r="AX108" s="60" t="n">
        <v>18.6</v>
      </c>
      <c r="AY108" s="60" t="n">
        <v>7.2</v>
      </c>
      <c r="AZ108" s="60" t="n">
        <v>9.6</v>
      </c>
      <c r="BA108" s="60" t="n">
        <v>4.1</v>
      </c>
      <c r="BB108" s="60" t="n">
        <v>148.5</v>
      </c>
      <c r="BC108" s="60" t="n">
        <f aca="false">AQ108+AR108+AS108+AT108+AU108+AV108+AW108</f>
        <v>-124.9</v>
      </c>
      <c r="BD108" s="60" t="n">
        <f aca="false">AQ108</f>
        <v>576.7</v>
      </c>
      <c r="BE108" s="60" t="n">
        <f aca="false">AQ108+AR108</f>
        <v>-402.6</v>
      </c>
      <c r="BF108" s="60" t="n">
        <f aca="false">BE108+AS108</f>
        <v>-402.6</v>
      </c>
      <c r="BG108" s="60" t="n">
        <f aca="false">BF108+AT108</f>
        <v>-214.6</v>
      </c>
      <c r="BH108" s="60" t="n">
        <f aca="false">BG108+AU108+AV108+AW108</f>
        <v>-124.9</v>
      </c>
      <c r="BI108" s="60" t="n">
        <f aca="false">BC108</f>
        <v>-124.9</v>
      </c>
      <c r="BJ108" s="60" t="n">
        <f aca="false">IF('Level 1'!$C$31="Yes",BD108,AJ108)</f>
        <v>0</v>
      </c>
      <c r="BK108" s="60" t="n">
        <f aca="false">IF('Level 2'!$C$31="Yes",BE108,AK108)</f>
        <v>0</v>
      </c>
      <c r="BL108" s="60" t="n">
        <f aca="false">IF('Level 3'!$C$31="Yes",BF108,AL108)</f>
        <v>0</v>
      </c>
      <c r="BM108" s="60" t="n">
        <f aca="false">IF('Level 4'!$C$31="Yes",BG108,AM108)</f>
        <v>0</v>
      </c>
      <c r="BN108" s="60" t="n">
        <f aca="false">IF('Level 5'!$C$31="Yes",BH108,AN108)</f>
        <v>0</v>
      </c>
      <c r="BO108" s="60" t="n">
        <f aca="false">IF('Level 6'!$C$31="Yes",BI108,AO108)</f>
        <v>0</v>
      </c>
      <c r="BP108" s="60" t="n">
        <f aca="false">IF('Level 7'!$C$31="Yes",BC108,AP108)</f>
        <v>0</v>
      </c>
      <c r="BQ108" s="60" t="n">
        <f aca="false">D108-AP108</f>
        <v>360</v>
      </c>
      <c r="BR108" s="60" t="n">
        <f aca="false">BQ108^2</f>
        <v>129600</v>
      </c>
      <c r="BS108" s="60" t="n">
        <f aca="false">(BQ108-BQ107)^2</f>
        <v>44100</v>
      </c>
      <c r="BT108" s="60" t="str">
        <f aca="false">IF(D108&gt;2000,ABS(BQ108)/D108,"")</f>
        <v/>
      </c>
      <c r="BU108" s="60" t="n">
        <v>126</v>
      </c>
      <c r="BV108" s="62" t="n">
        <v>0.5528</v>
      </c>
      <c r="BW108" s="60" t="n">
        <v>222.1</v>
      </c>
      <c r="BX108" s="60" t="n">
        <f aca="false">AA108</f>
        <v>0</v>
      </c>
      <c r="BY108" s="60" t="n">
        <f aca="false">H108</f>
        <v>2.1</v>
      </c>
      <c r="BZ108" s="60" t="n">
        <f aca="false">Z108</f>
        <v>0</v>
      </c>
      <c r="CA108" s="60" t="n">
        <f aca="false">AB108+AC108+AD108</f>
        <v>0</v>
      </c>
      <c r="CB108" s="60" t="n">
        <f aca="false">AE108+AF108+AG108+AH108+AI108</f>
        <v>0</v>
      </c>
    </row>
    <row r="109" customFormat="false" ht="15" hidden="false" customHeight="false" outlineLevel="0" collapsed="false">
      <c r="A109" s="58" t="n">
        <v>45655</v>
      </c>
      <c r="B109" s="59" t="n">
        <f aca="false">YEAR(A109)</f>
        <v>2024</v>
      </c>
      <c r="C109" s="59" t="n">
        <f aca="false">MONTH(A109)</f>
        <v>12</v>
      </c>
      <c r="D109" s="60" t="n">
        <v>1570</v>
      </c>
      <c r="E109" s="61" t="n">
        <v>0.6508</v>
      </c>
      <c r="F109" s="61" t="n">
        <v>0.1198</v>
      </c>
      <c r="G109" s="61" t="n">
        <v>0.7291</v>
      </c>
      <c r="H109" s="60" t="n">
        <v>9.79</v>
      </c>
      <c r="I109" s="60" t="n">
        <f aca="false">H109+'Level 4'!$C$12/100*I108</f>
        <v>9.79</v>
      </c>
      <c r="J109" s="60" t="n">
        <v>38.09</v>
      </c>
      <c r="K109" s="60" t="n">
        <v>1.2</v>
      </c>
      <c r="L109" s="60" t="n">
        <v>3.18</v>
      </c>
      <c r="M109" s="60" t="n">
        <f aca="false">L109+Answers!$C$14/100*M108</f>
        <v>23.3508979377786</v>
      </c>
      <c r="N109" s="60" t="n">
        <v>0</v>
      </c>
      <c r="O109" s="60" t="n">
        <v>0</v>
      </c>
      <c r="P109" s="60" t="n">
        <v>0</v>
      </c>
      <c r="Q109" s="60" t="n">
        <v>0</v>
      </c>
      <c r="R109" s="60" t="n">
        <v>8.22</v>
      </c>
      <c r="S109" s="60" t="n">
        <f aca="false">N109+Answers!$C$16/100*S108</f>
        <v>0.915309495518565</v>
      </c>
      <c r="T109" s="60" t="n">
        <f aca="false">O109+Answers!$C$17/100*T108</f>
        <v>0.407164248183369</v>
      </c>
      <c r="U109" s="60" t="n">
        <f aca="false">P109+Answers!$C$18/100*U108</f>
        <v>0.473574120561738</v>
      </c>
      <c r="V109" s="60" t="n">
        <f aca="false">Q109+Answers!$C$19/100*V108</f>
        <v>0.785178509432054</v>
      </c>
      <c r="W109" s="60" t="n">
        <f aca="false">R109+Answers!$C$20/100*W108</f>
        <v>14.2080601688883</v>
      </c>
      <c r="X109" s="60" t="n">
        <f aca="false">IF('Level 1'!$C$11="",0,'Level 1'!$C$11)*E109</f>
        <v>0</v>
      </c>
      <c r="Y109" s="60" t="n">
        <f aca="false">-IF('Level 2'!$C$11="",0,'Level 2'!$C$11)*F109</f>
        <v>-0</v>
      </c>
      <c r="Z109" s="60" t="n">
        <f aca="false">IF('Level 3'!$C$11="",0,'Level 3'!$C$11)*G109</f>
        <v>0</v>
      </c>
      <c r="AA109" s="60" t="n">
        <f aca="false">IF('Level 4'!$C$11="",0,'Level 4'!$C$11)*(1-'Level 4'!$C$12/100)*I109</f>
        <v>0</v>
      </c>
      <c r="AB109" s="60" t="n">
        <f aca="false">IF('Level 5'!$C$11="",0,'Level 5'!$C$11)*J109</f>
        <v>0</v>
      </c>
      <c r="AC109" s="60" t="n">
        <f aca="false">IF('Level 5'!$C$12="",0,'Level 5'!$C$12)*K109</f>
        <v>0</v>
      </c>
      <c r="AD109" s="60" t="n">
        <f aca="false">IF('Level 5'!$C$13="",0,'Level 5'!$C$13)*(1-Answers!$C$14/100)*M109</f>
        <v>0</v>
      </c>
      <c r="AE109" s="60" t="n">
        <f aca="false">IF('Level 6'!$C$11="",0,'Level 6'!$C$11)*(1-Answers!$C$16/100)*S109</f>
        <v>0</v>
      </c>
      <c r="AF109" s="60" t="n">
        <f aca="false">IF('Level 6'!$C$12="",0,'Level 6'!$C$12)*(1-Answers!$C$17/100)*T109</f>
        <v>0</v>
      </c>
      <c r="AG109" s="60" t="n">
        <f aca="false">IF('Level 6'!$C$13="",0,'Level 6'!$C$13)*(1-Answers!$C$18/100)*U109</f>
        <v>0</v>
      </c>
      <c r="AH109" s="60" t="n">
        <f aca="false">IF('Level 6'!$C$14="",0,'Level 6'!$C$14)*(1-Answers!$C$19/100)*V109</f>
        <v>0</v>
      </c>
      <c r="AI109" s="60" t="n">
        <f aca="false">IF('Level 6'!$C$15="",0,'Level 6'!$C$15)*(1-Answers!$C$20/100)*W109</f>
        <v>0</v>
      </c>
      <c r="AJ109" s="60" t="n">
        <f aca="false">X109</f>
        <v>0</v>
      </c>
      <c r="AK109" s="60" t="n">
        <f aca="false">X109+Y109</f>
        <v>0</v>
      </c>
      <c r="AL109" s="60" t="n">
        <f aca="false">AK109+Z109</f>
        <v>0</v>
      </c>
      <c r="AM109" s="60" t="n">
        <f aca="false">AL109+AA109</f>
        <v>0</v>
      </c>
      <c r="AN109" s="60" t="n">
        <f aca="false">AM109+AB109+AC109+AD109</f>
        <v>0</v>
      </c>
      <c r="AO109" s="60" t="n">
        <f aca="false">AL109+AE109+AF109+AG109+AH109+AI109+AB109+AC109+AD109</f>
        <v>0</v>
      </c>
      <c r="AP109" s="60" t="n">
        <f aca="false">IF(Answers!$C$22="Yes",AO109,AN109)</f>
        <v>0</v>
      </c>
      <c r="AQ109" s="60" t="n">
        <v>569.9</v>
      </c>
      <c r="AR109" s="60" t="n">
        <v>-114.1</v>
      </c>
      <c r="AS109" s="60" t="n">
        <v>5539.2</v>
      </c>
      <c r="AT109" s="60" t="n">
        <v>197.5</v>
      </c>
      <c r="AU109" s="60" t="n">
        <v>51.9</v>
      </c>
      <c r="AV109" s="60" t="n">
        <v>4.4</v>
      </c>
      <c r="AW109" s="60" t="n">
        <v>0</v>
      </c>
      <c r="AX109" s="60" t="n">
        <v>15.8</v>
      </c>
      <c r="AY109" s="60" t="n">
        <v>6.1</v>
      </c>
      <c r="AZ109" s="60" t="n">
        <v>8.2</v>
      </c>
      <c r="BA109" s="60" t="n">
        <v>3.5</v>
      </c>
      <c r="BB109" s="60" t="n">
        <v>163.9</v>
      </c>
      <c r="BC109" s="60" t="n">
        <f aca="false">AQ109+AR109+AS109+AT109+AU109+AV109+AW109</f>
        <v>6248.8</v>
      </c>
      <c r="BD109" s="60" t="n">
        <f aca="false">AQ109</f>
        <v>569.9</v>
      </c>
      <c r="BE109" s="60" t="n">
        <f aca="false">AQ109+AR109</f>
        <v>455.8</v>
      </c>
      <c r="BF109" s="60" t="n">
        <f aca="false">BE109+AS109</f>
        <v>5995</v>
      </c>
      <c r="BG109" s="60" t="n">
        <f aca="false">BF109+AT109</f>
        <v>6192.5</v>
      </c>
      <c r="BH109" s="60" t="n">
        <f aca="false">BG109+AU109+AV109+AW109</f>
        <v>6248.8</v>
      </c>
      <c r="BI109" s="60" t="n">
        <f aca="false">BC109</f>
        <v>6248.8</v>
      </c>
      <c r="BJ109" s="60" t="n">
        <f aca="false">IF('Level 1'!$C$31="Yes",BD109,AJ109)</f>
        <v>0</v>
      </c>
      <c r="BK109" s="60" t="n">
        <f aca="false">IF('Level 2'!$C$31="Yes",BE109,AK109)</f>
        <v>0</v>
      </c>
      <c r="BL109" s="60" t="n">
        <f aca="false">IF('Level 3'!$C$31="Yes",BF109,AL109)</f>
        <v>0</v>
      </c>
      <c r="BM109" s="60" t="n">
        <f aca="false">IF('Level 4'!$C$31="Yes",BG109,AM109)</f>
        <v>0</v>
      </c>
      <c r="BN109" s="60" t="n">
        <f aca="false">IF('Level 5'!$C$31="Yes",BH109,AN109)</f>
        <v>0</v>
      </c>
      <c r="BO109" s="60" t="n">
        <f aca="false">IF('Level 6'!$C$31="Yes",BI109,AO109)</f>
        <v>0</v>
      </c>
      <c r="BP109" s="60" t="n">
        <f aca="false">IF('Level 7'!$C$31="Yes",BC109,AP109)</f>
        <v>0</v>
      </c>
      <c r="BQ109" s="60" t="n">
        <f aca="false">D109-AP109</f>
        <v>1570</v>
      </c>
      <c r="BR109" s="60" t="n">
        <f aca="false">BQ109^2</f>
        <v>2464900</v>
      </c>
      <c r="BS109" s="60" t="n">
        <f aca="false">(BQ109-BQ108)^2</f>
        <v>1464100</v>
      </c>
      <c r="BT109" s="60" t="str">
        <f aca="false">IF(D109&gt;2000,ABS(BQ109)/D109,"")</f>
        <v/>
      </c>
      <c r="BU109" s="60" t="n">
        <v>79</v>
      </c>
      <c r="BV109" s="62" t="n">
        <v>0.5341</v>
      </c>
      <c r="BW109" s="60" t="n">
        <v>131.7</v>
      </c>
      <c r="BX109" s="60" t="n">
        <f aca="false">AA109</f>
        <v>0</v>
      </c>
      <c r="BY109" s="60" t="n">
        <f aca="false">H109</f>
        <v>9.79</v>
      </c>
      <c r="BZ109" s="60" t="n">
        <f aca="false">Z109</f>
        <v>0</v>
      </c>
      <c r="CA109" s="60" t="n">
        <f aca="false">AB109+AC109+AD109</f>
        <v>0</v>
      </c>
      <c r="CB109" s="60" t="n">
        <f aca="false">AE109+AF109+AG109+AH109+AI109</f>
        <v>0</v>
      </c>
    </row>
    <row r="110" customFormat="false" ht="15" hidden="false" customHeight="false" outlineLevel="0" collapsed="false">
      <c r="A110" s="58" t="n">
        <v>45662</v>
      </c>
      <c r="B110" s="59" t="n">
        <f aca="false">YEAR(A110)</f>
        <v>2025</v>
      </c>
      <c r="C110" s="59" t="n">
        <f aca="false">MONTH(A110)</f>
        <v>1</v>
      </c>
      <c r="D110" s="60" t="n">
        <v>12614</v>
      </c>
      <c r="E110" s="61" t="n">
        <v>0.643</v>
      </c>
      <c r="F110" s="61" t="n">
        <v>-0.0164</v>
      </c>
      <c r="G110" s="61" t="n">
        <v>0.7291</v>
      </c>
      <c r="H110" s="60" t="n">
        <v>219.09</v>
      </c>
      <c r="I110" s="60" t="n">
        <f aca="false">H110+'Level 4'!$C$12/100*I109</f>
        <v>219.09</v>
      </c>
      <c r="J110" s="60" t="n">
        <v>96.56</v>
      </c>
      <c r="K110" s="60" t="n">
        <v>18.31</v>
      </c>
      <c r="L110" s="60" t="n">
        <v>6.21</v>
      </c>
      <c r="M110" s="60" t="n">
        <f aca="false">L110+Answers!$C$14/100*M109</f>
        <v>20.2205387626672</v>
      </c>
      <c r="N110" s="60" t="n">
        <v>45.96</v>
      </c>
      <c r="O110" s="60" t="n">
        <v>60.34</v>
      </c>
      <c r="P110" s="60" t="n">
        <v>0</v>
      </c>
      <c r="Q110" s="60" t="n">
        <v>3.38</v>
      </c>
      <c r="R110" s="60" t="n">
        <v>96.79</v>
      </c>
      <c r="S110" s="60" t="n">
        <f aca="false">N110+Answers!$C$16/100*S109</f>
        <v>46.6922475964149</v>
      </c>
      <c r="T110" s="60" t="n">
        <f aca="false">O110+Answers!$C$17/100*T109</f>
        <v>60.6657313985467</v>
      </c>
      <c r="U110" s="60" t="n">
        <f aca="false">P110+Answers!$C$18/100*U109</f>
        <v>0.37885929644939</v>
      </c>
      <c r="V110" s="60" t="n">
        <f aca="false">Q110+Answers!$C$19/100*V109</f>
        <v>4.00814280754564</v>
      </c>
      <c r="W110" s="60" t="n">
        <f aca="false">R110+Answers!$C$20/100*W109</f>
        <v>108.156448135111</v>
      </c>
      <c r="X110" s="60" t="n">
        <f aca="false">IF('Level 1'!$C$11="",0,'Level 1'!$C$11)*E110</f>
        <v>0</v>
      </c>
      <c r="Y110" s="60" t="n">
        <f aca="false">-IF('Level 2'!$C$11="",0,'Level 2'!$C$11)*F110</f>
        <v>0</v>
      </c>
      <c r="Z110" s="60" t="n">
        <f aca="false">IF('Level 3'!$C$11="",0,'Level 3'!$C$11)*G110</f>
        <v>0</v>
      </c>
      <c r="AA110" s="60" t="n">
        <f aca="false">IF('Level 4'!$C$11="",0,'Level 4'!$C$11)*(1-'Level 4'!$C$12/100)*I110</f>
        <v>0</v>
      </c>
      <c r="AB110" s="60" t="n">
        <f aca="false">IF('Level 5'!$C$11="",0,'Level 5'!$C$11)*J110</f>
        <v>0</v>
      </c>
      <c r="AC110" s="60" t="n">
        <f aca="false">IF('Level 5'!$C$12="",0,'Level 5'!$C$12)*K110</f>
        <v>0</v>
      </c>
      <c r="AD110" s="60" t="n">
        <f aca="false">IF('Level 5'!$C$13="",0,'Level 5'!$C$13)*(1-Answers!$C$14/100)*M110</f>
        <v>0</v>
      </c>
      <c r="AE110" s="60" t="n">
        <f aca="false">IF('Level 6'!$C$11="",0,'Level 6'!$C$11)*(1-Answers!$C$16/100)*S110</f>
        <v>0</v>
      </c>
      <c r="AF110" s="60" t="n">
        <f aca="false">IF('Level 6'!$C$12="",0,'Level 6'!$C$12)*(1-Answers!$C$17/100)*T110</f>
        <v>0</v>
      </c>
      <c r="AG110" s="60" t="n">
        <f aca="false">IF('Level 6'!$C$13="",0,'Level 6'!$C$13)*(1-Answers!$C$18/100)*U110</f>
        <v>0</v>
      </c>
      <c r="AH110" s="60" t="n">
        <f aca="false">IF('Level 6'!$C$14="",0,'Level 6'!$C$14)*(1-Answers!$C$19/100)*V110</f>
        <v>0</v>
      </c>
      <c r="AI110" s="60" t="n">
        <f aca="false">IF('Level 6'!$C$15="",0,'Level 6'!$C$15)*(1-Answers!$C$20/100)*W110</f>
        <v>0</v>
      </c>
      <c r="AJ110" s="60" t="n">
        <f aca="false">X110</f>
        <v>0</v>
      </c>
      <c r="AK110" s="60" t="n">
        <f aca="false">X110+Y110</f>
        <v>0</v>
      </c>
      <c r="AL110" s="60" t="n">
        <f aca="false">AK110+Z110</f>
        <v>0</v>
      </c>
      <c r="AM110" s="60" t="n">
        <f aca="false">AL110+AA110</f>
        <v>0</v>
      </c>
      <c r="AN110" s="60" t="n">
        <f aca="false">AM110+AB110+AC110+AD110</f>
        <v>0</v>
      </c>
      <c r="AO110" s="60" t="n">
        <f aca="false">AL110+AE110+AF110+AG110+AH110+AI110+AB110+AC110+AD110</f>
        <v>0</v>
      </c>
      <c r="AP110" s="60" t="n">
        <f aca="false">IF(Answers!$C$22="Yes",AO110,AN110)</f>
        <v>0</v>
      </c>
      <c r="AQ110" s="60" t="n">
        <v>563</v>
      </c>
      <c r="AR110" s="60" t="n">
        <v>15.6</v>
      </c>
      <c r="AS110" s="60" t="n">
        <v>5539.2</v>
      </c>
      <c r="AT110" s="60" t="n">
        <v>714.8</v>
      </c>
      <c r="AU110" s="60" t="n">
        <v>317.6</v>
      </c>
      <c r="AV110" s="60" t="n">
        <v>49.2</v>
      </c>
      <c r="AW110" s="60" t="n">
        <v>0</v>
      </c>
      <c r="AX110" s="60" t="n">
        <v>134</v>
      </c>
      <c r="AY110" s="60" t="n">
        <v>162.9</v>
      </c>
      <c r="AZ110" s="60" t="n">
        <v>6.9</v>
      </c>
      <c r="BA110" s="60" t="n">
        <v>5.8</v>
      </c>
      <c r="BB110" s="60" t="n">
        <v>405.2</v>
      </c>
      <c r="BC110" s="60" t="n">
        <f aca="false">AQ110+AR110+AS110+AT110+AU110+AV110+AW110</f>
        <v>7199.4</v>
      </c>
      <c r="BD110" s="60" t="n">
        <f aca="false">AQ110</f>
        <v>563</v>
      </c>
      <c r="BE110" s="60" t="n">
        <f aca="false">AQ110+AR110</f>
        <v>578.6</v>
      </c>
      <c r="BF110" s="60" t="n">
        <f aca="false">BE110+AS110</f>
        <v>6117.8</v>
      </c>
      <c r="BG110" s="60" t="n">
        <f aca="false">BF110+AT110</f>
        <v>6832.6</v>
      </c>
      <c r="BH110" s="60" t="n">
        <f aca="false">BG110+AU110+AV110+AW110</f>
        <v>7199.4</v>
      </c>
      <c r="BI110" s="60" t="n">
        <f aca="false">BC110</f>
        <v>7199.4</v>
      </c>
      <c r="BJ110" s="60" t="n">
        <f aca="false">IF('Level 1'!$C$31="Yes",BD110,AJ110)</f>
        <v>0</v>
      </c>
      <c r="BK110" s="60" t="n">
        <f aca="false">IF('Level 2'!$C$31="Yes",BE110,AK110)</f>
        <v>0</v>
      </c>
      <c r="BL110" s="60" t="n">
        <f aca="false">IF('Level 3'!$C$31="Yes",BF110,AL110)</f>
        <v>0</v>
      </c>
      <c r="BM110" s="60" t="n">
        <f aca="false">IF('Level 4'!$C$31="Yes",BG110,AM110)</f>
        <v>0</v>
      </c>
      <c r="BN110" s="60" t="n">
        <f aca="false">IF('Level 5'!$C$31="Yes",BH110,AN110)</f>
        <v>0</v>
      </c>
      <c r="BO110" s="60" t="n">
        <f aca="false">IF('Level 6'!$C$31="Yes",BI110,AO110)</f>
        <v>0</v>
      </c>
      <c r="BP110" s="60" t="n">
        <f aca="false">IF('Level 7'!$C$31="Yes",BC110,AP110)</f>
        <v>0</v>
      </c>
      <c r="BQ110" s="60" t="n">
        <f aca="false">D110-AP110</f>
        <v>12614</v>
      </c>
      <c r="BR110" s="60" t="n">
        <f aca="false">BQ110^2</f>
        <v>159112996</v>
      </c>
      <c r="BS110" s="60" t="n">
        <f aca="false">(BQ110-BQ109)^2</f>
        <v>121969936</v>
      </c>
      <c r="BT110" s="60" t="n">
        <f aca="false">IF(D110&gt;2000,ABS(BQ110)/D110,"")</f>
        <v>1</v>
      </c>
      <c r="BU110" s="60" t="n">
        <v>133</v>
      </c>
      <c r="BV110" s="62" t="n">
        <v>0.5266</v>
      </c>
      <c r="BW110" s="60" t="n">
        <v>416.5</v>
      </c>
      <c r="BX110" s="60" t="n">
        <f aca="false">AA110</f>
        <v>0</v>
      </c>
      <c r="BY110" s="60" t="n">
        <f aca="false">H110</f>
        <v>219.09</v>
      </c>
      <c r="BZ110" s="60" t="n">
        <f aca="false">Z110</f>
        <v>0</v>
      </c>
      <c r="CA110" s="60" t="n">
        <f aca="false">AB110+AC110+AD110</f>
        <v>0</v>
      </c>
      <c r="CB110" s="60" t="n">
        <f aca="false">AE110+AF110+AG110+AH110+AI110</f>
        <v>0</v>
      </c>
    </row>
    <row r="111" customFormat="false" ht="15" hidden="false" customHeight="false" outlineLevel="0" collapsed="false">
      <c r="A111" s="58" t="n">
        <v>45669</v>
      </c>
      <c r="B111" s="59" t="n">
        <f aca="false">YEAR(A111)</f>
        <v>2025</v>
      </c>
      <c r="C111" s="59" t="n">
        <f aca="false">MONTH(A111)</f>
        <v>1</v>
      </c>
      <c r="D111" s="60" t="n">
        <v>12029</v>
      </c>
      <c r="E111" s="61" t="n">
        <v>0.6351</v>
      </c>
      <c r="F111" s="61" t="n">
        <v>-0.0514</v>
      </c>
      <c r="G111" s="61" t="n">
        <v>0.7291</v>
      </c>
      <c r="H111" s="60" t="n">
        <v>398</v>
      </c>
      <c r="I111" s="60" t="n">
        <f aca="false">H111+'Level 4'!$C$12/100*I110</f>
        <v>398</v>
      </c>
      <c r="J111" s="60" t="n">
        <v>96.6</v>
      </c>
      <c r="K111" s="60" t="n">
        <v>36.69</v>
      </c>
      <c r="L111" s="60" t="n">
        <v>563.02</v>
      </c>
      <c r="M111" s="60" t="n">
        <f aca="false">L111+Answers!$C$14/100*M110</f>
        <v>575.1523232576</v>
      </c>
      <c r="N111" s="60" t="n">
        <v>58.74</v>
      </c>
      <c r="O111" s="60" t="n">
        <v>71.33</v>
      </c>
      <c r="P111" s="60" t="n">
        <v>76.06</v>
      </c>
      <c r="Q111" s="60" t="n">
        <v>4.74</v>
      </c>
      <c r="R111" s="60" t="n">
        <v>175.09</v>
      </c>
      <c r="S111" s="60" t="n">
        <f aca="false">N111+Answers!$C$16/100*S110</f>
        <v>96.0937980771319</v>
      </c>
      <c r="T111" s="60" t="n">
        <f aca="false">O111+Answers!$C$17/100*T110</f>
        <v>119.862585118837</v>
      </c>
      <c r="U111" s="60" t="n">
        <f aca="false">P111+Answers!$C$18/100*U110</f>
        <v>76.3630874371595</v>
      </c>
      <c r="V111" s="60" t="n">
        <f aca="false">Q111+Answers!$C$19/100*V110</f>
        <v>7.94651424603651</v>
      </c>
      <c r="W111" s="60" t="n">
        <f aca="false">R111+Answers!$C$20/100*W110</f>
        <v>261.615158508089</v>
      </c>
      <c r="X111" s="60" t="n">
        <f aca="false">IF('Level 1'!$C$11="",0,'Level 1'!$C$11)*E111</f>
        <v>0</v>
      </c>
      <c r="Y111" s="60" t="n">
        <f aca="false">-IF('Level 2'!$C$11="",0,'Level 2'!$C$11)*F111</f>
        <v>0</v>
      </c>
      <c r="Z111" s="60" t="n">
        <f aca="false">IF('Level 3'!$C$11="",0,'Level 3'!$C$11)*G111</f>
        <v>0</v>
      </c>
      <c r="AA111" s="60" t="n">
        <f aca="false">IF('Level 4'!$C$11="",0,'Level 4'!$C$11)*(1-'Level 4'!$C$12/100)*I111</f>
        <v>0</v>
      </c>
      <c r="AB111" s="60" t="n">
        <f aca="false">IF('Level 5'!$C$11="",0,'Level 5'!$C$11)*J111</f>
        <v>0</v>
      </c>
      <c r="AC111" s="60" t="n">
        <f aca="false">IF('Level 5'!$C$12="",0,'Level 5'!$C$12)*K111</f>
        <v>0</v>
      </c>
      <c r="AD111" s="60" t="n">
        <f aca="false">IF('Level 5'!$C$13="",0,'Level 5'!$C$13)*(1-Answers!$C$14/100)*M111</f>
        <v>0</v>
      </c>
      <c r="AE111" s="60" t="n">
        <f aca="false">IF('Level 6'!$C$11="",0,'Level 6'!$C$11)*(1-Answers!$C$16/100)*S111</f>
        <v>0</v>
      </c>
      <c r="AF111" s="60" t="n">
        <f aca="false">IF('Level 6'!$C$12="",0,'Level 6'!$C$12)*(1-Answers!$C$17/100)*T111</f>
        <v>0</v>
      </c>
      <c r="AG111" s="60" t="n">
        <f aca="false">IF('Level 6'!$C$13="",0,'Level 6'!$C$13)*(1-Answers!$C$18/100)*U111</f>
        <v>0</v>
      </c>
      <c r="AH111" s="60" t="n">
        <f aca="false">IF('Level 6'!$C$14="",0,'Level 6'!$C$14)*(1-Answers!$C$19/100)*V111</f>
        <v>0</v>
      </c>
      <c r="AI111" s="60" t="n">
        <f aca="false">IF('Level 6'!$C$15="",0,'Level 6'!$C$15)*(1-Answers!$C$20/100)*W111</f>
        <v>0</v>
      </c>
      <c r="AJ111" s="60" t="n">
        <f aca="false">X111</f>
        <v>0</v>
      </c>
      <c r="AK111" s="60" t="n">
        <f aca="false">X111+Y111</f>
        <v>0</v>
      </c>
      <c r="AL111" s="60" t="n">
        <f aca="false">AK111+Z111</f>
        <v>0</v>
      </c>
      <c r="AM111" s="60" t="n">
        <f aca="false">AL111+AA111</f>
        <v>0</v>
      </c>
      <c r="AN111" s="60" t="n">
        <f aca="false">AM111+AB111+AC111+AD111</f>
        <v>0</v>
      </c>
      <c r="AO111" s="60" t="n">
        <f aca="false">AL111+AE111+AF111+AG111+AH111+AI111+AB111+AC111+AD111</f>
        <v>0</v>
      </c>
      <c r="AP111" s="60" t="n">
        <f aca="false">IF(Answers!$C$22="Yes",AO111,AN111)</f>
        <v>0</v>
      </c>
      <c r="AQ111" s="60" t="n">
        <v>556.1</v>
      </c>
      <c r="AR111" s="60" t="n">
        <v>49</v>
      </c>
      <c r="AS111" s="60" t="n">
        <v>5539.2</v>
      </c>
      <c r="AT111" s="60" t="n">
        <v>1616.8</v>
      </c>
      <c r="AU111" s="60" t="n">
        <v>324.8</v>
      </c>
      <c r="AV111" s="60" t="n">
        <v>98.5</v>
      </c>
      <c r="AW111" s="60" t="n">
        <v>1011.2</v>
      </c>
      <c r="AX111" s="60" t="n">
        <v>267.9</v>
      </c>
      <c r="AY111" s="60" t="n">
        <v>324.9</v>
      </c>
      <c r="AZ111" s="60" t="n">
        <v>204.5</v>
      </c>
      <c r="BA111" s="60" t="n">
        <v>8.9</v>
      </c>
      <c r="BB111" s="60" t="n">
        <v>810.7</v>
      </c>
      <c r="BC111" s="60" t="n">
        <f aca="false">AQ111+AR111+AS111+AT111+AU111+AV111+AW111</f>
        <v>9195.6</v>
      </c>
      <c r="BD111" s="60" t="n">
        <f aca="false">AQ111</f>
        <v>556.1</v>
      </c>
      <c r="BE111" s="60" t="n">
        <f aca="false">AQ111+AR111</f>
        <v>605.1</v>
      </c>
      <c r="BF111" s="60" t="n">
        <f aca="false">BE111+AS111</f>
        <v>6144.3</v>
      </c>
      <c r="BG111" s="60" t="n">
        <f aca="false">BF111+AT111</f>
        <v>7761.1</v>
      </c>
      <c r="BH111" s="60" t="n">
        <f aca="false">BG111+AU111+AV111+AW111</f>
        <v>9195.6</v>
      </c>
      <c r="BI111" s="60" t="n">
        <f aca="false">BC111</f>
        <v>9195.6</v>
      </c>
      <c r="BJ111" s="60" t="n">
        <f aca="false">IF('Level 1'!$C$31="Yes",BD111,AJ111)</f>
        <v>0</v>
      </c>
      <c r="BK111" s="60" t="n">
        <f aca="false">IF('Level 2'!$C$31="Yes",BE111,AK111)</f>
        <v>0</v>
      </c>
      <c r="BL111" s="60" t="n">
        <f aca="false">IF('Level 3'!$C$31="Yes",BF111,AL111)</f>
        <v>0</v>
      </c>
      <c r="BM111" s="60" t="n">
        <f aca="false">IF('Level 4'!$C$31="Yes",BG111,AM111)</f>
        <v>0</v>
      </c>
      <c r="BN111" s="60" t="n">
        <f aca="false">IF('Level 5'!$C$31="Yes",BH111,AN111)</f>
        <v>0</v>
      </c>
      <c r="BO111" s="60" t="n">
        <f aca="false">IF('Level 6'!$C$31="Yes",BI111,AO111)</f>
        <v>0</v>
      </c>
      <c r="BP111" s="60" t="n">
        <f aca="false">IF('Level 7'!$C$31="Yes",BC111,AP111)</f>
        <v>0</v>
      </c>
      <c r="BQ111" s="60" t="n">
        <f aca="false">D111-AP111</f>
        <v>12029</v>
      </c>
      <c r="BR111" s="60" t="n">
        <f aca="false">BQ111^2</f>
        <v>144696841</v>
      </c>
      <c r="BS111" s="60" t="n">
        <f aca="false">(BQ111-BQ110)^2</f>
        <v>342225</v>
      </c>
      <c r="BT111" s="60" t="n">
        <f aca="false">IF(D111&gt;2000,ABS(BQ111)/D111,"")</f>
        <v>1</v>
      </c>
      <c r="BU111" s="60" t="n">
        <v>181</v>
      </c>
      <c r="BV111" s="62" t="n">
        <v>0.5266</v>
      </c>
      <c r="BW111" s="60" t="n">
        <v>1548.1</v>
      </c>
      <c r="BX111" s="60" t="n">
        <f aca="false">AA111</f>
        <v>0</v>
      </c>
      <c r="BY111" s="60" t="n">
        <f aca="false">H111</f>
        <v>398</v>
      </c>
      <c r="BZ111" s="60" t="n">
        <f aca="false">Z111</f>
        <v>0</v>
      </c>
      <c r="CA111" s="60" t="n">
        <f aca="false">AB111+AC111+AD111</f>
        <v>0</v>
      </c>
      <c r="CB111" s="60" t="n">
        <f aca="false">AE111+AF111+AG111+AH111+AI111</f>
        <v>0</v>
      </c>
    </row>
    <row r="112" customFormat="false" ht="15" hidden="false" customHeight="false" outlineLevel="0" collapsed="false">
      <c r="A112" s="58" t="n">
        <v>45676</v>
      </c>
      <c r="B112" s="59" t="n">
        <f aca="false">YEAR(A112)</f>
        <v>2025</v>
      </c>
      <c r="C112" s="59" t="n">
        <f aca="false">MONTH(A112)</f>
        <v>1</v>
      </c>
      <c r="D112" s="60" t="n">
        <v>11971</v>
      </c>
      <c r="E112" s="61" t="n">
        <v>0.631</v>
      </c>
      <c r="F112" s="61" t="n">
        <v>0.0086</v>
      </c>
      <c r="G112" s="61" t="n">
        <v>0.7291</v>
      </c>
      <c r="H112" s="60" t="n">
        <v>427.63</v>
      </c>
      <c r="I112" s="60" t="n">
        <f aca="false">H112+'Level 4'!$C$12/100*I111</f>
        <v>427.63</v>
      </c>
      <c r="J112" s="60" t="n">
        <v>112.31</v>
      </c>
      <c r="K112" s="60" t="n">
        <v>50.78</v>
      </c>
      <c r="L112" s="60" t="n">
        <v>899.66</v>
      </c>
      <c r="M112" s="60" t="n">
        <f aca="false">L112+Answers!$C$14/100*M111</f>
        <v>1244.75139395456</v>
      </c>
      <c r="N112" s="60" t="n">
        <v>71.77</v>
      </c>
      <c r="O112" s="60" t="n">
        <v>52.5</v>
      </c>
      <c r="P112" s="60" t="n">
        <v>70.87</v>
      </c>
      <c r="Q112" s="60" t="n">
        <v>4.74</v>
      </c>
      <c r="R112" s="60" t="n">
        <v>215.78</v>
      </c>
      <c r="S112" s="60" t="n">
        <f aca="false">N112+Answers!$C$16/100*S111</f>
        <v>148.645038461706</v>
      </c>
      <c r="T112" s="60" t="n">
        <f aca="false">O112+Answers!$C$17/100*T111</f>
        <v>148.39006809507</v>
      </c>
      <c r="U112" s="60" t="n">
        <f aca="false">P112+Answers!$C$18/100*U111</f>
        <v>131.960469949728</v>
      </c>
      <c r="V112" s="60" t="n">
        <f aca="false">Q112+Answers!$C$19/100*V111</f>
        <v>11.0972113968292</v>
      </c>
      <c r="W112" s="60" t="n">
        <f aca="false">R112+Answers!$C$20/100*W111</f>
        <v>425.072126806471</v>
      </c>
      <c r="X112" s="60" t="n">
        <f aca="false">IF('Level 1'!$C$11="",0,'Level 1'!$C$11)*E112</f>
        <v>0</v>
      </c>
      <c r="Y112" s="60" t="n">
        <f aca="false">-IF('Level 2'!$C$11="",0,'Level 2'!$C$11)*F112</f>
        <v>-0</v>
      </c>
      <c r="Z112" s="60" t="n">
        <f aca="false">IF('Level 3'!$C$11="",0,'Level 3'!$C$11)*G112</f>
        <v>0</v>
      </c>
      <c r="AA112" s="60" t="n">
        <f aca="false">IF('Level 4'!$C$11="",0,'Level 4'!$C$11)*(1-'Level 4'!$C$12/100)*I112</f>
        <v>0</v>
      </c>
      <c r="AB112" s="60" t="n">
        <f aca="false">IF('Level 5'!$C$11="",0,'Level 5'!$C$11)*J112</f>
        <v>0</v>
      </c>
      <c r="AC112" s="60" t="n">
        <f aca="false">IF('Level 5'!$C$12="",0,'Level 5'!$C$12)*K112</f>
        <v>0</v>
      </c>
      <c r="AD112" s="60" t="n">
        <f aca="false">IF('Level 5'!$C$13="",0,'Level 5'!$C$13)*(1-Answers!$C$14/100)*M112</f>
        <v>0</v>
      </c>
      <c r="AE112" s="60" t="n">
        <f aca="false">IF('Level 6'!$C$11="",0,'Level 6'!$C$11)*(1-Answers!$C$16/100)*S112</f>
        <v>0</v>
      </c>
      <c r="AF112" s="60" t="n">
        <f aca="false">IF('Level 6'!$C$12="",0,'Level 6'!$C$12)*(1-Answers!$C$17/100)*T112</f>
        <v>0</v>
      </c>
      <c r="AG112" s="60" t="n">
        <f aca="false">IF('Level 6'!$C$13="",0,'Level 6'!$C$13)*(1-Answers!$C$18/100)*U112</f>
        <v>0</v>
      </c>
      <c r="AH112" s="60" t="n">
        <f aca="false">IF('Level 6'!$C$14="",0,'Level 6'!$C$14)*(1-Answers!$C$19/100)*V112</f>
        <v>0</v>
      </c>
      <c r="AI112" s="60" t="n">
        <f aca="false">IF('Level 6'!$C$15="",0,'Level 6'!$C$15)*(1-Answers!$C$20/100)*W112</f>
        <v>0</v>
      </c>
      <c r="AJ112" s="60" t="n">
        <f aca="false">X112</f>
        <v>0</v>
      </c>
      <c r="AK112" s="60" t="n">
        <f aca="false">X112+Y112</f>
        <v>0</v>
      </c>
      <c r="AL112" s="60" t="n">
        <f aca="false">AK112+Z112</f>
        <v>0</v>
      </c>
      <c r="AM112" s="60" t="n">
        <f aca="false">AL112+AA112</f>
        <v>0</v>
      </c>
      <c r="AN112" s="60" t="n">
        <f aca="false">AM112+AB112+AC112+AD112</f>
        <v>0</v>
      </c>
      <c r="AO112" s="60" t="n">
        <f aca="false">AL112+AE112+AF112+AG112+AH112+AI112+AB112+AC112+AD112</f>
        <v>0</v>
      </c>
      <c r="AP112" s="60" t="n">
        <f aca="false">IF(Answers!$C$22="Yes",AO112,AN112)</f>
        <v>0</v>
      </c>
      <c r="AQ112" s="60" t="n">
        <v>552.6</v>
      </c>
      <c r="AR112" s="60" t="n">
        <v>-8.2</v>
      </c>
      <c r="AS112" s="60" t="n">
        <v>5539.2</v>
      </c>
      <c r="AT112" s="60" t="n">
        <v>2456.8</v>
      </c>
      <c r="AU112" s="60" t="n">
        <v>449.2</v>
      </c>
      <c r="AV112" s="60" t="n">
        <v>136.3</v>
      </c>
      <c r="AW112" s="60" t="n">
        <v>2279.4</v>
      </c>
      <c r="AX112" s="60" t="n">
        <v>415.8</v>
      </c>
      <c r="AY112" s="60" t="n">
        <v>413.3</v>
      </c>
      <c r="AZ112" s="60" t="n">
        <v>358.9</v>
      </c>
      <c r="BA112" s="60" t="n">
        <v>11.6</v>
      </c>
      <c r="BB112" s="60" t="n">
        <v>1257.2</v>
      </c>
      <c r="BC112" s="60" t="n">
        <f aca="false">AQ112+AR112+AS112+AT112+AU112+AV112+AW112</f>
        <v>11405.3</v>
      </c>
      <c r="BD112" s="60" t="n">
        <f aca="false">AQ112</f>
        <v>552.6</v>
      </c>
      <c r="BE112" s="60" t="n">
        <f aca="false">AQ112+AR112</f>
        <v>544.4</v>
      </c>
      <c r="BF112" s="60" t="n">
        <f aca="false">BE112+AS112</f>
        <v>6083.6</v>
      </c>
      <c r="BG112" s="60" t="n">
        <f aca="false">BF112+AT112</f>
        <v>8540.4</v>
      </c>
      <c r="BH112" s="60" t="n">
        <f aca="false">BG112+AU112+AV112+AW112</f>
        <v>11405.3</v>
      </c>
      <c r="BI112" s="60" t="n">
        <f aca="false">BC112</f>
        <v>11405.3</v>
      </c>
      <c r="BJ112" s="60" t="n">
        <f aca="false">IF('Level 1'!$C$31="Yes",BD112,AJ112)</f>
        <v>0</v>
      </c>
      <c r="BK112" s="60" t="n">
        <f aca="false">IF('Level 2'!$C$31="Yes",BE112,AK112)</f>
        <v>0</v>
      </c>
      <c r="BL112" s="60" t="n">
        <f aca="false">IF('Level 3'!$C$31="Yes",BF112,AL112)</f>
        <v>0</v>
      </c>
      <c r="BM112" s="60" t="n">
        <f aca="false">IF('Level 4'!$C$31="Yes",BG112,AM112)</f>
        <v>0</v>
      </c>
      <c r="BN112" s="60" t="n">
        <f aca="false">IF('Level 5'!$C$31="Yes",BH112,AN112)</f>
        <v>0</v>
      </c>
      <c r="BO112" s="60" t="n">
        <f aca="false">IF('Level 6'!$C$31="Yes",BI112,AO112)</f>
        <v>0</v>
      </c>
      <c r="BP112" s="60" t="n">
        <f aca="false">IF('Level 7'!$C$31="Yes",BC112,AP112)</f>
        <v>0</v>
      </c>
      <c r="BQ112" s="60" t="n">
        <f aca="false">D112-AP112</f>
        <v>11971</v>
      </c>
      <c r="BR112" s="60" t="n">
        <f aca="false">BQ112^2</f>
        <v>143304841</v>
      </c>
      <c r="BS112" s="60" t="n">
        <f aca="false">(BQ112-BQ111)^2</f>
        <v>3364</v>
      </c>
      <c r="BT112" s="60" t="n">
        <f aca="false">IF(D112&gt;2000,ABS(BQ112)/D112,"")</f>
        <v>1</v>
      </c>
      <c r="BU112" s="60" t="n">
        <v>204</v>
      </c>
      <c r="BV112" s="62" t="n">
        <v>0.5266</v>
      </c>
      <c r="BW112" s="60" t="n">
        <v>1563.5</v>
      </c>
      <c r="BX112" s="60" t="n">
        <f aca="false">AA112</f>
        <v>0</v>
      </c>
      <c r="BY112" s="60" t="n">
        <f aca="false">H112</f>
        <v>427.63</v>
      </c>
      <c r="BZ112" s="60" t="n">
        <f aca="false">Z112</f>
        <v>0</v>
      </c>
      <c r="CA112" s="60" t="n">
        <f aca="false">AB112+AC112+AD112</f>
        <v>0</v>
      </c>
      <c r="CB112" s="60" t="n">
        <f aca="false">AE112+AF112+AG112+AH112+AI112</f>
        <v>0</v>
      </c>
    </row>
    <row r="113" customFormat="false" ht="15" hidden="false" customHeight="false" outlineLevel="0" collapsed="false">
      <c r="A113" s="58" t="n">
        <v>45683</v>
      </c>
      <c r="B113" s="59" t="n">
        <f aca="false">YEAR(A113)</f>
        <v>2025</v>
      </c>
      <c r="C113" s="59" t="n">
        <f aca="false">MONTH(A113)</f>
        <v>1</v>
      </c>
      <c r="D113" s="60" t="n">
        <v>14384</v>
      </c>
      <c r="E113" s="61" t="n">
        <v>0.6247</v>
      </c>
      <c r="F113" s="61" t="n">
        <v>0.0386</v>
      </c>
      <c r="G113" s="61" t="n">
        <v>0.7291</v>
      </c>
      <c r="H113" s="60" t="n">
        <v>390.14</v>
      </c>
      <c r="I113" s="60" t="n">
        <f aca="false">H113+'Level 4'!$C$12/100*I112</f>
        <v>390.14</v>
      </c>
      <c r="J113" s="60" t="n">
        <v>90.16</v>
      </c>
      <c r="K113" s="60" t="n">
        <v>450.96</v>
      </c>
      <c r="L113" s="60" t="n">
        <v>339.77</v>
      </c>
      <c r="M113" s="60" t="n">
        <f aca="false">L113+Answers!$C$14/100*M112</f>
        <v>1086.62083637274</v>
      </c>
      <c r="N113" s="60" t="n">
        <v>45.24</v>
      </c>
      <c r="O113" s="60" t="n">
        <v>34.56</v>
      </c>
      <c r="P113" s="60" t="n">
        <v>56.88</v>
      </c>
      <c r="Q113" s="60" t="n">
        <v>4.74</v>
      </c>
      <c r="R113" s="60" t="n">
        <v>234.33</v>
      </c>
      <c r="S113" s="60" t="n">
        <f aca="false">N113+Answers!$C$16/100*S112</f>
        <v>164.156030769364</v>
      </c>
      <c r="T113" s="60" t="n">
        <f aca="false">O113+Answers!$C$17/100*T112</f>
        <v>153.272054476056</v>
      </c>
      <c r="U113" s="60" t="n">
        <f aca="false">P113+Answers!$C$18/100*U112</f>
        <v>162.448375959782</v>
      </c>
      <c r="V113" s="60" t="n">
        <f aca="false">Q113+Answers!$C$19/100*V112</f>
        <v>13.6177691174634</v>
      </c>
      <c r="W113" s="60" t="n">
        <f aca="false">R113+Answers!$C$20/100*W112</f>
        <v>574.387701445177</v>
      </c>
      <c r="X113" s="60" t="n">
        <f aca="false">IF('Level 1'!$C$11="",0,'Level 1'!$C$11)*E113</f>
        <v>0</v>
      </c>
      <c r="Y113" s="60" t="n">
        <f aca="false">-IF('Level 2'!$C$11="",0,'Level 2'!$C$11)*F113</f>
        <v>-0</v>
      </c>
      <c r="Z113" s="60" t="n">
        <f aca="false">IF('Level 3'!$C$11="",0,'Level 3'!$C$11)*G113</f>
        <v>0</v>
      </c>
      <c r="AA113" s="60" t="n">
        <f aca="false">IF('Level 4'!$C$11="",0,'Level 4'!$C$11)*(1-'Level 4'!$C$12/100)*I113</f>
        <v>0</v>
      </c>
      <c r="AB113" s="60" t="n">
        <f aca="false">IF('Level 5'!$C$11="",0,'Level 5'!$C$11)*J113</f>
        <v>0</v>
      </c>
      <c r="AC113" s="60" t="n">
        <f aca="false">IF('Level 5'!$C$12="",0,'Level 5'!$C$12)*K113</f>
        <v>0</v>
      </c>
      <c r="AD113" s="60" t="n">
        <f aca="false">IF('Level 5'!$C$13="",0,'Level 5'!$C$13)*(1-Answers!$C$14/100)*M113</f>
        <v>0</v>
      </c>
      <c r="AE113" s="60" t="n">
        <f aca="false">IF('Level 6'!$C$11="",0,'Level 6'!$C$11)*(1-Answers!$C$16/100)*S113</f>
        <v>0</v>
      </c>
      <c r="AF113" s="60" t="n">
        <f aca="false">IF('Level 6'!$C$12="",0,'Level 6'!$C$12)*(1-Answers!$C$17/100)*T113</f>
        <v>0</v>
      </c>
      <c r="AG113" s="60" t="n">
        <f aca="false">IF('Level 6'!$C$13="",0,'Level 6'!$C$13)*(1-Answers!$C$18/100)*U113</f>
        <v>0</v>
      </c>
      <c r="AH113" s="60" t="n">
        <f aca="false">IF('Level 6'!$C$14="",0,'Level 6'!$C$14)*(1-Answers!$C$19/100)*V113</f>
        <v>0</v>
      </c>
      <c r="AI113" s="60" t="n">
        <f aca="false">IF('Level 6'!$C$15="",0,'Level 6'!$C$15)*(1-Answers!$C$20/100)*W113</f>
        <v>0</v>
      </c>
      <c r="AJ113" s="60" t="n">
        <f aca="false">X113</f>
        <v>0</v>
      </c>
      <c r="AK113" s="60" t="n">
        <f aca="false">X113+Y113</f>
        <v>0</v>
      </c>
      <c r="AL113" s="60" t="n">
        <f aca="false">AK113+Z113</f>
        <v>0</v>
      </c>
      <c r="AM113" s="60" t="n">
        <f aca="false">AL113+AA113</f>
        <v>0</v>
      </c>
      <c r="AN113" s="60" t="n">
        <f aca="false">AM113+AB113+AC113+AD113</f>
        <v>0</v>
      </c>
      <c r="AO113" s="60" t="n">
        <f aca="false">AL113+AE113+AF113+AG113+AH113+AI113+AB113+AC113+AD113</f>
        <v>0</v>
      </c>
      <c r="AP113" s="60" t="n">
        <f aca="false">IF(Answers!$C$22="Yes",AO113,AN113)</f>
        <v>0</v>
      </c>
      <c r="AQ113" s="60" t="n">
        <v>547</v>
      </c>
      <c r="AR113" s="60" t="n">
        <v>-36.8</v>
      </c>
      <c r="AS113" s="60" t="n">
        <v>5539.2</v>
      </c>
      <c r="AT113" s="60" t="n">
        <v>3066.2</v>
      </c>
      <c r="AU113" s="60" t="n">
        <v>352.6</v>
      </c>
      <c r="AV113" s="60" t="n">
        <v>1210.4</v>
      </c>
      <c r="AW113" s="60" t="n">
        <v>2083.8</v>
      </c>
      <c r="AX113" s="60" t="n">
        <v>472.1</v>
      </c>
      <c r="AY113" s="60" t="n">
        <v>441.6</v>
      </c>
      <c r="AZ113" s="60" t="n">
        <v>453.5</v>
      </c>
      <c r="BA113" s="60" t="n">
        <v>13.8</v>
      </c>
      <c r="BB113" s="60" t="n">
        <v>1685.1</v>
      </c>
      <c r="BC113" s="60" t="n">
        <f aca="false">AQ113+AR113+AS113+AT113+AU113+AV113+AW113</f>
        <v>12762.4</v>
      </c>
      <c r="BD113" s="60" t="n">
        <f aca="false">AQ113</f>
        <v>547</v>
      </c>
      <c r="BE113" s="60" t="n">
        <f aca="false">AQ113+AR113</f>
        <v>510.2</v>
      </c>
      <c r="BF113" s="60" t="n">
        <f aca="false">BE113+AS113</f>
        <v>6049.4</v>
      </c>
      <c r="BG113" s="60" t="n">
        <f aca="false">BF113+AT113</f>
        <v>9115.6</v>
      </c>
      <c r="BH113" s="60" t="n">
        <f aca="false">BG113+AU113+AV113+AW113</f>
        <v>12762.4</v>
      </c>
      <c r="BI113" s="60" t="n">
        <f aca="false">BC113</f>
        <v>12762.4</v>
      </c>
      <c r="BJ113" s="60" t="n">
        <f aca="false">IF('Level 1'!$C$31="Yes",BD113,AJ113)</f>
        <v>0</v>
      </c>
      <c r="BK113" s="60" t="n">
        <f aca="false">IF('Level 2'!$C$31="Yes",BE113,AK113)</f>
        <v>0</v>
      </c>
      <c r="BL113" s="60" t="n">
        <f aca="false">IF('Level 3'!$C$31="Yes",BF113,AL113)</f>
        <v>0</v>
      </c>
      <c r="BM113" s="60" t="n">
        <f aca="false">IF('Level 4'!$C$31="Yes",BG113,AM113)</f>
        <v>0</v>
      </c>
      <c r="BN113" s="60" t="n">
        <f aca="false">IF('Level 5'!$C$31="Yes",BH113,AN113)</f>
        <v>0</v>
      </c>
      <c r="BO113" s="60" t="n">
        <f aca="false">IF('Level 6'!$C$31="Yes",BI113,AO113)</f>
        <v>0</v>
      </c>
      <c r="BP113" s="60" t="n">
        <f aca="false">IF('Level 7'!$C$31="Yes",BC113,AP113)</f>
        <v>0</v>
      </c>
      <c r="BQ113" s="60" t="n">
        <f aca="false">D113-AP113</f>
        <v>14384</v>
      </c>
      <c r="BR113" s="60" t="n">
        <f aca="false">BQ113^2</f>
        <v>206899456</v>
      </c>
      <c r="BS113" s="60" t="n">
        <f aca="false">(BQ113-BQ112)^2</f>
        <v>5822569</v>
      </c>
      <c r="BT113" s="60" t="n">
        <f aca="false">IF(D113&gt;2000,ABS(BQ113)/D113,"")</f>
        <v>1</v>
      </c>
      <c r="BU113" s="60" t="n">
        <v>147</v>
      </c>
      <c r="BV113" s="62" t="n">
        <v>0.5206</v>
      </c>
      <c r="BW113" s="60" t="n">
        <v>1319</v>
      </c>
      <c r="BX113" s="60" t="n">
        <f aca="false">AA113</f>
        <v>0</v>
      </c>
      <c r="BY113" s="60" t="n">
        <f aca="false">H113</f>
        <v>390.14</v>
      </c>
      <c r="BZ113" s="60" t="n">
        <f aca="false">Z113</f>
        <v>0</v>
      </c>
      <c r="CA113" s="60" t="n">
        <f aca="false">AB113+AC113+AD113</f>
        <v>0</v>
      </c>
      <c r="CB113" s="60" t="n">
        <f aca="false">AE113+AF113+AG113+AH113+AI113</f>
        <v>0</v>
      </c>
    </row>
    <row r="114" customFormat="false" ht="15" hidden="false" customHeight="false" outlineLevel="0" collapsed="false">
      <c r="A114" s="58" t="n">
        <v>45690</v>
      </c>
      <c r="B114" s="59" t="n">
        <f aca="false">YEAR(A114)</f>
        <v>2025</v>
      </c>
      <c r="C114" s="59" t="n">
        <f aca="false">MONTH(A114)</f>
        <v>2</v>
      </c>
      <c r="D114" s="60" t="n">
        <v>37351</v>
      </c>
      <c r="E114" s="61" t="n">
        <v>1.6094</v>
      </c>
      <c r="F114" s="61" t="n">
        <v>0.1026</v>
      </c>
      <c r="G114" s="61" t="n">
        <v>3.6665</v>
      </c>
      <c r="H114" s="60" t="n">
        <v>283.87</v>
      </c>
      <c r="I114" s="60" t="n">
        <f aca="false">H114+'Level 4'!$C$12/100*I113</f>
        <v>283.87</v>
      </c>
      <c r="J114" s="60" t="n">
        <v>84.07</v>
      </c>
      <c r="K114" s="60" t="n">
        <v>470.07</v>
      </c>
      <c r="L114" s="60" t="n">
        <v>77.65</v>
      </c>
      <c r="M114" s="60" t="n">
        <f aca="false">L114+Answers!$C$14/100*M113</f>
        <v>729.622501823642</v>
      </c>
      <c r="N114" s="60" t="n">
        <v>43.67</v>
      </c>
      <c r="O114" s="60" t="n">
        <v>24.18</v>
      </c>
      <c r="P114" s="60" t="n">
        <v>46.65</v>
      </c>
      <c r="Q114" s="60" t="n">
        <v>4.38</v>
      </c>
      <c r="R114" s="60" t="n">
        <v>127.65</v>
      </c>
      <c r="S114" s="60" t="n">
        <f aca="false">N114+Answers!$C$16/100*S113</f>
        <v>174.994824615492</v>
      </c>
      <c r="T114" s="60" t="n">
        <f aca="false">O114+Answers!$C$17/100*T113</f>
        <v>146.797643580845</v>
      </c>
      <c r="U114" s="60" t="n">
        <f aca="false">P114+Answers!$C$18/100*U113</f>
        <v>176.608700767826</v>
      </c>
      <c r="V114" s="60" t="n">
        <f aca="false">Q114+Answers!$C$19/100*V113</f>
        <v>15.2742152939707</v>
      </c>
      <c r="W114" s="60" t="n">
        <f aca="false">R114+Answers!$C$20/100*W113</f>
        <v>587.160161156141</v>
      </c>
      <c r="X114" s="60" t="n">
        <f aca="false">IF('Level 1'!$C$11="",0,'Level 1'!$C$11)*E114</f>
        <v>0</v>
      </c>
      <c r="Y114" s="60" t="n">
        <f aca="false">-IF('Level 2'!$C$11="",0,'Level 2'!$C$11)*F114</f>
        <v>-0</v>
      </c>
      <c r="Z114" s="60" t="n">
        <f aca="false">IF('Level 3'!$C$11="",0,'Level 3'!$C$11)*G114</f>
        <v>0</v>
      </c>
      <c r="AA114" s="60" t="n">
        <f aca="false">IF('Level 4'!$C$11="",0,'Level 4'!$C$11)*(1-'Level 4'!$C$12/100)*I114</f>
        <v>0</v>
      </c>
      <c r="AB114" s="60" t="n">
        <f aca="false">IF('Level 5'!$C$11="",0,'Level 5'!$C$11)*J114</f>
        <v>0</v>
      </c>
      <c r="AC114" s="60" t="n">
        <f aca="false">IF('Level 5'!$C$12="",0,'Level 5'!$C$12)*K114</f>
        <v>0</v>
      </c>
      <c r="AD114" s="60" t="n">
        <f aca="false">IF('Level 5'!$C$13="",0,'Level 5'!$C$13)*(1-Answers!$C$14/100)*M114</f>
        <v>0</v>
      </c>
      <c r="AE114" s="60" t="n">
        <f aca="false">IF('Level 6'!$C$11="",0,'Level 6'!$C$11)*(1-Answers!$C$16/100)*S114</f>
        <v>0</v>
      </c>
      <c r="AF114" s="60" t="n">
        <f aca="false">IF('Level 6'!$C$12="",0,'Level 6'!$C$12)*(1-Answers!$C$17/100)*T114</f>
        <v>0</v>
      </c>
      <c r="AG114" s="60" t="n">
        <f aca="false">IF('Level 6'!$C$13="",0,'Level 6'!$C$13)*(1-Answers!$C$18/100)*U114</f>
        <v>0</v>
      </c>
      <c r="AH114" s="60" t="n">
        <f aca="false">IF('Level 6'!$C$14="",0,'Level 6'!$C$14)*(1-Answers!$C$19/100)*V114</f>
        <v>0</v>
      </c>
      <c r="AI114" s="60" t="n">
        <f aca="false">IF('Level 6'!$C$15="",0,'Level 6'!$C$15)*(1-Answers!$C$20/100)*W114</f>
        <v>0</v>
      </c>
      <c r="AJ114" s="60" t="n">
        <f aca="false">X114</f>
        <v>0</v>
      </c>
      <c r="AK114" s="60" t="n">
        <f aca="false">X114+Y114</f>
        <v>0</v>
      </c>
      <c r="AL114" s="60" t="n">
        <f aca="false">AK114+Z114</f>
        <v>0</v>
      </c>
      <c r="AM114" s="60" t="n">
        <f aca="false">AL114+AA114</f>
        <v>0</v>
      </c>
      <c r="AN114" s="60" t="n">
        <f aca="false">AM114+AB114+AC114+AD114</f>
        <v>0</v>
      </c>
      <c r="AO114" s="60" t="n">
        <f aca="false">AL114+AE114+AF114+AG114+AH114+AI114+AB114+AC114+AD114</f>
        <v>0</v>
      </c>
      <c r="AP114" s="60" t="n">
        <f aca="false">IF(Answers!$C$22="Yes",AO114,AN114)</f>
        <v>0</v>
      </c>
      <c r="AQ114" s="60" t="n">
        <v>1409.2</v>
      </c>
      <c r="AR114" s="60" t="n">
        <v>-97.7</v>
      </c>
      <c r="AS114" s="60" t="n">
        <v>27856.1</v>
      </c>
      <c r="AT114" s="60" t="n">
        <v>3248.2</v>
      </c>
      <c r="AU114" s="60" t="n">
        <v>346</v>
      </c>
      <c r="AV114" s="60" t="n">
        <v>1261.7</v>
      </c>
      <c r="AW114" s="60" t="n">
        <v>1354.5</v>
      </c>
      <c r="AX114" s="60" t="n">
        <v>515.7</v>
      </c>
      <c r="AY114" s="60" t="n">
        <v>438.6</v>
      </c>
      <c r="AZ114" s="60" t="n">
        <v>507.3</v>
      </c>
      <c r="BA114" s="60" t="n">
        <v>15.4</v>
      </c>
      <c r="BB114" s="60" t="n">
        <v>1771.2</v>
      </c>
      <c r="BC114" s="60" t="n">
        <f aca="false">AQ114+AR114+AS114+AT114+AU114+AV114+AW114</f>
        <v>35378</v>
      </c>
      <c r="BD114" s="60" t="n">
        <f aca="false">AQ114</f>
        <v>1409.2</v>
      </c>
      <c r="BE114" s="60" t="n">
        <f aca="false">AQ114+AR114</f>
        <v>1311.5</v>
      </c>
      <c r="BF114" s="60" t="n">
        <f aca="false">BE114+AS114</f>
        <v>29167.6</v>
      </c>
      <c r="BG114" s="60" t="n">
        <f aca="false">BF114+AT114</f>
        <v>32415.8</v>
      </c>
      <c r="BH114" s="60" t="n">
        <f aca="false">BG114+AU114+AV114+AW114</f>
        <v>35378</v>
      </c>
      <c r="BI114" s="60" t="n">
        <f aca="false">BC114</f>
        <v>35378</v>
      </c>
      <c r="BJ114" s="60" t="n">
        <f aca="false">IF('Level 1'!$C$31="Yes",BD114,AJ114)</f>
        <v>0</v>
      </c>
      <c r="BK114" s="60" t="n">
        <f aca="false">IF('Level 2'!$C$31="Yes",BE114,AK114)</f>
        <v>0</v>
      </c>
      <c r="BL114" s="60" t="n">
        <f aca="false">IF('Level 3'!$C$31="Yes",BF114,AL114)</f>
        <v>0</v>
      </c>
      <c r="BM114" s="60" t="n">
        <f aca="false">IF('Level 4'!$C$31="Yes",BG114,AM114)</f>
        <v>0</v>
      </c>
      <c r="BN114" s="60" t="n">
        <f aca="false">IF('Level 5'!$C$31="Yes",BH114,AN114)</f>
        <v>0</v>
      </c>
      <c r="BO114" s="60" t="n">
        <f aca="false">IF('Level 6'!$C$31="Yes",BI114,AO114)</f>
        <v>0</v>
      </c>
      <c r="BP114" s="60" t="n">
        <f aca="false">IF('Level 7'!$C$31="Yes",BC114,AP114)</f>
        <v>0</v>
      </c>
      <c r="BQ114" s="60" t="n">
        <f aca="false">D114-AP114</f>
        <v>37351</v>
      </c>
      <c r="BR114" s="60" t="n">
        <f aca="false">BQ114^2</f>
        <v>1395097201</v>
      </c>
      <c r="BS114" s="60" t="n">
        <f aca="false">(BQ114-BQ113)^2</f>
        <v>527483089</v>
      </c>
      <c r="BT114" s="60" t="n">
        <f aca="false">IF(D114&gt;2000,ABS(BQ114)/D114,"")</f>
        <v>1</v>
      </c>
      <c r="BU114" s="60" t="n">
        <v>129</v>
      </c>
      <c r="BV114" s="62" t="n">
        <v>0.5056</v>
      </c>
      <c r="BW114" s="60" t="n">
        <v>962.7</v>
      </c>
      <c r="BX114" s="60" t="n">
        <f aca="false">AA114</f>
        <v>0</v>
      </c>
      <c r="BY114" s="60" t="n">
        <f aca="false">H114</f>
        <v>283.87</v>
      </c>
      <c r="BZ114" s="60" t="n">
        <f aca="false">Z114</f>
        <v>0</v>
      </c>
      <c r="CA114" s="60" t="n">
        <f aca="false">AB114+AC114+AD114</f>
        <v>0</v>
      </c>
      <c r="CB114" s="60" t="n">
        <f aca="false">AE114+AF114+AG114+AH114+AI114</f>
        <v>0</v>
      </c>
    </row>
    <row r="115" customFormat="false" ht="15" hidden="false" customHeight="false" outlineLevel="0" collapsed="false">
      <c r="A115" s="58" t="n">
        <v>45697</v>
      </c>
      <c r="B115" s="59" t="n">
        <f aca="false">YEAR(A115)</f>
        <v>2025</v>
      </c>
      <c r="C115" s="59" t="n">
        <f aca="false">MONTH(A115)</f>
        <v>2</v>
      </c>
      <c r="D115" s="60" t="n">
        <v>3292</v>
      </c>
      <c r="E115" s="61" t="n">
        <v>0.7426</v>
      </c>
      <c r="F115" s="61" t="n">
        <v>1.1819</v>
      </c>
      <c r="G115" s="61" t="n">
        <v>-0.1072</v>
      </c>
      <c r="H115" s="60" t="n">
        <v>115.08</v>
      </c>
      <c r="I115" s="60" t="n">
        <f aca="false">H115+'Level 4'!$C$12/100*I114</f>
        <v>115.08</v>
      </c>
      <c r="J115" s="60" t="n">
        <v>103.24</v>
      </c>
      <c r="K115" s="60" t="n">
        <v>467.22</v>
      </c>
      <c r="L115" s="60" t="n">
        <v>8.17</v>
      </c>
      <c r="M115" s="60" t="n">
        <f aca="false">L115+Answers!$C$14/100*M114</f>
        <v>445.943501094185</v>
      </c>
      <c r="N115" s="60" t="n">
        <v>47.71</v>
      </c>
      <c r="O115" s="60" t="n">
        <v>23.85</v>
      </c>
      <c r="P115" s="60" t="n">
        <v>0</v>
      </c>
      <c r="Q115" s="60" t="n">
        <v>3.5</v>
      </c>
      <c r="R115" s="60" t="n">
        <v>36.73</v>
      </c>
      <c r="S115" s="60" t="n">
        <f aca="false">N115+Answers!$C$16/100*S114</f>
        <v>187.705859692393</v>
      </c>
      <c r="T115" s="60" t="n">
        <f aca="false">O115+Answers!$C$17/100*T114</f>
        <v>141.288114864676</v>
      </c>
      <c r="U115" s="60" t="n">
        <f aca="false">P115+Answers!$C$18/100*U114</f>
        <v>141.286960614261</v>
      </c>
      <c r="V115" s="60" t="n">
        <f aca="false">Q115+Answers!$C$19/100*V114</f>
        <v>15.7193722351766</v>
      </c>
      <c r="W115" s="60" t="n">
        <f aca="false">R115+Answers!$C$20/100*W114</f>
        <v>506.458128924913</v>
      </c>
      <c r="X115" s="60" t="n">
        <f aca="false">IF('Level 1'!$C$11="",0,'Level 1'!$C$11)*E115</f>
        <v>0</v>
      </c>
      <c r="Y115" s="60" t="n">
        <f aca="false">-IF('Level 2'!$C$11="",0,'Level 2'!$C$11)*F115</f>
        <v>-0</v>
      </c>
      <c r="Z115" s="60" t="n">
        <f aca="false">IF('Level 3'!$C$11="",0,'Level 3'!$C$11)*G115</f>
        <v>-0</v>
      </c>
      <c r="AA115" s="60" t="n">
        <f aca="false">IF('Level 4'!$C$11="",0,'Level 4'!$C$11)*(1-'Level 4'!$C$12/100)*I115</f>
        <v>0</v>
      </c>
      <c r="AB115" s="60" t="n">
        <f aca="false">IF('Level 5'!$C$11="",0,'Level 5'!$C$11)*J115</f>
        <v>0</v>
      </c>
      <c r="AC115" s="60" t="n">
        <f aca="false">IF('Level 5'!$C$12="",0,'Level 5'!$C$12)*K115</f>
        <v>0</v>
      </c>
      <c r="AD115" s="60" t="n">
        <f aca="false">IF('Level 5'!$C$13="",0,'Level 5'!$C$13)*(1-Answers!$C$14/100)*M115</f>
        <v>0</v>
      </c>
      <c r="AE115" s="60" t="n">
        <f aca="false">IF('Level 6'!$C$11="",0,'Level 6'!$C$11)*(1-Answers!$C$16/100)*S115</f>
        <v>0</v>
      </c>
      <c r="AF115" s="60" t="n">
        <f aca="false">IF('Level 6'!$C$12="",0,'Level 6'!$C$12)*(1-Answers!$C$17/100)*T115</f>
        <v>0</v>
      </c>
      <c r="AG115" s="60" t="n">
        <f aca="false">IF('Level 6'!$C$13="",0,'Level 6'!$C$13)*(1-Answers!$C$18/100)*U115</f>
        <v>0</v>
      </c>
      <c r="AH115" s="60" t="n">
        <f aca="false">IF('Level 6'!$C$14="",0,'Level 6'!$C$14)*(1-Answers!$C$19/100)*V115</f>
        <v>0</v>
      </c>
      <c r="AI115" s="60" t="n">
        <f aca="false">IF('Level 6'!$C$15="",0,'Level 6'!$C$15)*(1-Answers!$C$20/100)*W115</f>
        <v>0</v>
      </c>
      <c r="AJ115" s="60" t="n">
        <f aca="false">X115</f>
        <v>0</v>
      </c>
      <c r="AK115" s="60" t="n">
        <f aca="false">X115+Y115</f>
        <v>0</v>
      </c>
      <c r="AL115" s="60" t="n">
        <f aca="false">AK115+Z115</f>
        <v>0</v>
      </c>
      <c r="AM115" s="60" t="n">
        <f aca="false">AL115+AA115</f>
        <v>0</v>
      </c>
      <c r="AN115" s="60" t="n">
        <f aca="false">AM115+AB115+AC115+AD115</f>
        <v>0</v>
      </c>
      <c r="AO115" s="60" t="n">
        <f aca="false">AL115+AE115+AF115+AG115+AH115+AI115+AB115+AC115+AD115</f>
        <v>0</v>
      </c>
      <c r="AP115" s="60" t="n">
        <f aca="false">IF(Answers!$C$22="Yes",AO115,AN115)</f>
        <v>0</v>
      </c>
      <c r="AQ115" s="60" t="n">
        <v>650.2</v>
      </c>
      <c r="AR115" s="60" t="n">
        <v>-1125.6</v>
      </c>
      <c r="AS115" s="60" t="n">
        <v>-814.8</v>
      </c>
      <c r="AT115" s="60" t="n">
        <v>3053.8</v>
      </c>
      <c r="AU115" s="60" t="n">
        <v>420.8</v>
      </c>
      <c r="AV115" s="60" t="n">
        <v>1254</v>
      </c>
      <c r="AW115" s="60" t="n">
        <v>880.4</v>
      </c>
      <c r="AX115" s="60" t="n">
        <v>563.4</v>
      </c>
      <c r="AY115" s="60" t="n">
        <v>435.1</v>
      </c>
      <c r="AZ115" s="60" t="n">
        <v>431.2</v>
      </c>
      <c r="BA115" s="60" t="n">
        <v>16.1</v>
      </c>
      <c r="BB115" s="60" t="n">
        <v>1608</v>
      </c>
      <c r="BC115" s="60" t="n">
        <f aca="false">AQ115+AR115+AS115+AT115+AU115+AV115+AW115</f>
        <v>4318.8</v>
      </c>
      <c r="BD115" s="60" t="n">
        <f aca="false">AQ115</f>
        <v>650.2</v>
      </c>
      <c r="BE115" s="60" t="n">
        <f aca="false">AQ115+AR115</f>
        <v>-475.4</v>
      </c>
      <c r="BF115" s="60" t="n">
        <f aca="false">BE115+AS115</f>
        <v>-1290.2</v>
      </c>
      <c r="BG115" s="60" t="n">
        <f aca="false">BF115+AT115</f>
        <v>1763.6</v>
      </c>
      <c r="BH115" s="60" t="n">
        <f aca="false">BG115+AU115+AV115+AW115</f>
        <v>4318.8</v>
      </c>
      <c r="BI115" s="60" t="n">
        <f aca="false">BC115</f>
        <v>4318.8</v>
      </c>
      <c r="BJ115" s="60" t="n">
        <f aca="false">IF('Level 1'!$C$31="Yes",BD115,AJ115)</f>
        <v>0</v>
      </c>
      <c r="BK115" s="60" t="n">
        <f aca="false">IF('Level 2'!$C$31="Yes",BE115,AK115)</f>
        <v>0</v>
      </c>
      <c r="BL115" s="60" t="n">
        <f aca="false">IF('Level 3'!$C$31="Yes",BF115,AL115)</f>
        <v>0</v>
      </c>
      <c r="BM115" s="60" t="n">
        <f aca="false">IF('Level 4'!$C$31="Yes",BG115,AM115)</f>
        <v>0</v>
      </c>
      <c r="BN115" s="60" t="n">
        <f aca="false">IF('Level 5'!$C$31="Yes",BH115,AN115)</f>
        <v>0</v>
      </c>
      <c r="BO115" s="60" t="n">
        <f aca="false">IF('Level 6'!$C$31="Yes",BI115,AO115)</f>
        <v>0</v>
      </c>
      <c r="BP115" s="60" t="n">
        <f aca="false">IF('Level 7'!$C$31="Yes",BC115,AP115)</f>
        <v>0</v>
      </c>
      <c r="BQ115" s="60" t="n">
        <f aca="false">D115-AP115</f>
        <v>3292</v>
      </c>
      <c r="BR115" s="60" t="n">
        <f aca="false">BQ115^2</f>
        <v>10837264</v>
      </c>
      <c r="BS115" s="60" t="n">
        <f aca="false">(BQ115-BQ114)^2</f>
        <v>1160015481</v>
      </c>
      <c r="BT115" s="60" t="n">
        <f aca="false">IF(D115&gt;2000,ABS(BQ115)/D115,"")</f>
        <v>1</v>
      </c>
      <c r="BU115" s="60" t="n">
        <v>208</v>
      </c>
      <c r="BV115" s="62" t="n">
        <v>0.5056</v>
      </c>
      <c r="BW115" s="60" t="n">
        <v>824.1</v>
      </c>
      <c r="BX115" s="60" t="n">
        <f aca="false">AA115</f>
        <v>0</v>
      </c>
      <c r="BY115" s="60" t="n">
        <f aca="false">H115</f>
        <v>115.08</v>
      </c>
      <c r="BZ115" s="60" t="n">
        <f aca="false">Z115</f>
        <v>-0</v>
      </c>
      <c r="CA115" s="60" t="n">
        <f aca="false">AB115+AC115+AD115</f>
        <v>0</v>
      </c>
      <c r="CB115" s="60" t="n">
        <f aca="false">AE115+AF115+AG115+AH115+AI115</f>
        <v>0</v>
      </c>
    </row>
    <row r="116" customFormat="false" ht="15" hidden="false" customHeight="false" outlineLevel="0" collapsed="false">
      <c r="A116" s="58" t="n">
        <v>45704</v>
      </c>
      <c r="B116" s="59" t="n">
        <f aca="false">YEAR(A116)</f>
        <v>2025</v>
      </c>
      <c r="C116" s="59" t="n">
        <f aca="false">MONTH(A116)</f>
        <v>2</v>
      </c>
      <c r="D116" s="60" t="n">
        <v>2354</v>
      </c>
      <c r="E116" s="61" t="n">
        <v>1.3513</v>
      </c>
      <c r="F116" s="61" t="n">
        <v>1.4427</v>
      </c>
      <c r="G116" s="61" t="n">
        <v>-0.1072</v>
      </c>
      <c r="H116" s="60" t="n">
        <v>127.37</v>
      </c>
      <c r="I116" s="60" t="n">
        <f aca="false">H116+'Level 4'!$C$12/100*I115</f>
        <v>127.37</v>
      </c>
      <c r="J116" s="60" t="n">
        <v>366.88</v>
      </c>
      <c r="K116" s="60" t="n">
        <v>164.63</v>
      </c>
      <c r="L116" s="60" t="n">
        <v>7.88</v>
      </c>
      <c r="M116" s="60" t="n">
        <f aca="false">L116+Answers!$C$14/100*M115</f>
        <v>275.446100656511</v>
      </c>
      <c r="N116" s="60" t="n">
        <v>58.96</v>
      </c>
      <c r="O116" s="60" t="n">
        <v>26.81</v>
      </c>
      <c r="P116" s="60" t="n">
        <v>0</v>
      </c>
      <c r="Q116" s="60" t="n">
        <v>3.5</v>
      </c>
      <c r="R116" s="60" t="n">
        <v>35.76</v>
      </c>
      <c r="S116" s="60" t="n">
        <f aca="false">N116+Answers!$C$16/100*S115</f>
        <v>209.124687753915</v>
      </c>
      <c r="T116" s="60" t="n">
        <f aca="false">O116+Answers!$C$17/100*T115</f>
        <v>139.840491891741</v>
      </c>
      <c r="U116" s="60" t="n">
        <f aca="false">P116+Answers!$C$18/100*U115</f>
        <v>113.029568491408</v>
      </c>
      <c r="V116" s="60" t="n">
        <f aca="false">Q116+Answers!$C$19/100*V115</f>
        <v>16.0754977881413</v>
      </c>
      <c r="W116" s="60" t="n">
        <f aca="false">R116+Answers!$C$20/100*W115</f>
        <v>440.926503139931</v>
      </c>
      <c r="X116" s="60" t="n">
        <f aca="false">IF('Level 1'!$C$11="",0,'Level 1'!$C$11)*E116</f>
        <v>0</v>
      </c>
      <c r="Y116" s="60" t="n">
        <f aca="false">-IF('Level 2'!$C$11="",0,'Level 2'!$C$11)*F116</f>
        <v>-0</v>
      </c>
      <c r="Z116" s="60" t="n">
        <f aca="false">IF('Level 3'!$C$11="",0,'Level 3'!$C$11)*G116</f>
        <v>-0</v>
      </c>
      <c r="AA116" s="60" t="n">
        <f aca="false">IF('Level 4'!$C$11="",0,'Level 4'!$C$11)*(1-'Level 4'!$C$12/100)*I116</f>
        <v>0</v>
      </c>
      <c r="AB116" s="60" t="n">
        <f aca="false">IF('Level 5'!$C$11="",0,'Level 5'!$C$11)*J116</f>
        <v>0</v>
      </c>
      <c r="AC116" s="60" t="n">
        <f aca="false">IF('Level 5'!$C$12="",0,'Level 5'!$C$12)*K116</f>
        <v>0</v>
      </c>
      <c r="AD116" s="60" t="n">
        <f aca="false">IF('Level 5'!$C$13="",0,'Level 5'!$C$13)*(1-Answers!$C$14/100)*M116</f>
        <v>0</v>
      </c>
      <c r="AE116" s="60" t="n">
        <f aca="false">IF('Level 6'!$C$11="",0,'Level 6'!$C$11)*(1-Answers!$C$16/100)*S116</f>
        <v>0</v>
      </c>
      <c r="AF116" s="60" t="n">
        <f aca="false">IF('Level 6'!$C$12="",0,'Level 6'!$C$12)*(1-Answers!$C$17/100)*T116</f>
        <v>0</v>
      </c>
      <c r="AG116" s="60" t="n">
        <f aca="false">IF('Level 6'!$C$13="",0,'Level 6'!$C$13)*(1-Answers!$C$18/100)*U116</f>
        <v>0</v>
      </c>
      <c r="AH116" s="60" t="n">
        <f aca="false">IF('Level 6'!$C$14="",0,'Level 6'!$C$14)*(1-Answers!$C$19/100)*V116</f>
        <v>0</v>
      </c>
      <c r="AI116" s="60" t="n">
        <f aca="false">IF('Level 6'!$C$15="",0,'Level 6'!$C$15)*(1-Answers!$C$20/100)*W116</f>
        <v>0</v>
      </c>
      <c r="AJ116" s="60" t="n">
        <f aca="false">X116</f>
        <v>0</v>
      </c>
      <c r="AK116" s="60" t="n">
        <f aca="false">X116+Y116</f>
        <v>0</v>
      </c>
      <c r="AL116" s="60" t="n">
        <f aca="false">AK116+Z116</f>
        <v>0</v>
      </c>
      <c r="AM116" s="60" t="n">
        <f aca="false">AL116+AA116</f>
        <v>0</v>
      </c>
      <c r="AN116" s="60" t="n">
        <f aca="false">AM116+AB116+AC116+AD116</f>
        <v>0</v>
      </c>
      <c r="AO116" s="60" t="n">
        <f aca="false">AL116+AE116+AF116+AG116+AH116+AI116+AB116+AC116+AD116</f>
        <v>0</v>
      </c>
      <c r="AP116" s="60" t="n">
        <f aca="false">IF(Answers!$C$22="Yes",AO116,AN116)</f>
        <v>0</v>
      </c>
      <c r="AQ116" s="60" t="n">
        <v>1183.3</v>
      </c>
      <c r="AR116" s="60" t="n">
        <v>-1374.1</v>
      </c>
      <c r="AS116" s="60" t="n">
        <v>-814.8</v>
      </c>
      <c r="AT116" s="60" t="n">
        <v>2930.8</v>
      </c>
      <c r="AU116" s="60" t="n">
        <v>1443.9</v>
      </c>
      <c r="AV116" s="60" t="n">
        <v>441.9</v>
      </c>
      <c r="AW116" s="60" t="n">
        <v>572.3</v>
      </c>
      <c r="AX116" s="60" t="n">
        <v>633.5</v>
      </c>
      <c r="AY116" s="60" t="n">
        <v>439.9</v>
      </c>
      <c r="AZ116" s="60" t="n">
        <v>366.5</v>
      </c>
      <c r="BA116" s="60" t="n">
        <v>16.6</v>
      </c>
      <c r="BB116" s="60" t="n">
        <v>1474.3</v>
      </c>
      <c r="BC116" s="60" t="n">
        <f aca="false">AQ116+AR116+AS116+AT116+AU116+AV116+AW116</f>
        <v>4383.3</v>
      </c>
      <c r="BD116" s="60" t="n">
        <f aca="false">AQ116</f>
        <v>1183.3</v>
      </c>
      <c r="BE116" s="60" t="n">
        <f aca="false">AQ116+AR116</f>
        <v>-190.8</v>
      </c>
      <c r="BF116" s="60" t="n">
        <f aca="false">BE116+AS116</f>
        <v>-1005.6</v>
      </c>
      <c r="BG116" s="60" t="n">
        <f aca="false">BF116+AT116</f>
        <v>1925.2</v>
      </c>
      <c r="BH116" s="60" t="n">
        <f aca="false">BG116+AU116+AV116+AW116</f>
        <v>4383.3</v>
      </c>
      <c r="BI116" s="60" t="n">
        <f aca="false">BC116</f>
        <v>4383.3</v>
      </c>
      <c r="BJ116" s="60" t="n">
        <f aca="false">IF('Level 1'!$C$31="Yes",BD116,AJ116)</f>
        <v>0</v>
      </c>
      <c r="BK116" s="60" t="n">
        <f aca="false">IF('Level 2'!$C$31="Yes",BE116,AK116)</f>
        <v>0</v>
      </c>
      <c r="BL116" s="60" t="n">
        <f aca="false">IF('Level 3'!$C$31="Yes",BF116,AL116)</f>
        <v>0</v>
      </c>
      <c r="BM116" s="60" t="n">
        <f aca="false">IF('Level 4'!$C$31="Yes",BG116,AM116)</f>
        <v>0</v>
      </c>
      <c r="BN116" s="60" t="n">
        <f aca="false">IF('Level 5'!$C$31="Yes",BH116,AN116)</f>
        <v>0</v>
      </c>
      <c r="BO116" s="60" t="n">
        <f aca="false">IF('Level 6'!$C$31="Yes",BI116,AO116)</f>
        <v>0</v>
      </c>
      <c r="BP116" s="60" t="n">
        <f aca="false">IF('Level 7'!$C$31="Yes",BC116,AP116)</f>
        <v>0</v>
      </c>
      <c r="BQ116" s="60" t="n">
        <f aca="false">D116-AP116</f>
        <v>2354</v>
      </c>
      <c r="BR116" s="60" t="n">
        <f aca="false">BQ116^2</f>
        <v>5541316</v>
      </c>
      <c r="BS116" s="60" t="n">
        <f aca="false">(BQ116-BQ115)^2</f>
        <v>879844</v>
      </c>
      <c r="BT116" s="60" t="n">
        <f aca="false">IF(D116&gt;2000,ABS(BQ116)/D116,"")</f>
        <v>1</v>
      </c>
      <c r="BU116" s="60" t="n">
        <v>183</v>
      </c>
      <c r="BV116" s="62" t="n">
        <v>0.5056</v>
      </c>
      <c r="BW116" s="60" t="n">
        <v>888</v>
      </c>
      <c r="BX116" s="60" t="n">
        <f aca="false">AA116</f>
        <v>0</v>
      </c>
      <c r="BY116" s="60" t="n">
        <f aca="false">H116</f>
        <v>127.37</v>
      </c>
      <c r="BZ116" s="60" t="n">
        <f aca="false">Z116</f>
        <v>-0</v>
      </c>
      <c r="CA116" s="60" t="n">
        <f aca="false">AB116+AC116+AD116</f>
        <v>0</v>
      </c>
      <c r="CB116" s="60" t="n">
        <f aca="false">AE116+AF116+AG116+AH116+AI116</f>
        <v>0</v>
      </c>
    </row>
    <row r="117" customFormat="false" ht="15" hidden="false" customHeight="false" outlineLevel="0" collapsed="false">
      <c r="A117" s="58" t="n">
        <v>45711</v>
      </c>
      <c r="B117" s="59" t="n">
        <f aca="false">YEAR(A117)</f>
        <v>2025</v>
      </c>
      <c r="C117" s="59" t="n">
        <f aca="false">MONTH(A117)</f>
        <v>2</v>
      </c>
      <c r="D117" s="60" t="n">
        <v>2331</v>
      </c>
      <c r="E117" s="61" t="n">
        <v>0.6779</v>
      </c>
      <c r="F117" s="61" t="n">
        <v>1.1849</v>
      </c>
      <c r="G117" s="61" t="n">
        <v>-0.1072</v>
      </c>
      <c r="H117" s="60" t="n">
        <v>124.99</v>
      </c>
      <c r="I117" s="60" t="n">
        <f aca="false">H117+'Level 4'!$C$12/100*I116</f>
        <v>124.99</v>
      </c>
      <c r="J117" s="60" t="n">
        <v>166.98</v>
      </c>
      <c r="K117" s="60" t="n">
        <v>133.72</v>
      </c>
      <c r="L117" s="60" t="n">
        <v>7.4</v>
      </c>
      <c r="M117" s="60" t="n">
        <f aca="false">L117+Answers!$C$14/100*M116</f>
        <v>172.667660393907</v>
      </c>
      <c r="N117" s="60" t="n">
        <v>57.2</v>
      </c>
      <c r="O117" s="60" t="n">
        <v>22.78</v>
      </c>
      <c r="P117" s="60" t="n">
        <v>0</v>
      </c>
      <c r="Q117" s="60" t="n">
        <v>3.5</v>
      </c>
      <c r="R117" s="60" t="n">
        <v>39.18</v>
      </c>
      <c r="S117" s="60" t="n">
        <f aca="false">N117+Answers!$C$16/100*S116</f>
        <v>224.499750203132</v>
      </c>
      <c r="T117" s="60" t="n">
        <f aca="false">O117+Answers!$C$17/100*T116</f>
        <v>134.652393513393</v>
      </c>
      <c r="U117" s="60" t="n">
        <f aca="false">P117+Answers!$C$18/100*U116</f>
        <v>90.4236547931268</v>
      </c>
      <c r="V117" s="60" t="n">
        <f aca="false">Q117+Answers!$C$19/100*V116</f>
        <v>16.360398230513</v>
      </c>
      <c r="W117" s="60" t="n">
        <f aca="false">R117+Answers!$C$20/100*W116</f>
        <v>391.921202511944</v>
      </c>
      <c r="X117" s="60" t="n">
        <f aca="false">IF('Level 1'!$C$11="",0,'Level 1'!$C$11)*E117</f>
        <v>0</v>
      </c>
      <c r="Y117" s="60" t="n">
        <f aca="false">-IF('Level 2'!$C$11="",0,'Level 2'!$C$11)*F117</f>
        <v>-0</v>
      </c>
      <c r="Z117" s="60" t="n">
        <f aca="false">IF('Level 3'!$C$11="",0,'Level 3'!$C$11)*G117</f>
        <v>-0</v>
      </c>
      <c r="AA117" s="60" t="n">
        <f aca="false">IF('Level 4'!$C$11="",0,'Level 4'!$C$11)*(1-'Level 4'!$C$12/100)*I117</f>
        <v>0</v>
      </c>
      <c r="AB117" s="60" t="n">
        <f aca="false">IF('Level 5'!$C$11="",0,'Level 5'!$C$11)*J117</f>
        <v>0</v>
      </c>
      <c r="AC117" s="60" t="n">
        <f aca="false">IF('Level 5'!$C$12="",0,'Level 5'!$C$12)*K117</f>
        <v>0</v>
      </c>
      <c r="AD117" s="60" t="n">
        <f aca="false">IF('Level 5'!$C$13="",0,'Level 5'!$C$13)*(1-Answers!$C$14/100)*M117</f>
        <v>0</v>
      </c>
      <c r="AE117" s="60" t="n">
        <f aca="false">IF('Level 6'!$C$11="",0,'Level 6'!$C$11)*(1-Answers!$C$16/100)*S117</f>
        <v>0</v>
      </c>
      <c r="AF117" s="60" t="n">
        <f aca="false">IF('Level 6'!$C$12="",0,'Level 6'!$C$12)*(1-Answers!$C$17/100)*T117</f>
        <v>0</v>
      </c>
      <c r="AG117" s="60" t="n">
        <f aca="false">IF('Level 6'!$C$13="",0,'Level 6'!$C$13)*(1-Answers!$C$18/100)*U117</f>
        <v>0</v>
      </c>
      <c r="AH117" s="60" t="n">
        <f aca="false">IF('Level 6'!$C$14="",0,'Level 6'!$C$14)*(1-Answers!$C$19/100)*V117</f>
        <v>0</v>
      </c>
      <c r="AI117" s="60" t="n">
        <f aca="false">IF('Level 6'!$C$15="",0,'Level 6'!$C$15)*(1-Answers!$C$20/100)*W117</f>
        <v>0</v>
      </c>
      <c r="AJ117" s="60" t="n">
        <f aca="false">X117</f>
        <v>0</v>
      </c>
      <c r="AK117" s="60" t="n">
        <f aca="false">X117+Y117</f>
        <v>0</v>
      </c>
      <c r="AL117" s="60" t="n">
        <f aca="false">AK117+Z117</f>
        <v>0</v>
      </c>
      <c r="AM117" s="60" t="n">
        <f aca="false">AL117+AA117</f>
        <v>0</v>
      </c>
      <c r="AN117" s="60" t="n">
        <f aca="false">AM117+AB117+AC117+AD117</f>
        <v>0</v>
      </c>
      <c r="AO117" s="60" t="n">
        <f aca="false">AL117+AE117+AF117+AG117+AH117+AI117+AB117+AC117+AD117</f>
        <v>0</v>
      </c>
      <c r="AP117" s="60" t="n">
        <f aca="false">IF(Answers!$C$22="Yes",AO117,AN117)</f>
        <v>0</v>
      </c>
      <c r="AQ117" s="60" t="n">
        <v>593.6</v>
      </c>
      <c r="AR117" s="60" t="n">
        <v>-1128.5</v>
      </c>
      <c r="AS117" s="60" t="n">
        <v>-814.8</v>
      </c>
      <c r="AT117" s="60" t="n">
        <v>2827.5</v>
      </c>
      <c r="AU117" s="60" t="n">
        <v>663.9</v>
      </c>
      <c r="AV117" s="60" t="n">
        <v>358.9</v>
      </c>
      <c r="AW117" s="60" t="n">
        <v>372</v>
      </c>
      <c r="AX117" s="60" t="n">
        <v>688.4</v>
      </c>
      <c r="AY117" s="60" t="n">
        <v>433.4</v>
      </c>
      <c r="AZ117" s="60" t="n">
        <v>311.5</v>
      </c>
      <c r="BA117" s="60" t="n">
        <v>17</v>
      </c>
      <c r="BB117" s="60" t="n">
        <v>1377.1</v>
      </c>
      <c r="BC117" s="60" t="n">
        <f aca="false">AQ117+AR117+AS117+AT117+AU117+AV117+AW117</f>
        <v>2872.6</v>
      </c>
      <c r="BD117" s="60" t="n">
        <f aca="false">AQ117</f>
        <v>593.6</v>
      </c>
      <c r="BE117" s="60" t="n">
        <f aca="false">AQ117+AR117</f>
        <v>-534.9</v>
      </c>
      <c r="BF117" s="60" t="n">
        <f aca="false">BE117+AS117</f>
        <v>-1349.7</v>
      </c>
      <c r="BG117" s="60" t="n">
        <f aca="false">BF117+AT117</f>
        <v>1477.8</v>
      </c>
      <c r="BH117" s="60" t="n">
        <f aca="false">BG117+AU117+AV117+AW117</f>
        <v>2872.6</v>
      </c>
      <c r="BI117" s="60" t="n">
        <f aca="false">BC117</f>
        <v>2872.6</v>
      </c>
      <c r="BJ117" s="60" t="n">
        <f aca="false">IF('Level 1'!$C$31="Yes",BD117,AJ117)</f>
        <v>0</v>
      </c>
      <c r="BK117" s="60" t="n">
        <f aca="false">IF('Level 2'!$C$31="Yes",BE117,AK117)</f>
        <v>0</v>
      </c>
      <c r="BL117" s="60" t="n">
        <f aca="false">IF('Level 3'!$C$31="Yes",BF117,AL117)</f>
        <v>0</v>
      </c>
      <c r="BM117" s="60" t="n">
        <f aca="false">IF('Level 4'!$C$31="Yes",BG117,AM117)</f>
        <v>0</v>
      </c>
      <c r="BN117" s="60" t="n">
        <f aca="false">IF('Level 5'!$C$31="Yes",BH117,AN117)</f>
        <v>0</v>
      </c>
      <c r="BO117" s="60" t="n">
        <f aca="false">IF('Level 6'!$C$31="Yes",BI117,AO117)</f>
        <v>0</v>
      </c>
      <c r="BP117" s="60" t="n">
        <f aca="false">IF('Level 7'!$C$31="Yes",BC117,AP117)</f>
        <v>0</v>
      </c>
      <c r="BQ117" s="60" t="n">
        <f aca="false">D117-AP117</f>
        <v>2331</v>
      </c>
      <c r="BR117" s="60" t="n">
        <f aca="false">BQ117^2</f>
        <v>5433561</v>
      </c>
      <c r="BS117" s="60" t="n">
        <f aca="false">(BQ117-BQ116)^2</f>
        <v>529</v>
      </c>
      <c r="BT117" s="60" t="n">
        <f aca="false">IF(D117&gt;2000,ABS(BQ117)/D117,"")</f>
        <v>1</v>
      </c>
      <c r="BU117" s="60" t="n">
        <v>191</v>
      </c>
      <c r="BV117" s="62" t="n">
        <v>0.5133</v>
      </c>
      <c r="BW117" s="60" t="n">
        <v>713.4</v>
      </c>
      <c r="BX117" s="60" t="n">
        <f aca="false">AA117</f>
        <v>0</v>
      </c>
      <c r="BY117" s="60" t="n">
        <f aca="false">H117</f>
        <v>124.99</v>
      </c>
      <c r="BZ117" s="60" t="n">
        <f aca="false">Z117</f>
        <v>-0</v>
      </c>
      <c r="CA117" s="60" t="n">
        <f aca="false">AB117+AC117+AD117</f>
        <v>0</v>
      </c>
      <c r="CB117" s="60" t="n">
        <f aca="false">AE117+AF117+AG117+AH117+AI117</f>
        <v>0</v>
      </c>
    </row>
    <row r="118" customFormat="false" ht="15" hidden="false" customHeight="false" outlineLevel="0" collapsed="false">
      <c r="A118" s="58" t="n">
        <v>45718</v>
      </c>
      <c r="B118" s="59" t="n">
        <f aca="false">YEAR(A118)</f>
        <v>2025</v>
      </c>
      <c r="C118" s="59" t="n">
        <f aca="false">MONTH(A118)</f>
        <v>3</v>
      </c>
      <c r="D118" s="60" t="n">
        <v>3075</v>
      </c>
      <c r="E118" s="61" t="n">
        <v>1.6605</v>
      </c>
      <c r="F118" s="61" t="n">
        <v>1.5081</v>
      </c>
      <c r="G118" s="61" t="n">
        <v>0</v>
      </c>
      <c r="H118" s="60" t="n">
        <v>229.56</v>
      </c>
      <c r="I118" s="60" t="n">
        <f aca="false">H118+'Level 4'!$C$12/100*I117</f>
        <v>229.56</v>
      </c>
      <c r="J118" s="60" t="n">
        <v>105.1</v>
      </c>
      <c r="K118" s="60" t="n">
        <v>130.77</v>
      </c>
      <c r="L118" s="60" t="n">
        <v>8.43</v>
      </c>
      <c r="M118" s="60" t="n">
        <f aca="false">L118+Answers!$C$14/100*M117</f>
        <v>112.030596236344</v>
      </c>
      <c r="N118" s="60" t="n">
        <v>57.87</v>
      </c>
      <c r="O118" s="60" t="n">
        <v>25.63</v>
      </c>
      <c r="P118" s="60" t="n">
        <v>70.53</v>
      </c>
      <c r="Q118" s="60" t="n">
        <v>3.63</v>
      </c>
      <c r="R118" s="60" t="n">
        <v>68.83</v>
      </c>
      <c r="S118" s="60" t="n">
        <f aca="false">N118+Answers!$C$16/100*S117</f>
        <v>237.469800162505</v>
      </c>
      <c r="T118" s="60" t="n">
        <f aca="false">O118+Answers!$C$17/100*T117</f>
        <v>133.351914810714</v>
      </c>
      <c r="U118" s="60" t="n">
        <f aca="false">P118+Answers!$C$18/100*U117</f>
        <v>142.868923834501</v>
      </c>
      <c r="V118" s="60" t="n">
        <f aca="false">Q118+Answers!$C$19/100*V117</f>
        <v>16.7183185844104</v>
      </c>
      <c r="W118" s="60" t="n">
        <f aca="false">R118+Answers!$C$20/100*W117</f>
        <v>382.366962009556</v>
      </c>
      <c r="X118" s="60" t="n">
        <f aca="false">IF('Level 1'!$C$11="",0,'Level 1'!$C$11)*E118</f>
        <v>0</v>
      </c>
      <c r="Y118" s="60" t="n">
        <f aca="false">-IF('Level 2'!$C$11="",0,'Level 2'!$C$11)*F118</f>
        <v>-0</v>
      </c>
      <c r="Z118" s="60" t="n">
        <f aca="false">IF('Level 3'!$C$11="",0,'Level 3'!$C$11)*G118</f>
        <v>0</v>
      </c>
      <c r="AA118" s="60" t="n">
        <f aca="false">IF('Level 4'!$C$11="",0,'Level 4'!$C$11)*(1-'Level 4'!$C$12/100)*I118</f>
        <v>0</v>
      </c>
      <c r="AB118" s="60" t="n">
        <f aca="false">IF('Level 5'!$C$11="",0,'Level 5'!$C$11)*J118</f>
        <v>0</v>
      </c>
      <c r="AC118" s="60" t="n">
        <f aca="false">IF('Level 5'!$C$12="",0,'Level 5'!$C$12)*K118</f>
        <v>0</v>
      </c>
      <c r="AD118" s="60" t="n">
        <f aca="false">IF('Level 5'!$C$13="",0,'Level 5'!$C$13)*(1-Answers!$C$14/100)*M118</f>
        <v>0</v>
      </c>
      <c r="AE118" s="60" t="n">
        <f aca="false">IF('Level 6'!$C$11="",0,'Level 6'!$C$11)*(1-Answers!$C$16/100)*S118</f>
        <v>0</v>
      </c>
      <c r="AF118" s="60" t="n">
        <f aca="false">IF('Level 6'!$C$12="",0,'Level 6'!$C$12)*(1-Answers!$C$17/100)*T118</f>
        <v>0</v>
      </c>
      <c r="AG118" s="60" t="n">
        <f aca="false">IF('Level 6'!$C$13="",0,'Level 6'!$C$13)*(1-Answers!$C$18/100)*U118</f>
        <v>0</v>
      </c>
      <c r="AH118" s="60" t="n">
        <f aca="false">IF('Level 6'!$C$14="",0,'Level 6'!$C$14)*(1-Answers!$C$19/100)*V118</f>
        <v>0</v>
      </c>
      <c r="AI118" s="60" t="n">
        <f aca="false">IF('Level 6'!$C$15="",0,'Level 6'!$C$15)*(1-Answers!$C$20/100)*W118</f>
        <v>0</v>
      </c>
      <c r="AJ118" s="60" t="n">
        <f aca="false">X118</f>
        <v>0</v>
      </c>
      <c r="AK118" s="60" t="n">
        <f aca="false">X118+Y118</f>
        <v>0</v>
      </c>
      <c r="AL118" s="60" t="n">
        <f aca="false">AK118+Z118</f>
        <v>0</v>
      </c>
      <c r="AM118" s="60" t="n">
        <f aca="false">AL118+AA118</f>
        <v>0</v>
      </c>
      <c r="AN118" s="60" t="n">
        <f aca="false">AM118+AB118+AC118+AD118</f>
        <v>0</v>
      </c>
      <c r="AO118" s="60" t="n">
        <f aca="false">AL118+AE118+AF118+AG118+AH118+AI118+AB118+AC118+AD118</f>
        <v>0</v>
      </c>
      <c r="AP118" s="60" t="n">
        <f aca="false">IF(Answers!$C$22="Yes",AO118,AN118)</f>
        <v>0</v>
      </c>
      <c r="AQ118" s="60" t="n">
        <v>1454</v>
      </c>
      <c r="AR118" s="60" t="n">
        <v>-1436.3</v>
      </c>
      <c r="AS118" s="60" t="n">
        <v>0</v>
      </c>
      <c r="AT118" s="60" t="n">
        <v>3007.8</v>
      </c>
      <c r="AU118" s="60" t="n">
        <v>421.1</v>
      </c>
      <c r="AV118" s="60" t="n">
        <v>351</v>
      </c>
      <c r="AW118" s="60" t="n">
        <v>241.8</v>
      </c>
      <c r="AX118" s="60" t="n">
        <v>736.8</v>
      </c>
      <c r="AY118" s="60" t="n">
        <v>435.4</v>
      </c>
      <c r="AZ118" s="60" t="n">
        <v>449</v>
      </c>
      <c r="BA118" s="60" t="n">
        <v>17.5</v>
      </c>
      <c r="BB118" s="60" t="n">
        <v>1369.1</v>
      </c>
      <c r="BC118" s="60" t="n">
        <f aca="false">AQ118+AR118+AS118+AT118+AU118+AV118+AW118</f>
        <v>4039.4</v>
      </c>
      <c r="BD118" s="60" t="n">
        <f aca="false">AQ118</f>
        <v>1454</v>
      </c>
      <c r="BE118" s="60" t="n">
        <f aca="false">AQ118+AR118</f>
        <v>17.7</v>
      </c>
      <c r="BF118" s="60" t="n">
        <f aca="false">BE118+AS118</f>
        <v>17.7</v>
      </c>
      <c r="BG118" s="60" t="n">
        <f aca="false">BF118+AT118</f>
        <v>3025.5</v>
      </c>
      <c r="BH118" s="60" t="n">
        <f aca="false">BG118+AU118+AV118+AW118</f>
        <v>4039.4</v>
      </c>
      <c r="BI118" s="60" t="n">
        <f aca="false">BC118</f>
        <v>4039.4</v>
      </c>
      <c r="BJ118" s="60" t="n">
        <f aca="false">IF('Level 1'!$C$31="Yes",BD118,AJ118)</f>
        <v>0</v>
      </c>
      <c r="BK118" s="60" t="n">
        <f aca="false">IF('Level 2'!$C$31="Yes",BE118,AK118)</f>
        <v>0</v>
      </c>
      <c r="BL118" s="60" t="n">
        <f aca="false">IF('Level 3'!$C$31="Yes",BF118,AL118)</f>
        <v>0</v>
      </c>
      <c r="BM118" s="60" t="n">
        <f aca="false">IF('Level 4'!$C$31="Yes",BG118,AM118)</f>
        <v>0</v>
      </c>
      <c r="BN118" s="60" t="n">
        <f aca="false">IF('Level 5'!$C$31="Yes",BH118,AN118)</f>
        <v>0</v>
      </c>
      <c r="BO118" s="60" t="n">
        <f aca="false">IF('Level 6'!$C$31="Yes",BI118,AO118)</f>
        <v>0</v>
      </c>
      <c r="BP118" s="60" t="n">
        <f aca="false">IF('Level 7'!$C$31="Yes",BC118,AP118)</f>
        <v>0</v>
      </c>
      <c r="BQ118" s="60" t="n">
        <f aca="false">D118-AP118</f>
        <v>3075</v>
      </c>
      <c r="BR118" s="60" t="n">
        <f aca="false">BQ118^2</f>
        <v>9455625</v>
      </c>
      <c r="BS118" s="60" t="n">
        <f aca="false">(BQ118-BQ117)^2</f>
        <v>553536</v>
      </c>
      <c r="BT118" s="60" t="n">
        <f aca="false">IF(D118&gt;2000,ABS(BQ118)/D118,"")</f>
        <v>1</v>
      </c>
      <c r="BU118" s="60" t="n">
        <v>187</v>
      </c>
      <c r="BV118" s="62" t="n">
        <v>0.5324</v>
      </c>
      <c r="BW118" s="60" t="n">
        <v>750.9</v>
      </c>
      <c r="BX118" s="60" t="n">
        <f aca="false">AA118</f>
        <v>0</v>
      </c>
      <c r="BY118" s="60" t="n">
        <f aca="false">H118</f>
        <v>229.56</v>
      </c>
      <c r="BZ118" s="60" t="n">
        <f aca="false">Z118</f>
        <v>0</v>
      </c>
      <c r="CA118" s="60" t="n">
        <f aca="false">AB118+AC118+AD118</f>
        <v>0</v>
      </c>
      <c r="CB118" s="60" t="n">
        <f aca="false">AE118+AF118+AG118+AH118+AI118</f>
        <v>0</v>
      </c>
    </row>
    <row r="119" customFormat="false" ht="15" hidden="false" customHeight="false" outlineLevel="0" collapsed="false">
      <c r="A119" s="58" t="n">
        <v>45725</v>
      </c>
      <c r="B119" s="59" t="n">
        <f aca="false">YEAR(A119)</f>
        <v>2025</v>
      </c>
      <c r="C119" s="59" t="n">
        <f aca="false">MONTH(A119)</f>
        <v>3</v>
      </c>
      <c r="D119" s="60" t="n">
        <v>5058</v>
      </c>
      <c r="E119" s="61" t="n">
        <v>0.7299</v>
      </c>
      <c r="F119" s="61" t="n">
        <v>1.7629</v>
      </c>
      <c r="G119" s="61" t="n">
        <v>0</v>
      </c>
      <c r="H119" s="60" t="n">
        <v>330.3</v>
      </c>
      <c r="I119" s="60" t="n">
        <f aca="false">H119+'Level 4'!$C$12/100*I118</f>
        <v>330.3</v>
      </c>
      <c r="J119" s="60" t="n">
        <v>141.32</v>
      </c>
      <c r="K119" s="60" t="n">
        <v>68.94</v>
      </c>
      <c r="L119" s="60" t="n">
        <v>8.97</v>
      </c>
      <c r="M119" s="60" t="n">
        <f aca="false">L119+Answers!$C$14/100*M118</f>
        <v>76.1883577418063</v>
      </c>
      <c r="N119" s="60" t="n">
        <v>54.58</v>
      </c>
      <c r="O119" s="60" t="n">
        <v>62.1</v>
      </c>
      <c r="P119" s="60" t="n">
        <v>70.95</v>
      </c>
      <c r="Q119" s="60" t="n">
        <v>3.95</v>
      </c>
      <c r="R119" s="60" t="n">
        <v>133.66</v>
      </c>
      <c r="S119" s="60" t="n">
        <f aca="false">N119+Answers!$C$16/100*S118</f>
        <v>244.555840130004</v>
      </c>
      <c r="T119" s="60" t="n">
        <f aca="false">O119+Answers!$C$17/100*T118</f>
        <v>168.781531848571</v>
      </c>
      <c r="U119" s="60" t="n">
        <f aca="false">P119+Answers!$C$18/100*U118</f>
        <v>185.245139067601</v>
      </c>
      <c r="V119" s="60" t="n">
        <f aca="false">Q119+Answers!$C$19/100*V118</f>
        <v>17.3246548675283</v>
      </c>
      <c r="W119" s="60" t="n">
        <f aca="false">R119+Answers!$C$20/100*W118</f>
        <v>439.553569607645</v>
      </c>
      <c r="X119" s="60" t="n">
        <f aca="false">IF('Level 1'!$C$11="",0,'Level 1'!$C$11)*E119</f>
        <v>0</v>
      </c>
      <c r="Y119" s="60" t="n">
        <f aca="false">-IF('Level 2'!$C$11="",0,'Level 2'!$C$11)*F119</f>
        <v>-0</v>
      </c>
      <c r="Z119" s="60" t="n">
        <f aca="false">IF('Level 3'!$C$11="",0,'Level 3'!$C$11)*G119</f>
        <v>0</v>
      </c>
      <c r="AA119" s="60" t="n">
        <f aca="false">IF('Level 4'!$C$11="",0,'Level 4'!$C$11)*(1-'Level 4'!$C$12/100)*I119</f>
        <v>0</v>
      </c>
      <c r="AB119" s="60" t="n">
        <f aca="false">IF('Level 5'!$C$11="",0,'Level 5'!$C$11)*J119</f>
        <v>0</v>
      </c>
      <c r="AC119" s="60" t="n">
        <f aca="false">IF('Level 5'!$C$12="",0,'Level 5'!$C$12)*K119</f>
        <v>0</v>
      </c>
      <c r="AD119" s="60" t="n">
        <f aca="false">IF('Level 5'!$C$13="",0,'Level 5'!$C$13)*(1-Answers!$C$14/100)*M119</f>
        <v>0</v>
      </c>
      <c r="AE119" s="60" t="n">
        <f aca="false">IF('Level 6'!$C$11="",0,'Level 6'!$C$11)*(1-Answers!$C$16/100)*S119</f>
        <v>0</v>
      </c>
      <c r="AF119" s="60" t="n">
        <f aca="false">IF('Level 6'!$C$12="",0,'Level 6'!$C$12)*(1-Answers!$C$17/100)*T119</f>
        <v>0</v>
      </c>
      <c r="AG119" s="60" t="n">
        <f aca="false">IF('Level 6'!$C$13="",0,'Level 6'!$C$13)*(1-Answers!$C$18/100)*U119</f>
        <v>0</v>
      </c>
      <c r="AH119" s="60" t="n">
        <f aca="false">IF('Level 6'!$C$14="",0,'Level 6'!$C$14)*(1-Answers!$C$19/100)*V119</f>
        <v>0</v>
      </c>
      <c r="AI119" s="60" t="n">
        <f aca="false">IF('Level 6'!$C$15="",0,'Level 6'!$C$15)*(1-Answers!$C$20/100)*W119</f>
        <v>0</v>
      </c>
      <c r="AJ119" s="60" t="n">
        <f aca="false">X119</f>
        <v>0</v>
      </c>
      <c r="AK119" s="60" t="n">
        <f aca="false">X119+Y119</f>
        <v>0</v>
      </c>
      <c r="AL119" s="60" t="n">
        <f aca="false">AK119+Z119</f>
        <v>0</v>
      </c>
      <c r="AM119" s="60" t="n">
        <f aca="false">AL119+AA119</f>
        <v>0</v>
      </c>
      <c r="AN119" s="60" t="n">
        <f aca="false">AM119+AB119+AC119+AD119</f>
        <v>0</v>
      </c>
      <c r="AO119" s="60" t="n">
        <f aca="false">AL119+AE119+AF119+AG119+AH119+AI119+AB119+AC119+AD119</f>
        <v>0</v>
      </c>
      <c r="AP119" s="60" t="n">
        <f aca="false">IF(Answers!$C$22="Yes",AO119,AN119)</f>
        <v>0</v>
      </c>
      <c r="AQ119" s="60" t="n">
        <v>639.1</v>
      </c>
      <c r="AR119" s="60" t="n">
        <v>-1679</v>
      </c>
      <c r="AS119" s="60" t="n">
        <v>0</v>
      </c>
      <c r="AT119" s="60" t="n">
        <v>3406.4</v>
      </c>
      <c r="AU119" s="60" t="n">
        <v>557.2</v>
      </c>
      <c r="AV119" s="60" t="n">
        <v>185</v>
      </c>
      <c r="AW119" s="60" t="n">
        <v>157.2</v>
      </c>
      <c r="AX119" s="60" t="n">
        <v>769.4</v>
      </c>
      <c r="AY119" s="60" t="n">
        <v>532.4</v>
      </c>
      <c r="AZ119" s="60" t="n">
        <v>566.9</v>
      </c>
      <c r="BA119" s="60" t="n">
        <v>18.2</v>
      </c>
      <c r="BB119" s="60" t="n">
        <v>1519.6</v>
      </c>
      <c r="BC119" s="60" t="n">
        <f aca="false">AQ119+AR119+AS119+AT119+AU119+AV119+AW119</f>
        <v>3265.9</v>
      </c>
      <c r="BD119" s="60" t="n">
        <f aca="false">AQ119</f>
        <v>639.1</v>
      </c>
      <c r="BE119" s="60" t="n">
        <f aca="false">AQ119+AR119</f>
        <v>-1039.9</v>
      </c>
      <c r="BF119" s="60" t="n">
        <f aca="false">BE119+AS119</f>
        <v>-1039.9</v>
      </c>
      <c r="BG119" s="60" t="n">
        <f aca="false">BF119+AT119</f>
        <v>2366.5</v>
      </c>
      <c r="BH119" s="60" t="n">
        <f aca="false">BG119+AU119+AV119+AW119</f>
        <v>3265.9</v>
      </c>
      <c r="BI119" s="60" t="n">
        <f aca="false">BC119</f>
        <v>3265.9</v>
      </c>
      <c r="BJ119" s="60" t="n">
        <f aca="false">IF('Level 1'!$C$31="Yes",BD119,AJ119)</f>
        <v>0</v>
      </c>
      <c r="BK119" s="60" t="n">
        <f aca="false">IF('Level 2'!$C$31="Yes",BE119,AK119)</f>
        <v>0</v>
      </c>
      <c r="BL119" s="60" t="n">
        <f aca="false">IF('Level 3'!$C$31="Yes",BF119,AL119)</f>
        <v>0</v>
      </c>
      <c r="BM119" s="60" t="n">
        <f aca="false">IF('Level 4'!$C$31="Yes",BG119,AM119)</f>
        <v>0</v>
      </c>
      <c r="BN119" s="60" t="n">
        <f aca="false">IF('Level 5'!$C$31="Yes",BH119,AN119)</f>
        <v>0</v>
      </c>
      <c r="BO119" s="60" t="n">
        <f aca="false">IF('Level 6'!$C$31="Yes",BI119,AO119)</f>
        <v>0</v>
      </c>
      <c r="BP119" s="60" t="n">
        <f aca="false">IF('Level 7'!$C$31="Yes",BC119,AP119)</f>
        <v>0</v>
      </c>
      <c r="BQ119" s="60" t="n">
        <f aca="false">D119-AP119</f>
        <v>5058</v>
      </c>
      <c r="BR119" s="60" t="n">
        <f aca="false">BQ119^2</f>
        <v>25583364</v>
      </c>
      <c r="BS119" s="60" t="n">
        <f aca="false">(BQ119-BQ118)^2</f>
        <v>3932289</v>
      </c>
      <c r="BT119" s="60" t="n">
        <f aca="false">IF(D119&gt;2000,ABS(BQ119)/D119,"")</f>
        <v>1</v>
      </c>
      <c r="BU119" s="60" t="n">
        <v>200</v>
      </c>
      <c r="BV119" s="62" t="n">
        <v>0.5324</v>
      </c>
      <c r="BW119" s="60" t="n">
        <v>729.8</v>
      </c>
      <c r="BX119" s="60" t="n">
        <f aca="false">AA119</f>
        <v>0</v>
      </c>
      <c r="BY119" s="60" t="n">
        <f aca="false">H119</f>
        <v>330.3</v>
      </c>
      <c r="BZ119" s="60" t="n">
        <f aca="false">Z119</f>
        <v>0</v>
      </c>
      <c r="CA119" s="60" t="n">
        <f aca="false">AB119+AC119+AD119</f>
        <v>0</v>
      </c>
      <c r="CB119" s="60" t="n">
        <f aca="false">AE119+AF119+AG119+AH119+AI119</f>
        <v>0</v>
      </c>
    </row>
    <row r="120" customFormat="false" ht="15" hidden="false" customHeight="false" outlineLevel="0" collapsed="false">
      <c r="A120" s="58" t="n">
        <v>45732</v>
      </c>
      <c r="B120" s="59" t="n">
        <f aca="false">YEAR(A120)</f>
        <v>2025</v>
      </c>
      <c r="C120" s="59" t="n">
        <f aca="false">MONTH(A120)</f>
        <v>3</v>
      </c>
      <c r="D120" s="60" t="n">
        <v>6229</v>
      </c>
      <c r="E120" s="61" t="n">
        <v>0.6536</v>
      </c>
      <c r="F120" s="61" t="n">
        <v>1.4506</v>
      </c>
      <c r="G120" s="61" t="n">
        <v>0</v>
      </c>
      <c r="H120" s="60" t="n">
        <v>283.81</v>
      </c>
      <c r="I120" s="60" t="n">
        <f aca="false">H120+'Level 4'!$C$12/100*I119</f>
        <v>283.81</v>
      </c>
      <c r="J120" s="60" t="n">
        <v>102.94</v>
      </c>
      <c r="K120" s="60" t="n">
        <v>135.03</v>
      </c>
      <c r="L120" s="60" t="n">
        <v>8.96</v>
      </c>
      <c r="M120" s="60" t="n">
        <f aca="false">L120+Answers!$C$14/100*M119</f>
        <v>54.6730146450838</v>
      </c>
      <c r="N120" s="60" t="n">
        <v>49.12</v>
      </c>
      <c r="O120" s="60" t="n">
        <v>54.03</v>
      </c>
      <c r="P120" s="60" t="n">
        <v>60.64</v>
      </c>
      <c r="Q120" s="60" t="n">
        <v>3.95</v>
      </c>
      <c r="R120" s="60" t="n">
        <v>109.83</v>
      </c>
      <c r="S120" s="60" t="n">
        <f aca="false">N120+Answers!$C$16/100*S119</f>
        <v>244.764672104004</v>
      </c>
      <c r="T120" s="60" t="n">
        <f aca="false">O120+Answers!$C$17/100*T119</f>
        <v>189.055225478857</v>
      </c>
      <c r="U120" s="60" t="n">
        <f aca="false">P120+Answers!$C$18/100*U119</f>
        <v>208.836111254081</v>
      </c>
      <c r="V120" s="60" t="n">
        <f aca="false">Q120+Answers!$C$19/100*V119</f>
        <v>17.8097238940227</v>
      </c>
      <c r="W120" s="60" t="n">
        <f aca="false">R120+Answers!$C$20/100*W119</f>
        <v>461.472855686116</v>
      </c>
      <c r="X120" s="60" t="n">
        <f aca="false">IF('Level 1'!$C$11="",0,'Level 1'!$C$11)*E120</f>
        <v>0</v>
      </c>
      <c r="Y120" s="60" t="n">
        <f aca="false">-IF('Level 2'!$C$11="",0,'Level 2'!$C$11)*F120</f>
        <v>-0</v>
      </c>
      <c r="Z120" s="60" t="n">
        <f aca="false">IF('Level 3'!$C$11="",0,'Level 3'!$C$11)*G120</f>
        <v>0</v>
      </c>
      <c r="AA120" s="60" t="n">
        <f aca="false">IF('Level 4'!$C$11="",0,'Level 4'!$C$11)*(1-'Level 4'!$C$12/100)*I120</f>
        <v>0</v>
      </c>
      <c r="AB120" s="60" t="n">
        <f aca="false">IF('Level 5'!$C$11="",0,'Level 5'!$C$11)*J120</f>
        <v>0</v>
      </c>
      <c r="AC120" s="60" t="n">
        <f aca="false">IF('Level 5'!$C$12="",0,'Level 5'!$C$12)*K120</f>
        <v>0</v>
      </c>
      <c r="AD120" s="60" t="n">
        <f aca="false">IF('Level 5'!$C$13="",0,'Level 5'!$C$13)*(1-Answers!$C$14/100)*M120</f>
        <v>0</v>
      </c>
      <c r="AE120" s="60" t="n">
        <f aca="false">IF('Level 6'!$C$11="",0,'Level 6'!$C$11)*(1-Answers!$C$16/100)*S120</f>
        <v>0</v>
      </c>
      <c r="AF120" s="60" t="n">
        <f aca="false">IF('Level 6'!$C$12="",0,'Level 6'!$C$12)*(1-Answers!$C$17/100)*T120</f>
        <v>0</v>
      </c>
      <c r="AG120" s="60" t="n">
        <f aca="false">IF('Level 6'!$C$13="",0,'Level 6'!$C$13)*(1-Answers!$C$18/100)*U120</f>
        <v>0</v>
      </c>
      <c r="AH120" s="60" t="n">
        <f aca="false">IF('Level 6'!$C$14="",0,'Level 6'!$C$14)*(1-Answers!$C$19/100)*V120</f>
        <v>0</v>
      </c>
      <c r="AI120" s="60" t="n">
        <f aca="false">IF('Level 6'!$C$15="",0,'Level 6'!$C$15)*(1-Answers!$C$20/100)*W120</f>
        <v>0</v>
      </c>
      <c r="AJ120" s="60" t="n">
        <f aca="false">X120</f>
        <v>0</v>
      </c>
      <c r="AK120" s="60" t="n">
        <f aca="false">X120+Y120</f>
        <v>0</v>
      </c>
      <c r="AL120" s="60" t="n">
        <f aca="false">AK120+Z120</f>
        <v>0</v>
      </c>
      <c r="AM120" s="60" t="n">
        <f aca="false">AL120+AA120</f>
        <v>0</v>
      </c>
      <c r="AN120" s="60" t="n">
        <f aca="false">AM120+AB120+AC120+AD120</f>
        <v>0</v>
      </c>
      <c r="AO120" s="60" t="n">
        <f aca="false">AL120+AE120+AF120+AG120+AH120+AI120+AB120+AC120+AD120</f>
        <v>0</v>
      </c>
      <c r="AP120" s="60" t="n">
        <f aca="false">IF(Answers!$C$22="Yes",AO120,AN120)</f>
        <v>0</v>
      </c>
      <c r="AQ120" s="60" t="n">
        <v>572.3</v>
      </c>
      <c r="AR120" s="60" t="n">
        <v>-1381.6</v>
      </c>
      <c r="AS120" s="60" t="n">
        <v>0</v>
      </c>
      <c r="AT120" s="60" t="n">
        <v>3630.5</v>
      </c>
      <c r="AU120" s="60" t="n">
        <v>415.1</v>
      </c>
      <c r="AV120" s="60" t="n">
        <v>362.4</v>
      </c>
      <c r="AW120" s="60" t="n">
        <v>102.2</v>
      </c>
      <c r="AX120" s="60" t="n">
        <v>782.8</v>
      </c>
      <c r="AY120" s="60" t="n">
        <v>593.7</v>
      </c>
      <c r="AZ120" s="60" t="n">
        <v>640.2</v>
      </c>
      <c r="BA120" s="60" t="n">
        <v>18.8</v>
      </c>
      <c r="BB120" s="60" t="n">
        <v>1595</v>
      </c>
      <c r="BC120" s="60" t="n">
        <f aca="false">AQ120+AR120+AS120+AT120+AU120+AV120+AW120</f>
        <v>3700.9</v>
      </c>
      <c r="BD120" s="60" t="n">
        <f aca="false">AQ120</f>
        <v>572.3</v>
      </c>
      <c r="BE120" s="60" t="n">
        <f aca="false">AQ120+AR120</f>
        <v>-809.3</v>
      </c>
      <c r="BF120" s="60" t="n">
        <f aca="false">BE120+AS120</f>
        <v>-809.3</v>
      </c>
      <c r="BG120" s="60" t="n">
        <f aca="false">BF120+AT120</f>
        <v>2821.2</v>
      </c>
      <c r="BH120" s="60" t="n">
        <f aca="false">BG120+AU120+AV120+AW120</f>
        <v>3700.9</v>
      </c>
      <c r="BI120" s="60" t="n">
        <f aca="false">BC120</f>
        <v>3700.9</v>
      </c>
      <c r="BJ120" s="60" t="n">
        <f aca="false">IF('Level 1'!$C$31="Yes",BD120,AJ120)</f>
        <v>0</v>
      </c>
      <c r="BK120" s="60" t="n">
        <f aca="false">IF('Level 2'!$C$31="Yes",BE120,AK120)</f>
        <v>0</v>
      </c>
      <c r="BL120" s="60" t="n">
        <f aca="false">IF('Level 3'!$C$31="Yes",BF120,AL120)</f>
        <v>0</v>
      </c>
      <c r="BM120" s="60" t="n">
        <f aca="false">IF('Level 4'!$C$31="Yes",BG120,AM120)</f>
        <v>0</v>
      </c>
      <c r="BN120" s="60" t="n">
        <f aca="false">IF('Level 5'!$C$31="Yes",BH120,AN120)</f>
        <v>0</v>
      </c>
      <c r="BO120" s="60" t="n">
        <f aca="false">IF('Level 6'!$C$31="Yes",BI120,AO120)</f>
        <v>0</v>
      </c>
      <c r="BP120" s="60" t="n">
        <f aca="false">IF('Level 7'!$C$31="Yes",BC120,AP120)</f>
        <v>0</v>
      </c>
      <c r="BQ120" s="60" t="n">
        <f aca="false">D120-AP120</f>
        <v>6229</v>
      </c>
      <c r="BR120" s="60" t="n">
        <f aca="false">BQ120^2</f>
        <v>38800441</v>
      </c>
      <c r="BS120" s="60" t="n">
        <f aca="false">(BQ120-BQ119)^2</f>
        <v>1371241</v>
      </c>
      <c r="BT120" s="60" t="n">
        <f aca="false">IF(D120&gt;2000,ABS(BQ120)/D120,"")</f>
        <v>1</v>
      </c>
      <c r="BU120" s="60" t="n">
        <v>149</v>
      </c>
      <c r="BV120" s="62" t="n">
        <v>0.5324</v>
      </c>
      <c r="BW120" s="60" t="n">
        <v>737.2</v>
      </c>
      <c r="BX120" s="60" t="n">
        <f aca="false">AA120</f>
        <v>0</v>
      </c>
      <c r="BY120" s="60" t="n">
        <f aca="false">H120</f>
        <v>283.81</v>
      </c>
      <c r="BZ120" s="60" t="n">
        <f aca="false">Z120</f>
        <v>0</v>
      </c>
      <c r="CA120" s="60" t="n">
        <f aca="false">AB120+AC120+AD120</f>
        <v>0</v>
      </c>
      <c r="CB120" s="60" t="n">
        <f aca="false">AE120+AF120+AG120+AH120+AI120</f>
        <v>0</v>
      </c>
    </row>
    <row r="121" customFormat="false" ht="15" hidden="false" customHeight="false" outlineLevel="0" collapsed="false">
      <c r="A121" s="58" t="n">
        <v>45739</v>
      </c>
      <c r="B121" s="59" t="n">
        <f aca="false">YEAR(A121)</f>
        <v>2025</v>
      </c>
      <c r="C121" s="59" t="n">
        <f aca="false">MONTH(A121)</f>
        <v>3</v>
      </c>
      <c r="D121" s="60" t="n">
        <v>8104</v>
      </c>
      <c r="E121" s="61" t="n">
        <v>0.6545</v>
      </c>
      <c r="F121" s="61" t="n">
        <v>0.9055</v>
      </c>
      <c r="G121" s="61" t="n">
        <v>0.7291</v>
      </c>
      <c r="H121" s="60" t="n">
        <v>318.94</v>
      </c>
      <c r="I121" s="60" t="n">
        <f aca="false">H121+'Level 4'!$C$12/100*I120</f>
        <v>318.94</v>
      </c>
      <c r="J121" s="60" t="n">
        <v>91.38</v>
      </c>
      <c r="K121" s="60" t="n">
        <v>77.89</v>
      </c>
      <c r="L121" s="60" t="n">
        <v>8.84</v>
      </c>
      <c r="M121" s="60" t="n">
        <f aca="false">L121+Answers!$C$14/100*M120</f>
        <v>41.6438087870503</v>
      </c>
      <c r="N121" s="60" t="n">
        <v>57.41</v>
      </c>
      <c r="O121" s="60" t="n">
        <v>32.82</v>
      </c>
      <c r="P121" s="60" t="n">
        <v>57.21</v>
      </c>
      <c r="Q121" s="60" t="n">
        <v>3.95</v>
      </c>
      <c r="R121" s="60" t="n">
        <v>159.45</v>
      </c>
      <c r="S121" s="60" t="n">
        <f aca="false">N121+Answers!$C$16/100*S120</f>
        <v>253.221737683203</v>
      </c>
      <c r="T121" s="60" t="n">
        <f aca="false">O121+Answers!$C$17/100*T120</f>
        <v>184.064180383086</v>
      </c>
      <c r="U121" s="60" t="n">
        <f aca="false">P121+Answers!$C$18/100*U120</f>
        <v>224.278889003265</v>
      </c>
      <c r="V121" s="60" t="n">
        <f aca="false">Q121+Answers!$C$19/100*V120</f>
        <v>18.1977791152181</v>
      </c>
      <c r="W121" s="60" t="n">
        <f aca="false">R121+Answers!$C$20/100*W120</f>
        <v>528.628284548893</v>
      </c>
      <c r="X121" s="60" t="n">
        <f aca="false">IF('Level 1'!$C$11="",0,'Level 1'!$C$11)*E121</f>
        <v>0</v>
      </c>
      <c r="Y121" s="60" t="n">
        <f aca="false">-IF('Level 2'!$C$11="",0,'Level 2'!$C$11)*F121</f>
        <v>-0</v>
      </c>
      <c r="Z121" s="60" t="n">
        <f aca="false">IF('Level 3'!$C$11="",0,'Level 3'!$C$11)*G121</f>
        <v>0</v>
      </c>
      <c r="AA121" s="60" t="n">
        <f aca="false">IF('Level 4'!$C$11="",0,'Level 4'!$C$11)*(1-'Level 4'!$C$12/100)*I121</f>
        <v>0</v>
      </c>
      <c r="AB121" s="60" t="n">
        <f aca="false">IF('Level 5'!$C$11="",0,'Level 5'!$C$11)*J121</f>
        <v>0</v>
      </c>
      <c r="AC121" s="60" t="n">
        <f aca="false">IF('Level 5'!$C$12="",0,'Level 5'!$C$12)*K121</f>
        <v>0</v>
      </c>
      <c r="AD121" s="60" t="n">
        <f aca="false">IF('Level 5'!$C$13="",0,'Level 5'!$C$13)*(1-Answers!$C$14/100)*M121</f>
        <v>0</v>
      </c>
      <c r="AE121" s="60" t="n">
        <f aca="false">IF('Level 6'!$C$11="",0,'Level 6'!$C$11)*(1-Answers!$C$16/100)*S121</f>
        <v>0</v>
      </c>
      <c r="AF121" s="60" t="n">
        <f aca="false">IF('Level 6'!$C$12="",0,'Level 6'!$C$12)*(1-Answers!$C$17/100)*T121</f>
        <v>0</v>
      </c>
      <c r="AG121" s="60" t="n">
        <f aca="false">IF('Level 6'!$C$13="",0,'Level 6'!$C$13)*(1-Answers!$C$18/100)*U121</f>
        <v>0</v>
      </c>
      <c r="AH121" s="60" t="n">
        <f aca="false">IF('Level 6'!$C$14="",0,'Level 6'!$C$14)*(1-Answers!$C$19/100)*V121</f>
        <v>0</v>
      </c>
      <c r="AI121" s="60" t="n">
        <f aca="false">IF('Level 6'!$C$15="",0,'Level 6'!$C$15)*(1-Answers!$C$20/100)*W121</f>
        <v>0</v>
      </c>
      <c r="AJ121" s="60" t="n">
        <f aca="false">X121</f>
        <v>0</v>
      </c>
      <c r="AK121" s="60" t="n">
        <f aca="false">X121+Y121</f>
        <v>0</v>
      </c>
      <c r="AL121" s="60" t="n">
        <f aca="false">AK121+Z121</f>
        <v>0</v>
      </c>
      <c r="AM121" s="60" t="n">
        <f aca="false">AL121+AA121</f>
        <v>0</v>
      </c>
      <c r="AN121" s="60" t="n">
        <f aca="false">AM121+AB121+AC121+AD121</f>
        <v>0</v>
      </c>
      <c r="AO121" s="60" t="n">
        <f aca="false">AL121+AE121+AF121+AG121+AH121+AI121+AB121+AC121+AD121</f>
        <v>0</v>
      </c>
      <c r="AP121" s="60" t="n">
        <f aca="false">IF(Answers!$C$22="Yes",AO121,AN121)</f>
        <v>0</v>
      </c>
      <c r="AQ121" s="60" t="n">
        <v>573.1</v>
      </c>
      <c r="AR121" s="60" t="n">
        <v>-862.4</v>
      </c>
      <c r="AS121" s="60" t="n">
        <v>5539.2</v>
      </c>
      <c r="AT121" s="60" t="n">
        <v>3911.5</v>
      </c>
      <c r="AU121" s="60" t="n">
        <v>367.7</v>
      </c>
      <c r="AV121" s="60" t="n">
        <v>209.1</v>
      </c>
      <c r="AW121" s="60" t="n">
        <v>66.4</v>
      </c>
      <c r="AX121" s="60" t="n">
        <v>815.8</v>
      </c>
      <c r="AY121" s="60" t="n">
        <v>590.4</v>
      </c>
      <c r="AZ121" s="60" t="n">
        <v>693.5</v>
      </c>
      <c r="BA121" s="60" t="n">
        <v>19.3</v>
      </c>
      <c r="BB121" s="60" t="n">
        <v>1792.4</v>
      </c>
      <c r="BC121" s="60" t="n">
        <f aca="false">AQ121+AR121+AS121+AT121+AU121+AV121+AW121</f>
        <v>9804.6</v>
      </c>
      <c r="BD121" s="60" t="n">
        <f aca="false">AQ121</f>
        <v>573.1</v>
      </c>
      <c r="BE121" s="60" t="n">
        <f aca="false">AQ121+AR121</f>
        <v>-289.3</v>
      </c>
      <c r="BF121" s="60" t="n">
        <f aca="false">BE121+AS121</f>
        <v>5249.9</v>
      </c>
      <c r="BG121" s="60" t="n">
        <f aca="false">BF121+AT121</f>
        <v>9161.4</v>
      </c>
      <c r="BH121" s="60" t="n">
        <f aca="false">BG121+AU121+AV121+AW121</f>
        <v>9804.6</v>
      </c>
      <c r="BI121" s="60" t="n">
        <f aca="false">BC121</f>
        <v>9804.6</v>
      </c>
      <c r="BJ121" s="60" t="n">
        <f aca="false">IF('Level 1'!$C$31="Yes",BD121,AJ121)</f>
        <v>0</v>
      </c>
      <c r="BK121" s="60" t="n">
        <f aca="false">IF('Level 2'!$C$31="Yes",BE121,AK121)</f>
        <v>0</v>
      </c>
      <c r="BL121" s="60" t="n">
        <f aca="false">IF('Level 3'!$C$31="Yes",BF121,AL121)</f>
        <v>0</v>
      </c>
      <c r="BM121" s="60" t="n">
        <f aca="false">IF('Level 4'!$C$31="Yes",BG121,AM121)</f>
        <v>0</v>
      </c>
      <c r="BN121" s="60" t="n">
        <f aca="false">IF('Level 5'!$C$31="Yes",BH121,AN121)</f>
        <v>0</v>
      </c>
      <c r="BO121" s="60" t="n">
        <f aca="false">IF('Level 6'!$C$31="Yes",BI121,AO121)</f>
        <v>0</v>
      </c>
      <c r="BP121" s="60" t="n">
        <f aca="false">IF('Level 7'!$C$31="Yes",BC121,AP121)</f>
        <v>0</v>
      </c>
      <c r="BQ121" s="60" t="n">
        <f aca="false">D121-AP121</f>
        <v>8104</v>
      </c>
      <c r="BR121" s="60" t="n">
        <f aca="false">BQ121^2</f>
        <v>65674816</v>
      </c>
      <c r="BS121" s="60" t="n">
        <f aca="false">(BQ121-BQ120)^2</f>
        <v>3515625</v>
      </c>
      <c r="BT121" s="60" t="n">
        <f aca="false">IF(D121&gt;2000,ABS(BQ121)/D121,"")</f>
        <v>1</v>
      </c>
      <c r="BU121" s="60" t="n">
        <v>138</v>
      </c>
      <c r="BV121" s="62" t="n">
        <v>0.5324</v>
      </c>
      <c r="BW121" s="60" t="n">
        <v>785.2</v>
      </c>
      <c r="BX121" s="60" t="n">
        <f aca="false">AA121</f>
        <v>0</v>
      </c>
      <c r="BY121" s="60" t="n">
        <f aca="false">H121</f>
        <v>318.94</v>
      </c>
      <c r="BZ121" s="60" t="n">
        <f aca="false">Z121</f>
        <v>0</v>
      </c>
      <c r="CA121" s="60" t="n">
        <f aca="false">AB121+AC121+AD121</f>
        <v>0</v>
      </c>
      <c r="CB121" s="60" t="n">
        <f aca="false">AE121+AF121+AG121+AH121+AI121</f>
        <v>0</v>
      </c>
    </row>
    <row r="122" customFormat="false" ht="15" hidden="false" customHeight="false" outlineLevel="0" collapsed="false">
      <c r="A122" s="58" t="n">
        <v>45746</v>
      </c>
      <c r="B122" s="59" t="n">
        <f aca="false">YEAR(A122)</f>
        <v>2025</v>
      </c>
      <c r="C122" s="59" t="n">
        <f aca="false">MONTH(A122)</f>
        <v>3</v>
      </c>
      <c r="D122" s="60" t="n">
        <v>9036</v>
      </c>
      <c r="E122" s="61" t="n">
        <v>0.6595</v>
      </c>
      <c r="F122" s="61" t="n">
        <v>0.8714</v>
      </c>
      <c r="G122" s="61" t="n">
        <v>0.7291</v>
      </c>
      <c r="H122" s="60" t="n">
        <v>456.25</v>
      </c>
      <c r="I122" s="60" t="n">
        <f aca="false">H122+'Level 4'!$C$12/100*I121</f>
        <v>456.25</v>
      </c>
      <c r="J122" s="60" t="n">
        <v>87.68</v>
      </c>
      <c r="K122" s="60" t="n">
        <v>64.74</v>
      </c>
      <c r="L122" s="60" t="n">
        <v>8.38</v>
      </c>
      <c r="M122" s="60" t="n">
        <f aca="false">L122+Answers!$C$14/100*M121</f>
        <v>33.3662852722302</v>
      </c>
      <c r="N122" s="60" t="n">
        <v>49.88</v>
      </c>
      <c r="O122" s="60" t="n">
        <v>12.01</v>
      </c>
      <c r="P122" s="60" t="n">
        <v>62.04</v>
      </c>
      <c r="Q122" s="60" t="n">
        <v>81.72</v>
      </c>
      <c r="R122" s="60" t="n">
        <v>241.56</v>
      </c>
      <c r="S122" s="60" t="n">
        <f aca="false">N122+Answers!$C$16/100*S121</f>
        <v>252.457390146562</v>
      </c>
      <c r="T122" s="60" t="n">
        <f aca="false">O122+Answers!$C$17/100*T121</f>
        <v>159.261344306468</v>
      </c>
      <c r="U122" s="60" t="n">
        <f aca="false">P122+Answers!$C$18/100*U121</f>
        <v>241.463111202612</v>
      </c>
      <c r="V122" s="60" t="n">
        <f aca="false">Q122+Answers!$C$19/100*V121</f>
        <v>96.2782232921745</v>
      </c>
      <c r="W122" s="60" t="n">
        <f aca="false">R122+Answers!$C$20/100*W121</f>
        <v>664.462627639114</v>
      </c>
      <c r="X122" s="60" t="n">
        <f aca="false">IF('Level 1'!$C$11="",0,'Level 1'!$C$11)*E122</f>
        <v>0</v>
      </c>
      <c r="Y122" s="60" t="n">
        <f aca="false">-IF('Level 2'!$C$11="",0,'Level 2'!$C$11)*F122</f>
        <v>-0</v>
      </c>
      <c r="Z122" s="60" t="n">
        <f aca="false">IF('Level 3'!$C$11="",0,'Level 3'!$C$11)*G122</f>
        <v>0</v>
      </c>
      <c r="AA122" s="60" t="n">
        <f aca="false">IF('Level 4'!$C$11="",0,'Level 4'!$C$11)*(1-'Level 4'!$C$12/100)*I122</f>
        <v>0</v>
      </c>
      <c r="AB122" s="60" t="n">
        <f aca="false">IF('Level 5'!$C$11="",0,'Level 5'!$C$11)*J122</f>
        <v>0</v>
      </c>
      <c r="AC122" s="60" t="n">
        <f aca="false">IF('Level 5'!$C$12="",0,'Level 5'!$C$12)*K122</f>
        <v>0</v>
      </c>
      <c r="AD122" s="60" t="n">
        <f aca="false">IF('Level 5'!$C$13="",0,'Level 5'!$C$13)*(1-Answers!$C$14/100)*M122</f>
        <v>0</v>
      </c>
      <c r="AE122" s="60" t="n">
        <f aca="false">IF('Level 6'!$C$11="",0,'Level 6'!$C$11)*(1-Answers!$C$16/100)*S122</f>
        <v>0</v>
      </c>
      <c r="AF122" s="60" t="n">
        <f aca="false">IF('Level 6'!$C$12="",0,'Level 6'!$C$12)*(1-Answers!$C$17/100)*T122</f>
        <v>0</v>
      </c>
      <c r="AG122" s="60" t="n">
        <f aca="false">IF('Level 6'!$C$13="",0,'Level 6'!$C$13)*(1-Answers!$C$18/100)*U122</f>
        <v>0</v>
      </c>
      <c r="AH122" s="60" t="n">
        <f aca="false">IF('Level 6'!$C$14="",0,'Level 6'!$C$14)*(1-Answers!$C$19/100)*V122</f>
        <v>0</v>
      </c>
      <c r="AI122" s="60" t="n">
        <f aca="false">IF('Level 6'!$C$15="",0,'Level 6'!$C$15)*(1-Answers!$C$20/100)*W122</f>
        <v>0</v>
      </c>
      <c r="AJ122" s="60" t="n">
        <f aca="false">X122</f>
        <v>0</v>
      </c>
      <c r="AK122" s="60" t="n">
        <f aca="false">X122+Y122</f>
        <v>0</v>
      </c>
      <c r="AL122" s="60" t="n">
        <f aca="false">AK122+Z122</f>
        <v>0</v>
      </c>
      <c r="AM122" s="60" t="n">
        <f aca="false">AL122+AA122</f>
        <v>0</v>
      </c>
      <c r="AN122" s="60" t="n">
        <f aca="false">AM122+AB122+AC122+AD122</f>
        <v>0</v>
      </c>
      <c r="AO122" s="60" t="n">
        <f aca="false">AL122+AE122+AF122+AG122+AH122+AI122+AB122+AC122+AD122</f>
        <v>0</v>
      </c>
      <c r="AP122" s="60" t="n">
        <f aca="false">IF(Answers!$C$22="Yes",AO122,AN122)</f>
        <v>0</v>
      </c>
      <c r="AQ122" s="60" t="n">
        <v>577.5</v>
      </c>
      <c r="AR122" s="60" t="n">
        <v>-830</v>
      </c>
      <c r="AS122" s="60" t="n">
        <v>5539.2</v>
      </c>
      <c r="AT122" s="60" t="n">
        <v>4358.1</v>
      </c>
      <c r="AU122" s="60" t="n">
        <v>345.9</v>
      </c>
      <c r="AV122" s="60" t="n">
        <v>173.8</v>
      </c>
      <c r="AW122" s="60" t="n">
        <v>43.2</v>
      </c>
      <c r="AX122" s="60" t="n">
        <v>824.2</v>
      </c>
      <c r="AY122" s="60" t="n">
        <v>533.2</v>
      </c>
      <c r="AZ122" s="60" t="n">
        <v>751.5</v>
      </c>
      <c r="BA122" s="60" t="n">
        <v>85.2</v>
      </c>
      <c r="BB122" s="60" t="n">
        <v>2164</v>
      </c>
      <c r="BC122" s="60" t="n">
        <f aca="false">AQ122+AR122+AS122+AT122+AU122+AV122+AW122</f>
        <v>10207.7</v>
      </c>
      <c r="BD122" s="60" t="n">
        <f aca="false">AQ122</f>
        <v>577.5</v>
      </c>
      <c r="BE122" s="60" t="n">
        <f aca="false">AQ122+AR122</f>
        <v>-252.5</v>
      </c>
      <c r="BF122" s="60" t="n">
        <f aca="false">BE122+AS122</f>
        <v>5286.7</v>
      </c>
      <c r="BG122" s="60" t="n">
        <f aca="false">BF122+AT122</f>
        <v>9644.8</v>
      </c>
      <c r="BH122" s="60" t="n">
        <f aca="false">BG122+AU122+AV122+AW122</f>
        <v>10207.7</v>
      </c>
      <c r="BI122" s="60" t="n">
        <f aca="false">BC122</f>
        <v>10207.7</v>
      </c>
      <c r="BJ122" s="60" t="n">
        <f aca="false">IF('Level 1'!$C$31="Yes",BD122,AJ122)</f>
        <v>0</v>
      </c>
      <c r="BK122" s="60" t="n">
        <f aca="false">IF('Level 2'!$C$31="Yes",BE122,AK122)</f>
        <v>0</v>
      </c>
      <c r="BL122" s="60" t="n">
        <f aca="false">IF('Level 3'!$C$31="Yes",BF122,AL122)</f>
        <v>0</v>
      </c>
      <c r="BM122" s="60" t="n">
        <f aca="false">IF('Level 4'!$C$31="Yes",BG122,AM122)</f>
        <v>0</v>
      </c>
      <c r="BN122" s="60" t="n">
        <f aca="false">IF('Level 5'!$C$31="Yes",BH122,AN122)</f>
        <v>0</v>
      </c>
      <c r="BO122" s="60" t="n">
        <f aca="false">IF('Level 6'!$C$31="Yes",BI122,AO122)</f>
        <v>0</v>
      </c>
      <c r="BP122" s="60" t="n">
        <f aca="false">IF('Level 7'!$C$31="Yes",BC122,AP122)</f>
        <v>0</v>
      </c>
      <c r="BQ122" s="60" t="n">
        <f aca="false">D122-AP122</f>
        <v>9036</v>
      </c>
      <c r="BR122" s="60" t="n">
        <f aca="false">BQ122^2</f>
        <v>81649296</v>
      </c>
      <c r="BS122" s="60" t="n">
        <f aca="false">(BQ122-BQ121)^2</f>
        <v>868624</v>
      </c>
      <c r="BT122" s="60" t="n">
        <f aca="false">IF(D122&gt;2000,ABS(BQ122)/D122,"")</f>
        <v>1</v>
      </c>
      <c r="BU122" s="60" t="n">
        <v>127</v>
      </c>
      <c r="BV122" s="62" t="n">
        <v>0.5418</v>
      </c>
      <c r="BW122" s="60" t="n">
        <v>822.8</v>
      </c>
      <c r="BX122" s="60" t="n">
        <f aca="false">AA122</f>
        <v>0</v>
      </c>
      <c r="BY122" s="60" t="n">
        <f aca="false">H122</f>
        <v>456.25</v>
      </c>
      <c r="BZ122" s="60" t="n">
        <f aca="false">Z122</f>
        <v>0</v>
      </c>
      <c r="CA122" s="60" t="n">
        <f aca="false">AB122+AC122+AD122</f>
        <v>0</v>
      </c>
      <c r="CB122" s="60" t="n">
        <f aca="false">AE122+AF122+AG122+AH122+AI122</f>
        <v>0</v>
      </c>
    </row>
    <row r="123" customFormat="false" ht="15" hidden="false" customHeight="false" outlineLevel="0" collapsed="false">
      <c r="A123" s="58" t="n">
        <v>45753</v>
      </c>
      <c r="B123" s="59" t="n">
        <f aca="false">YEAR(A123)</f>
        <v>2025</v>
      </c>
      <c r="C123" s="59" t="n">
        <f aca="false">MONTH(A123)</f>
        <v>4</v>
      </c>
      <c r="D123" s="60" t="n">
        <v>16661</v>
      </c>
      <c r="E123" s="61" t="n">
        <v>1.0427</v>
      </c>
      <c r="F123" s="61" t="n">
        <v>0.8087</v>
      </c>
      <c r="G123" s="61" t="n">
        <v>1.7411</v>
      </c>
      <c r="H123" s="60" t="n">
        <v>522.58</v>
      </c>
      <c r="I123" s="60" t="n">
        <f aca="false">H123+'Level 4'!$C$12/100*I122</f>
        <v>522.58</v>
      </c>
      <c r="J123" s="60" t="n">
        <v>33.38</v>
      </c>
      <c r="K123" s="60" t="n">
        <v>30.42</v>
      </c>
      <c r="L123" s="60" t="n">
        <v>5.67</v>
      </c>
      <c r="M123" s="60" t="n">
        <f aca="false">L123+Answers!$C$14/100*M122</f>
        <v>25.6897711633381</v>
      </c>
      <c r="N123" s="60" t="n">
        <v>75.54</v>
      </c>
      <c r="O123" s="60" t="n">
        <v>44.53</v>
      </c>
      <c r="P123" s="60" t="n">
        <v>67.63</v>
      </c>
      <c r="Q123" s="60" t="n">
        <v>81.84</v>
      </c>
      <c r="R123" s="60" t="n">
        <v>236.38</v>
      </c>
      <c r="S123" s="60" t="n">
        <f aca="false">N123+Answers!$C$16/100*S122</f>
        <v>277.50591211725</v>
      </c>
      <c r="T123" s="60" t="n">
        <f aca="false">O123+Answers!$C$17/100*T122</f>
        <v>171.939075445175</v>
      </c>
      <c r="U123" s="60" t="n">
        <f aca="false">P123+Answers!$C$18/100*U122</f>
        <v>260.80048896209</v>
      </c>
      <c r="V123" s="60" t="n">
        <f aca="false">Q123+Answers!$C$19/100*V122</f>
        <v>158.86257863374</v>
      </c>
      <c r="W123" s="60" t="n">
        <f aca="false">R123+Answers!$C$20/100*W122</f>
        <v>767.950102111291</v>
      </c>
      <c r="X123" s="60" t="n">
        <f aca="false">IF('Level 1'!$C$11="",0,'Level 1'!$C$11)*E123</f>
        <v>0</v>
      </c>
      <c r="Y123" s="60" t="n">
        <f aca="false">-IF('Level 2'!$C$11="",0,'Level 2'!$C$11)*F123</f>
        <v>-0</v>
      </c>
      <c r="Z123" s="60" t="n">
        <f aca="false">IF('Level 3'!$C$11="",0,'Level 3'!$C$11)*G123</f>
        <v>0</v>
      </c>
      <c r="AA123" s="60" t="n">
        <f aca="false">IF('Level 4'!$C$11="",0,'Level 4'!$C$11)*(1-'Level 4'!$C$12/100)*I123</f>
        <v>0</v>
      </c>
      <c r="AB123" s="60" t="n">
        <f aca="false">IF('Level 5'!$C$11="",0,'Level 5'!$C$11)*J123</f>
        <v>0</v>
      </c>
      <c r="AC123" s="60" t="n">
        <f aca="false">IF('Level 5'!$C$12="",0,'Level 5'!$C$12)*K123</f>
        <v>0</v>
      </c>
      <c r="AD123" s="60" t="n">
        <f aca="false">IF('Level 5'!$C$13="",0,'Level 5'!$C$13)*(1-Answers!$C$14/100)*M123</f>
        <v>0</v>
      </c>
      <c r="AE123" s="60" t="n">
        <f aca="false">IF('Level 6'!$C$11="",0,'Level 6'!$C$11)*(1-Answers!$C$16/100)*S123</f>
        <v>0</v>
      </c>
      <c r="AF123" s="60" t="n">
        <f aca="false">IF('Level 6'!$C$12="",0,'Level 6'!$C$12)*(1-Answers!$C$17/100)*T123</f>
        <v>0</v>
      </c>
      <c r="AG123" s="60" t="n">
        <f aca="false">IF('Level 6'!$C$13="",0,'Level 6'!$C$13)*(1-Answers!$C$18/100)*U123</f>
        <v>0</v>
      </c>
      <c r="AH123" s="60" t="n">
        <f aca="false">IF('Level 6'!$C$14="",0,'Level 6'!$C$14)*(1-Answers!$C$19/100)*V123</f>
        <v>0</v>
      </c>
      <c r="AI123" s="60" t="n">
        <f aca="false">IF('Level 6'!$C$15="",0,'Level 6'!$C$15)*(1-Answers!$C$20/100)*W123</f>
        <v>0</v>
      </c>
      <c r="AJ123" s="60" t="n">
        <f aca="false">X123</f>
        <v>0</v>
      </c>
      <c r="AK123" s="60" t="n">
        <f aca="false">X123+Y123</f>
        <v>0</v>
      </c>
      <c r="AL123" s="60" t="n">
        <f aca="false">AK123+Z123</f>
        <v>0</v>
      </c>
      <c r="AM123" s="60" t="n">
        <f aca="false">AL123+AA123</f>
        <v>0</v>
      </c>
      <c r="AN123" s="60" t="n">
        <f aca="false">AM123+AB123+AC123+AD123</f>
        <v>0</v>
      </c>
      <c r="AO123" s="60" t="n">
        <f aca="false">AL123+AE123+AF123+AG123+AH123+AI123+AB123+AC123+AD123</f>
        <v>0</v>
      </c>
      <c r="AP123" s="60" t="n">
        <f aca="false">IF(Answers!$C$22="Yes",AO123,AN123)</f>
        <v>0</v>
      </c>
      <c r="AQ123" s="60" t="n">
        <v>913</v>
      </c>
      <c r="AR123" s="60" t="n">
        <v>-770.2</v>
      </c>
      <c r="AS123" s="60" t="n">
        <v>13227.7</v>
      </c>
      <c r="AT123" s="60" t="n">
        <v>4875.1</v>
      </c>
      <c r="AU123" s="60" t="n">
        <v>112.1</v>
      </c>
      <c r="AV123" s="60" t="n">
        <v>81.6</v>
      </c>
      <c r="AW123" s="60" t="n">
        <v>28.1</v>
      </c>
      <c r="AX123" s="60" t="n">
        <v>898.6</v>
      </c>
      <c r="AY123" s="60" t="n">
        <v>569.6</v>
      </c>
      <c r="AZ123" s="60" t="n">
        <v>815.3</v>
      </c>
      <c r="BA123" s="60" t="n">
        <v>141.2</v>
      </c>
      <c r="BB123" s="60" t="n">
        <v>2450.3</v>
      </c>
      <c r="BC123" s="60" t="n">
        <f aca="false">AQ123+AR123+AS123+AT123+AU123+AV123+AW123</f>
        <v>18467.4</v>
      </c>
      <c r="BD123" s="60" t="n">
        <f aca="false">AQ123</f>
        <v>913</v>
      </c>
      <c r="BE123" s="60" t="n">
        <f aca="false">AQ123+AR123</f>
        <v>142.8</v>
      </c>
      <c r="BF123" s="60" t="n">
        <f aca="false">BE123+AS123</f>
        <v>13370.5</v>
      </c>
      <c r="BG123" s="60" t="n">
        <f aca="false">BF123+AT123</f>
        <v>18245.6</v>
      </c>
      <c r="BH123" s="60" t="n">
        <f aca="false">BG123+AU123+AV123+AW123</f>
        <v>18467.4</v>
      </c>
      <c r="BI123" s="60" t="n">
        <f aca="false">BC123</f>
        <v>18467.4</v>
      </c>
      <c r="BJ123" s="60" t="n">
        <f aca="false">IF('Level 1'!$C$31="Yes",BD123,AJ123)</f>
        <v>0</v>
      </c>
      <c r="BK123" s="60" t="n">
        <f aca="false">IF('Level 2'!$C$31="Yes",BE123,AK123)</f>
        <v>0</v>
      </c>
      <c r="BL123" s="60" t="n">
        <f aca="false">IF('Level 3'!$C$31="Yes",BF123,AL123)</f>
        <v>0</v>
      </c>
      <c r="BM123" s="60" t="n">
        <f aca="false">IF('Level 4'!$C$31="Yes",BG123,AM123)</f>
        <v>0</v>
      </c>
      <c r="BN123" s="60" t="n">
        <f aca="false">IF('Level 5'!$C$31="Yes",BH123,AN123)</f>
        <v>0</v>
      </c>
      <c r="BO123" s="60" t="n">
        <f aca="false">IF('Level 6'!$C$31="Yes",BI123,AO123)</f>
        <v>0</v>
      </c>
      <c r="BP123" s="60" t="n">
        <f aca="false">IF('Level 7'!$C$31="Yes",BC123,AP123)</f>
        <v>0</v>
      </c>
      <c r="BQ123" s="60" t="n">
        <f aca="false">D123-AP123</f>
        <v>16661</v>
      </c>
      <c r="BR123" s="60" t="n">
        <f aca="false">BQ123^2</f>
        <v>277588921</v>
      </c>
      <c r="BS123" s="60" t="n">
        <f aca="false">(BQ123-BQ122)^2</f>
        <v>58140625</v>
      </c>
      <c r="BT123" s="60" t="n">
        <f aca="false">IF(D123&gt;2000,ABS(BQ123)/D123,"")</f>
        <v>1</v>
      </c>
      <c r="BU123" s="60" t="n">
        <v>95</v>
      </c>
      <c r="BV123" s="62" t="n">
        <v>0.5433</v>
      </c>
      <c r="BW123" s="60" t="n">
        <v>583.3</v>
      </c>
      <c r="BX123" s="60" t="n">
        <f aca="false">AA123</f>
        <v>0</v>
      </c>
      <c r="BY123" s="60" t="n">
        <f aca="false">H123</f>
        <v>522.58</v>
      </c>
      <c r="BZ123" s="60" t="n">
        <f aca="false">Z123</f>
        <v>0</v>
      </c>
      <c r="CA123" s="60" t="n">
        <f aca="false">AB123+AC123+AD123</f>
        <v>0</v>
      </c>
      <c r="CB123" s="60" t="n">
        <f aca="false">AE123+AF123+AG123+AH123+AI123</f>
        <v>0</v>
      </c>
    </row>
    <row r="124" customFormat="false" ht="15" hidden="false" customHeight="false" outlineLevel="0" collapsed="false">
      <c r="A124" s="58" t="n">
        <v>45760</v>
      </c>
      <c r="B124" s="59" t="n">
        <f aca="false">YEAR(A124)</f>
        <v>2025</v>
      </c>
      <c r="C124" s="59" t="n">
        <f aca="false">MONTH(A124)</f>
        <v>4</v>
      </c>
      <c r="D124" s="60" t="n">
        <v>5340</v>
      </c>
      <c r="E124" s="61" t="n">
        <v>1.4621</v>
      </c>
      <c r="F124" s="61" t="n">
        <v>1.2328</v>
      </c>
      <c r="G124" s="61" t="n">
        <v>0</v>
      </c>
      <c r="H124" s="60" t="n">
        <v>231.83</v>
      </c>
      <c r="I124" s="60" t="n">
        <f aca="false">H124+'Level 4'!$C$12/100*I123</f>
        <v>231.83</v>
      </c>
      <c r="J124" s="60" t="n">
        <v>21.72</v>
      </c>
      <c r="K124" s="60" t="n">
        <v>13.17</v>
      </c>
      <c r="L124" s="60" t="n">
        <v>5.76</v>
      </c>
      <c r="M124" s="60" t="n">
        <f aca="false">L124+Answers!$C$14/100*M123</f>
        <v>21.1738626980029</v>
      </c>
      <c r="N124" s="60" t="n">
        <v>49.58</v>
      </c>
      <c r="O124" s="60" t="n">
        <v>52.39</v>
      </c>
      <c r="P124" s="60" t="n">
        <v>0</v>
      </c>
      <c r="Q124" s="60" t="n">
        <v>26.6</v>
      </c>
      <c r="R124" s="60" t="n">
        <v>97.91</v>
      </c>
      <c r="S124" s="60" t="n">
        <f aca="false">N124+Answers!$C$16/100*S123</f>
        <v>271.5847296938</v>
      </c>
      <c r="T124" s="60" t="n">
        <f aca="false">O124+Answers!$C$17/100*T123</f>
        <v>189.94126035614</v>
      </c>
      <c r="U124" s="60" t="n">
        <f aca="false">P124+Answers!$C$18/100*U123</f>
        <v>208.640391169672</v>
      </c>
      <c r="V124" s="60" t="n">
        <f aca="false">Q124+Answers!$C$19/100*V123</f>
        <v>153.690062906992</v>
      </c>
      <c r="W124" s="60" t="n">
        <f aca="false">R124+Answers!$C$20/100*W123</f>
        <v>712.270081689033</v>
      </c>
      <c r="X124" s="60" t="n">
        <f aca="false">IF('Level 1'!$C$11="",0,'Level 1'!$C$11)*E124</f>
        <v>0</v>
      </c>
      <c r="Y124" s="60" t="n">
        <f aca="false">-IF('Level 2'!$C$11="",0,'Level 2'!$C$11)*F124</f>
        <v>-0</v>
      </c>
      <c r="Z124" s="60" t="n">
        <f aca="false">IF('Level 3'!$C$11="",0,'Level 3'!$C$11)*G124</f>
        <v>0</v>
      </c>
      <c r="AA124" s="60" t="n">
        <f aca="false">IF('Level 4'!$C$11="",0,'Level 4'!$C$11)*(1-'Level 4'!$C$12/100)*I124</f>
        <v>0</v>
      </c>
      <c r="AB124" s="60" t="n">
        <f aca="false">IF('Level 5'!$C$11="",0,'Level 5'!$C$11)*J124</f>
        <v>0</v>
      </c>
      <c r="AC124" s="60" t="n">
        <f aca="false">IF('Level 5'!$C$12="",0,'Level 5'!$C$12)*K124</f>
        <v>0</v>
      </c>
      <c r="AD124" s="60" t="n">
        <f aca="false">IF('Level 5'!$C$13="",0,'Level 5'!$C$13)*(1-Answers!$C$14/100)*M124</f>
        <v>0</v>
      </c>
      <c r="AE124" s="60" t="n">
        <f aca="false">IF('Level 6'!$C$11="",0,'Level 6'!$C$11)*(1-Answers!$C$16/100)*S124</f>
        <v>0</v>
      </c>
      <c r="AF124" s="60" t="n">
        <f aca="false">IF('Level 6'!$C$12="",0,'Level 6'!$C$12)*(1-Answers!$C$17/100)*T124</f>
        <v>0</v>
      </c>
      <c r="AG124" s="60" t="n">
        <f aca="false">IF('Level 6'!$C$13="",0,'Level 6'!$C$13)*(1-Answers!$C$18/100)*U124</f>
        <v>0</v>
      </c>
      <c r="AH124" s="60" t="n">
        <f aca="false">IF('Level 6'!$C$14="",0,'Level 6'!$C$14)*(1-Answers!$C$19/100)*V124</f>
        <v>0</v>
      </c>
      <c r="AI124" s="60" t="n">
        <f aca="false">IF('Level 6'!$C$15="",0,'Level 6'!$C$15)*(1-Answers!$C$20/100)*W124</f>
        <v>0</v>
      </c>
      <c r="AJ124" s="60" t="n">
        <f aca="false">X124</f>
        <v>0</v>
      </c>
      <c r="AK124" s="60" t="n">
        <f aca="false">X124+Y124</f>
        <v>0</v>
      </c>
      <c r="AL124" s="60" t="n">
        <f aca="false">AK124+Z124</f>
        <v>0</v>
      </c>
      <c r="AM124" s="60" t="n">
        <f aca="false">AL124+AA124</f>
        <v>0</v>
      </c>
      <c r="AN124" s="60" t="n">
        <f aca="false">AM124+AB124+AC124+AD124</f>
        <v>0</v>
      </c>
      <c r="AO124" s="60" t="n">
        <f aca="false">AL124+AE124+AF124+AG124+AH124+AI124+AB124+AC124+AD124</f>
        <v>0</v>
      </c>
      <c r="AP124" s="60" t="n">
        <f aca="false">IF(Answers!$C$22="Yes",AO124,AN124)</f>
        <v>0</v>
      </c>
      <c r="AQ124" s="60" t="n">
        <v>1280.2</v>
      </c>
      <c r="AR124" s="60" t="n">
        <v>-1174.2</v>
      </c>
      <c r="AS124" s="60" t="n">
        <v>0</v>
      </c>
      <c r="AT124" s="60" t="n">
        <v>4691.1</v>
      </c>
      <c r="AU124" s="60" t="n">
        <v>57.2</v>
      </c>
      <c r="AV124" s="60" t="n">
        <v>35.4</v>
      </c>
      <c r="AW124" s="60" t="n">
        <v>18.2</v>
      </c>
      <c r="AX124" s="60" t="n">
        <v>893.8</v>
      </c>
      <c r="AY124" s="60" t="n">
        <v>621.1</v>
      </c>
      <c r="AZ124" s="60" t="n">
        <v>693</v>
      </c>
      <c r="BA124" s="60" t="n">
        <v>142.4</v>
      </c>
      <c r="BB124" s="60" t="n">
        <v>2340.8</v>
      </c>
      <c r="BC124" s="60" t="n">
        <f aca="false">AQ124+AR124+AS124+AT124+AU124+AV124+AW124</f>
        <v>4907.9</v>
      </c>
      <c r="BD124" s="60" t="n">
        <f aca="false">AQ124</f>
        <v>1280.2</v>
      </c>
      <c r="BE124" s="60" t="n">
        <f aca="false">AQ124+AR124</f>
        <v>106</v>
      </c>
      <c r="BF124" s="60" t="n">
        <f aca="false">BE124+AS124</f>
        <v>106</v>
      </c>
      <c r="BG124" s="60" t="n">
        <f aca="false">BF124+AT124</f>
        <v>4797.1</v>
      </c>
      <c r="BH124" s="60" t="n">
        <f aca="false">BG124+AU124+AV124+AW124</f>
        <v>4907.9</v>
      </c>
      <c r="BI124" s="60" t="n">
        <f aca="false">BC124</f>
        <v>4907.9</v>
      </c>
      <c r="BJ124" s="60" t="n">
        <f aca="false">IF('Level 1'!$C$31="Yes",BD124,AJ124)</f>
        <v>0</v>
      </c>
      <c r="BK124" s="60" t="n">
        <f aca="false">IF('Level 2'!$C$31="Yes",BE124,AK124)</f>
        <v>0</v>
      </c>
      <c r="BL124" s="60" t="n">
        <f aca="false">IF('Level 3'!$C$31="Yes",BF124,AL124)</f>
        <v>0</v>
      </c>
      <c r="BM124" s="60" t="n">
        <f aca="false">IF('Level 4'!$C$31="Yes",BG124,AM124)</f>
        <v>0</v>
      </c>
      <c r="BN124" s="60" t="n">
        <f aca="false">IF('Level 5'!$C$31="Yes",BH124,AN124)</f>
        <v>0</v>
      </c>
      <c r="BO124" s="60" t="n">
        <f aca="false">IF('Level 6'!$C$31="Yes",BI124,AO124)</f>
        <v>0</v>
      </c>
      <c r="BP124" s="60" t="n">
        <f aca="false">IF('Level 7'!$C$31="Yes",BC124,AP124)</f>
        <v>0</v>
      </c>
      <c r="BQ124" s="60" t="n">
        <f aca="false">D124-AP124</f>
        <v>5340</v>
      </c>
      <c r="BR124" s="60" t="n">
        <f aca="false">BQ124^2</f>
        <v>28515600</v>
      </c>
      <c r="BS124" s="60" t="n">
        <f aca="false">(BQ124-BQ123)^2</f>
        <v>128165041</v>
      </c>
      <c r="BT124" s="60" t="n">
        <f aca="false">IF(D124&gt;2000,ABS(BQ124)/D124,"")</f>
        <v>1</v>
      </c>
      <c r="BU124" s="60" t="n">
        <v>89</v>
      </c>
      <c r="BV124" s="62" t="n">
        <v>0.5433</v>
      </c>
      <c r="BW124" s="60" t="n">
        <v>313.3</v>
      </c>
      <c r="BX124" s="60" t="n">
        <f aca="false">AA124</f>
        <v>0</v>
      </c>
      <c r="BY124" s="60" t="n">
        <f aca="false">H124</f>
        <v>231.83</v>
      </c>
      <c r="BZ124" s="60" t="n">
        <f aca="false">Z124</f>
        <v>0</v>
      </c>
      <c r="CA124" s="60" t="n">
        <f aca="false">AB124+AC124+AD124</f>
        <v>0</v>
      </c>
      <c r="CB124" s="60" t="n">
        <f aca="false">AE124+AF124+AG124+AH124+AI124</f>
        <v>0</v>
      </c>
    </row>
    <row r="125" customFormat="false" ht="15" hidden="false" customHeight="false" outlineLevel="0" collapsed="false">
      <c r="A125" s="58" t="n">
        <v>45767</v>
      </c>
      <c r="B125" s="59" t="n">
        <f aca="false">YEAR(A125)</f>
        <v>2025</v>
      </c>
      <c r="C125" s="59" t="n">
        <f aca="false">MONTH(A125)</f>
        <v>4</v>
      </c>
      <c r="D125" s="60" t="n">
        <v>4474</v>
      </c>
      <c r="E125" s="61" t="n">
        <v>0.8168</v>
      </c>
      <c r="F125" s="61" t="n">
        <v>1.2689</v>
      </c>
      <c r="G125" s="61" t="n">
        <v>0</v>
      </c>
      <c r="H125" s="60" t="n">
        <v>210.02</v>
      </c>
      <c r="I125" s="60" t="n">
        <f aca="false">H125+'Level 4'!$C$12/100*I124</f>
        <v>210.02</v>
      </c>
      <c r="J125" s="60" t="n">
        <v>19.98</v>
      </c>
      <c r="K125" s="60" t="n">
        <v>9.52</v>
      </c>
      <c r="L125" s="60" t="n">
        <v>5.82</v>
      </c>
      <c r="M125" s="60" t="n">
        <f aca="false">L125+Answers!$C$14/100*M124</f>
        <v>18.5243176188017</v>
      </c>
      <c r="N125" s="60" t="n">
        <v>71.7</v>
      </c>
      <c r="O125" s="60" t="n">
        <v>44.41</v>
      </c>
      <c r="P125" s="60" t="n">
        <v>0</v>
      </c>
      <c r="Q125" s="60" t="n">
        <v>26.6</v>
      </c>
      <c r="R125" s="60" t="n">
        <v>62.84</v>
      </c>
      <c r="S125" s="60" t="n">
        <f aca="false">N125+Answers!$C$16/100*S124</f>
        <v>288.96778375504</v>
      </c>
      <c r="T125" s="60" t="n">
        <f aca="false">O125+Answers!$C$17/100*T124</f>
        <v>196.363008284912</v>
      </c>
      <c r="U125" s="60" t="n">
        <f aca="false">P125+Answers!$C$18/100*U124</f>
        <v>166.912312935737</v>
      </c>
      <c r="V125" s="60" t="n">
        <f aca="false">Q125+Answers!$C$19/100*V124</f>
        <v>149.552050325593</v>
      </c>
      <c r="W125" s="60" t="n">
        <f aca="false">R125+Answers!$C$20/100*W124</f>
        <v>632.656065351226</v>
      </c>
      <c r="X125" s="60" t="n">
        <f aca="false">IF('Level 1'!$C$11="",0,'Level 1'!$C$11)*E125</f>
        <v>0</v>
      </c>
      <c r="Y125" s="60" t="n">
        <f aca="false">-IF('Level 2'!$C$11="",0,'Level 2'!$C$11)*F125</f>
        <v>-0</v>
      </c>
      <c r="Z125" s="60" t="n">
        <f aca="false">IF('Level 3'!$C$11="",0,'Level 3'!$C$11)*G125</f>
        <v>0</v>
      </c>
      <c r="AA125" s="60" t="n">
        <f aca="false">IF('Level 4'!$C$11="",0,'Level 4'!$C$11)*(1-'Level 4'!$C$12/100)*I125</f>
        <v>0</v>
      </c>
      <c r="AB125" s="60" t="n">
        <f aca="false">IF('Level 5'!$C$11="",0,'Level 5'!$C$11)*J125</f>
        <v>0</v>
      </c>
      <c r="AC125" s="60" t="n">
        <f aca="false">IF('Level 5'!$C$12="",0,'Level 5'!$C$12)*K125</f>
        <v>0</v>
      </c>
      <c r="AD125" s="60" t="n">
        <f aca="false">IF('Level 5'!$C$13="",0,'Level 5'!$C$13)*(1-Answers!$C$14/100)*M125</f>
        <v>0</v>
      </c>
      <c r="AE125" s="60" t="n">
        <f aca="false">IF('Level 6'!$C$11="",0,'Level 6'!$C$11)*(1-Answers!$C$16/100)*S125</f>
        <v>0</v>
      </c>
      <c r="AF125" s="60" t="n">
        <f aca="false">IF('Level 6'!$C$12="",0,'Level 6'!$C$12)*(1-Answers!$C$17/100)*T125</f>
        <v>0</v>
      </c>
      <c r="AG125" s="60" t="n">
        <f aca="false">IF('Level 6'!$C$13="",0,'Level 6'!$C$13)*(1-Answers!$C$18/100)*U125</f>
        <v>0</v>
      </c>
      <c r="AH125" s="60" t="n">
        <f aca="false">IF('Level 6'!$C$14="",0,'Level 6'!$C$14)*(1-Answers!$C$19/100)*V125</f>
        <v>0</v>
      </c>
      <c r="AI125" s="60" t="n">
        <f aca="false">IF('Level 6'!$C$15="",0,'Level 6'!$C$15)*(1-Answers!$C$20/100)*W125</f>
        <v>0</v>
      </c>
      <c r="AJ125" s="60" t="n">
        <f aca="false">X125</f>
        <v>0</v>
      </c>
      <c r="AK125" s="60" t="n">
        <f aca="false">X125+Y125</f>
        <v>0</v>
      </c>
      <c r="AL125" s="60" t="n">
        <f aca="false">AK125+Z125</f>
        <v>0</v>
      </c>
      <c r="AM125" s="60" t="n">
        <f aca="false">AL125+AA125</f>
        <v>0</v>
      </c>
      <c r="AN125" s="60" t="n">
        <f aca="false">AM125+AB125+AC125+AD125</f>
        <v>0</v>
      </c>
      <c r="AO125" s="60" t="n">
        <f aca="false">AL125+AE125+AF125+AG125+AH125+AI125+AB125+AC125+AD125</f>
        <v>0</v>
      </c>
      <c r="AP125" s="60" t="n">
        <f aca="false">IF(Answers!$C$22="Yes",AO125,AN125)</f>
        <v>0</v>
      </c>
      <c r="AQ125" s="60" t="n">
        <v>715.2</v>
      </c>
      <c r="AR125" s="60" t="n">
        <v>-1208.6</v>
      </c>
      <c r="AS125" s="60" t="n">
        <v>0</v>
      </c>
      <c r="AT125" s="60" t="n">
        <v>4491.3</v>
      </c>
      <c r="AU125" s="60" t="n">
        <v>47.5</v>
      </c>
      <c r="AV125" s="60" t="n">
        <v>25.5</v>
      </c>
      <c r="AW125" s="60" t="n">
        <v>11.9</v>
      </c>
      <c r="AX125" s="60" t="n">
        <v>947.7</v>
      </c>
      <c r="AY125" s="60" t="n">
        <v>643.9</v>
      </c>
      <c r="AZ125" s="60" t="n">
        <v>589.1</v>
      </c>
      <c r="BA125" s="60" t="n">
        <v>143.5</v>
      </c>
      <c r="BB125" s="60" t="n">
        <v>2167.2</v>
      </c>
      <c r="BC125" s="60" t="n">
        <f aca="false">AQ125+AR125+AS125+AT125+AU125+AV125+AW125</f>
        <v>4082.8</v>
      </c>
      <c r="BD125" s="60" t="n">
        <f aca="false">AQ125</f>
        <v>715.2</v>
      </c>
      <c r="BE125" s="60" t="n">
        <f aca="false">AQ125+AR125</f>
        <v>-493.4</v>
      </c>
      <c r="BF125" s="60" t="n">
        <f aca="false">BE125+AS125</f>
        <v>-493.4</v>
      </c>
      <c r="BG125" s="60" t="n">
        <f aca="false">BF125+AT125</f>
        <v>3997.9</v>
      </c>
      <c r="BH125" s="60" t="n">
        <f aca="false">BG125+AU125+AV125+AW125</f>
        <v>4082.8</v>
      </c>
      <c r="BI125" s="60" t="n">
        <f aca="false">BC125</f>
        <v>4082.8</v>
      </c>
      <c r="BJ125" s="60" t="n">
        <f aca="false">IF('Level 1'!$C$31="Yes",BD125,AJ125)</f>
        <v>0</v>
      </c>
      <c r="BK125" s="60" t="n">
        <f aca="false">IF('Level 2'!$C$31="Yes",BE125,AK125)</f>
        <v>0</v>
      </c>
      <c r="BL125" s="60" t="n">
        <f aca="false">IF('Level 3'!$C$31="Yes",BF125,AL125)</f>
        <v>0</v>
      </c>
      <c r="BM125" s="60" t="n">
        <f aca="false">IF('Level 4'!$C$31="Yes",BG125,AM125)</f>
        <v>0</v>
      </c>
      <c r="BN125" s="60" t="n">
        <f aca="false">IF('Level 5'!$C$31="Yes",BH125,AN125)</f>
        <v>0</v>
      </c>
      <c r="BO125" s="60" t="n">
        <f aca="false">IF('Level 6'!$C$31="Yes",BI125,AO125)</f>
        <v>0</v>
      </c>
      <c r="BP125" s="60" t="n">
        <f aca="false">IF('Level 7'!$C$31="Yes",BC125,AP125)</f>
        <v>0</v>
      </c>
      <c r="BQ125" s="60" t="n">
        <f aca="false">D125-AP125</f>
        <v>4474</v>
      </c>
      <c r="BR125" s="60" t="n">
        <f aca="false">BQ125^2</f>
        <v>20016676</v>
      </c>
      <c r="BS125" s="60" t="n">
        <f aca="false">(BQ125-BQ124)^2</f>
        <v>749956</v>
      </c>
      <c r="BT125" s="60" t="n">
        <f aca="false">IF(D125&gt;2000,ABS(BQ125)/D125,"")</f>
        <v>1</v>
      </c>
      <c r="BU125" s="60" t="n">
        <v>75</v>
      </c>
      <c r="BV125" s="62" t="n">
        <v>0.5433</v>
      </c>
      <c r="BW125" s="60" t="n">
        <v>338.2</v>
      </c>
      <c r="BX125" s="60" t="n">
        <f aca="false">AA125</f>
        <v>0</v>
      </c>
      <c r="BY125" s="60" t="n">
        <f aca="false">H125</f>
        <v>210.02</v>
      </c>
      <c r="BZ125" s="60" t="n">
        <f aca="false">Z125</f>
        <v>0</v>
      </c>
      <c r="CA125" s="60" t="n">
        <f aca="false">AB125+AC125+AD125</f>
        <v>0</v>
      </c>
      <c r="CB125" s="60" t="n">
        <f aca="false">AE125+AF125+AG125+AH125+AI125</f>
        <v>0</v>
      </c>
    </row>
    <row r="126" customFormat="false" ht="15" hidden="false" customHeight="false" outlineLevel="0" collapsed="false">
      <c r="A126" s="58" t="n">
        <v>45774</v>
      </c>
      <c r="B126" s="59" t="n">
        <f aca="false">YEAR(A126)</f>
        <v>2025</v>
      </c>
      <c r="C126" s="59" t="n">
        <f aca="false">MONTH(A126)</f>
        <v>4</v>
      </c>
      <c r="D126" s="60" t="n">
        <v>6144</v>
      </c>
      <c r="E126" s="61" t="n">
        <v>0.7283</v>
      </c>
      <c r="F126" s="61" t="n">
        <v>1.3019</v>
      </c>
      <c r="G126" s="61" t="n">
        <v>0</v>
      </c>
      <c r="H126" s="60" t="n">
        <v>222.55</v>
      </c>
      <c r="I126" s="60" t="n">
        <f aca="false">H126+'Level 4'!$C$12/100*I125</f>
        <v>222.55</v>
      </c>
      <c r="J126" s="60" t="n">
        <v>20.64</v>
      </c>
      <c r="K126" s="60" t="n">
        <v>16.45</v>
      </c>
      <c r="L126" s="60" t="n">
        <v>5.77</v>
      </c>
      <c r="M126" s="60" t="n">
        <f aca="false">L126+Answers!$C$14/100*M125</f>
        <v>16.884590571281</v>
      </c>
      <c r="N126" s="60" t="n">
        <v>57.16</v>
      </c>
      <c r="O126" s="60" t="n">
        <v>32.15</v>
      </c>
      <c r="P126" s="60" t="n">
        <v>0</v>
      </c>
      <c r="Q126" s="60" t="n">
        <v>59.33</v>
      </c>
      <c r="R126" s="60" t="n">
        <v>67.77</v>
      </c>
      <c r="S126" s="60" t="n">
        <f aca="false">N126+Answers!$C$16/100*S125</f>
        <v>288.334227004032</v>
      </c>
      <c r="T126" s="60" t="n">
        <f aca="false">O126+Answers!$C$17/100*T125</f>
        <v>189.24040662793</v>
      </c>
      <c r="U126" s="60" t="n">
        <f aca="false">P126+Answers!$C$18/100*U125</f>
        <v>133.52985034859</v>
      </c>
      <c r="V126" s="60" t="n">
        <f aca="false">Q126+Answers!$C$19/100*V125</f>
        <v>178.971640260475</v>
      </c>
      <c r="W126" s="60" t="n">
        <f aca="false">R126+Answers!$C$20/100*W125</f>
        <v>573.894852280981</v>
      </c>
      <c r="X126" s="60" t="n">
        <f aca="false">IF('Level 1'!$C$11="",0,'Level 1'!$C$11)*E126</f>
        <v>0</v>
      </c>
      <c r="Y126" s="60" t="n">
        <f aca="false">-IF('Level 2'!$C$11="",0,'Level 2'!$C$11)*F126</f>
        <v>-0</v>
      </c>
      <c r="Z126" s="60" t="n">
        <f aca="false">IF('Level 3'!$C$11="",0,'Level 3'!$C$11)*G126</f>
        <v>0</v>
      </c>
      <c r="AA126" s="60" t="n">
        <f aca="false">IF('Level 4'!$C$11="",0,'Level 4'!$C$11)*(1-'Level 4'!$C$12/100)*I126</f>
        <v>0</v>
      </c>
      <c r="AB126" s="60" t="n">
        <f aca="false">IF('Level 5'!$C$11="",0,'Level 5'!$C$11)*J126</f>
        <v>0</v>
      </c>
      <c r="AC126" s="60" t="n">
        <f aca="false">IF('Level 5'!$C$12="",0,'Level 5'!$C$12)*K126</f>
        <v>0</v>
      </c>
      <c r="AD126" s="60" t="n">
        <f aca="false">IF('Level 5'!$C$13="",0,'Level 5'!$C$13)*(1-Answers!$C$14/100)*M126</f>
        <v>0</v>
      </c>
      <c r="AE126" s="60" t="n">
        <f aca="false">IF('Level 6'!$C$11="",0,'Level 6'!$C$11)*(1-Answers!$C$16/100)*S126</f>
        <v>0</v>
      </c>
      <c r="AF126" s="60" t="n">
        <f aca="false">IF('Level 6'!$C$12="",0,'Level 6'!$C$12)*(1-Answers!$C$17/100)*T126</f>
        <v>0</v>
      </c>
      <c r="AG126" s="60" t="n">
        <f aca="false">IF('Level 6'!$C$13="",0,'Level 6'!$C$13)*(1-Answers!$C$18/100)*U126</f>
        <v>0</v>
      </c>
      <c r="AH126" s="60" t="n">
        <f aca="false">IF('Level 6'!$C$14="",0,'Level 6'!$C$14)*(1-Answers!$C$19/100)*V126</f>
        <v>0</v>
      </c>
      <c r="AI126" s="60" t="n">
        <f aca="false">IF('Level 6'!$C$15="",0,'Level 6'!$C$15)*(1-Answers!$C$20/100)*W126</f>
        <v>0</v>
      </c>
      <c r="AJ126" s="60" t="n">
        <f aca="false">X126</f>
        <v>0</v>
      </c>
      <c r="AK126" s="60" t="n">
        <f aca="false">X126+Y126</f>
        <v>0</v>
      </c>
      <c r="AL126" s="60" t="n">
        <f aca="false">AK126+Z126</f>
        <v>0</v>
      </c>
      <c r="AM126" s="60" t="n">
        <f aca="false">AL126+AA126</f>
        <v>0</v>
      </c>
      <c r="AN126" s="60" t="n">
        <f aca="false">AM126+AB126+AC126+AD126</f>
        <v>0</v>
      </c>
      <c r="AO126" s="60" t="n">
        <f aca="false">AL126+AE126+AF126+AG126+AH126+AI126+AB126+AC126+AD126</f>
        <v>0</v>
      </c>
      <c r="AP126" s="60" t="n">
        <f aca="false">IF(Answers!$C$22="Yes",AO126,AN126)</f>
        <v>0</v>
      </c>
      <c r="AQ126" s="60" t="n">
        <v>637.7</v>
      </c>
      <c r="AR126" s="60" t="n">
        <v>-1239.9</v>
      </c>
      <c r="AS126" s="60" t="n">
        <v>0</v>
      </c>
      <c r="AT126" s="60" t="n">
        <v>4294.7</v>
      </c>
      <c r="AU126" s="60" t="n">
        <v>47</v>
      </c>
      <c r="AV126" s="60" t="n">
        <v>44.2</v>
      </c>
      <c r="AW126" s="60" t="n">
        <v>7.7</v>
      </c>
      <c r="AX126" s="60" t="n">
        <v>955.4</v>
      </c>
      <c r="AY126" s="60" t="n">
        <v>631.4</v>
      </c>
      <c r="AZ126" s="60" t="n">
        <v>500.7</v>
      </c>
      <c r="BA126" s="60" t="n">
        <v>171.8</v>
      </c>
      <c r="BB126" s="60" t="n">
        <v>2035.4</v>
      </c>
      <c r="BC126" s="60" t="n">
        <f aca="false">AQ126+AR126+AS126+AT126+AU126+AV126+AW126</f>
        <v>3791.4</v>
      </c>
      <c r="BD126" s="60" t="n">
        <f aca="false">AQ126</f>
        <v>637.7</v>
      </c>
      <c r="BE126" s="60" t="n">
        <f aca="false">AQ126+AR126</f>
        <v>-602.2</v>
      </c>
      <c r="BF126" s="60" t="n">
        <f aca="false">BE126+AS126</f>
        <v>-602.2</v>
      </c>
      <c r="BG126" s="60" t="n">
        <f aca="false">BF126+AT126</f>
        <v>3692.5</v>
      </c>
      <c r="BH126" s="60" t="n">
        <f aca="false">BG126+AU126+AV126+AW126</f>
        <v>3791.4</v>
      </c>
      <c r="BI126" s="60" t="n">
        <f aca="false">BC126</f>
        <v>3791.4</v>
      </c>
      <c r="BJ126" s="60" t="n">
        <f aca="false">IF('Level 1'!$C$31="Yes",BD126,AJ126)</f>
        <v>0</v>
      </c>
      <c r="BK126" s="60" t="n">
        <f aca="false">IF('Level 2'!$C$31="Yes",BE126,AK126)</f>
        <v>0</v>
      </c>
      <c r="BL126" s="60" t="n">
        <f aca="false">IF('Level 3'!$C$31="Yes",BF126,AL126)</f>
        <v>0</v>
      </c>
      <c r="BM126" s="60" t="n">
        <f aca="false">IF('Level 4'!$C$31="Yes",BG126,AM126)</f>
        <v>0</v>
      </c>
      <c r="BN126" s="60" t="n">
        <f aca="false">IF('Level 5'!$C$31="Yes",BH126,AN126)</f>
        <v>0</v>
      </c>
      <c r="BO126" s="60" t="n">
        <f aca="false">IF('Level 6'!$C$31="Yes",BI126,AO126)</f>
        <v>0</v>
      </c>
      <c r="BP126" s="60" t="n">
        <f aca="false">IF('Level 7'!$C$31="Yes",BC126,AP126)</f>
        <v>0</v>
      </c>
      <c r="BQ126" s="60" t="n">
        <f aca="false">D126-AP126</f>
        <v>6144</v>
      </c>
      <c r="BR126" s="60" t="n">
        <f aca="false">BQ126^2</f>
        <v>37748736</v>
      </c>
      <c r="BS126" s="60" t="n">
        <f aca="false">(BQ126-BQ125)^2</f>
        <v>2788900</v>
      </c>
      <c r="BT126" s="60" t="n">
        <f aca="false">IF(D126&gt;2000,ABS(BQ126)/D126,"")</f>
        <v>1</v>
      </c>
      <c r="BU126" s="60" t="n">
        <v>74</v>
      </c>
      <c r="BV126" s="62" t="n">
        <v>0.5543</v>
      </c>
      <c r="BW126" s="60" t="n">
        <v>411.5</v>
      </c>
      <c r="BX126" s="60" t="n">
        <f aca="false">AA126</f>
        <v>0</v>
      </c>
      <c r="BY126" s="60" t="n">
        <f aca="false">H126</f>
        <v>222.55</v>
      </c>
      <c r="BZ126" s="60" t="n">
        <f aca="false">Z126</f>
        <v>0</v>
      </c>
      <c r="CA126" s="60" t="n">
        <f aca="false">AB126+AC126+AD126</f>
        <v>0</v>
      </c>
      <c r="CB126" s="60" t="n">
        <f aca="false">AE126+AF126+AG126+AH126+AI126</f>
        <v>0</v>
      </c>
    </row>
    <row r="127" customFormat="false" ht="15" hidden="false" customHeight="false" outlineLevel="0" collapsed="false">
      <c r="A127" s="58" t="n">
        <v>45781</v>
      </c>
      <c r="B127" s="59" t="n">
        <f aca="false">YEAR(A127)</f>
        <v>2025</v>
      </c>
      <c r="C127" s="59" t="n">
        <f aca="false">MONTH(A127)</f>
        <v>5</v>
      </c>
      <c r="D127" s="60" t="n">
        <v>11482</v>
      </c>
      <c r="E127" s="61" t="n">
        <v>7.4431</v>
      </c>
      <c r="F127" s="61" t="n">
        <v>0.5119</v>
      </c>
      <c r="G127" s="61" t="n">
        <v>0</v>
      </c>
      <c r="H127" s="60" t="n">
        <v>202.33</v>
      </c>
      <c r="I127" s="60" t="n">
        <f aca="false">H127+'Level 4'!$C$12/100*I126</f>
        <v>202.33</v>
      </c>
      <c r="J127" s="60" t="n">
        <v>25.73</v>
      </c>
      <c r="K127" s="60" t="n">
        <v>24.77</v>
      </c>
      <c r="L127" s="60" t="n">
        <v>4.89</v>
      </c>
      <c r="M127" s="60" t="n">
        <f aca="false">L127+Answers!$C$14/100*M126</f>
        <v>15.0207543427686</v>
      </c>
      <c r="N127" s="60" t="n">
        <v>32.59</v>
      </c>
      <c r="O127" s="60" t="n">
        <v>32.22</v>
      </c>
      <c r="P127" s="60" t="n">
        <v>0</v>
      </c>
      <c r="Q127" s="60" t="n">
        <v>57</v>
      </c>
      <c r="R127" s="60" t="n">
        <v>69.04</v>
      </c>
      <c r="S127" s="60" t="n">
        <f aca="false">N127+Answers!$C$16/100*S126</f>
        <v>263.257381603226</v>
      </c>
      <c r="T127" s="60" t="n">
        <f aca="false">O127+Answers!$C$17/100*T126</f>
        <v>183.612325302344</v>
      </c>
      <c r="U127" s="60" t="n">
        <f aca="false">P127+Answers!$C$18/100*U126</f>
        <v>106.823880278872</v>
      </c>
      <c r="V127" s="60" t="n">
        <f aca="false">Q127+Answers!$C$19/100*V126</f>
        <v>200.17731220838</v>
      </c>
      <c r="W127" s="60" t="n">
        <f aca="false">R127+Answers!$C$20/100*W126</f>
        <v>528.155881824785</v>
      </c>
      <c r="X127" s="60" t="n">
        <f aca="false">IF('Level 1'!$C$11="",0,'Level 1'!$C$11)*E127</f>
        <v>0</v>
      </c>
      <c r="Y127" s="60" t="n">
        <f aca="false">-IF('Level 2'!$C$11="",0,'Level 2'!$C$11)*F127</f>
        <v>-0</v>
      </c>
      <c r="Z127" s="60" t="n">
        <f aca="false">IF('Level 3'!$C$11="",0,'Level 3'!$C$11)*G127</f>
        <v>0</v>
      </c>
      <c r="AA127" s="60" t="n">
        <f aca="false">IF('Level 4'!$C$11="",0,'Level 4'!$C$11)*(1-'Level 4'!$C$12/100)*I127</f>
        <v>0</v>
      </c>
      <c r="AB127" s="60" t="n">
        <f aca="false">IF('Level 5'!$C$11="",0,'Level 5'!$C$11)*J127</f>
        <v>0</v>
      </c>
      <c r="AC127" s="60" t="n">
        <f aca="false">IF('Level 5'!$C$12="",0,'Level 5'!$C$12)*K127</f>
        <v>0</v>
      </c>
      <c r="AD127" s="60" t="n">
        <f aca="false">IF('Level 5'!$C$13="",0,'Level 5'!$C$13)*(1-Answers!$C$14/100)*M127</f>
        <v>0</v>
      </c>
      <c r="AE127" s="60" t="n">
        <f aca="false">IF('Level 6'!$C$11="",0,'Level 6'!$C$11)*(1-Answers!$C$16/100)*S127</f>
        <v>0</v>
      </c>
      <c r="AF127" s="60" t="n">
        <f aca="false">IF('Level 6'!$C$12="",0,'Level 6'!$C$12)*(1-Answers!$C$17/100)*T127</f>
        <v>0</v>
      </c>
      <c r="AG127" s="60" t="n">
        <f aca="false">IF('Level 6'!$C$13="",0,'Level 6'!$C$13)*(1-Answers!$C$18/100)*U127</f>
        <v>0</v>
      </c>
      <c r="AH127" s="60" t="n">
        <f aca="false">IF('Level 6'!$C$14="",0,'Level 6'!$C$14)*(1-Answers!$C$19/100)*V127</f>
        <v>0</v>
      </c>
      <c r="AI127" s="60" t="n">
        <f aca="false">IF('Level 6'!$C$15="",0,'Level 6'!$C$15)*(1-Answers!$C$20/100)*W127</f>
        <v>0</v>
      </c>
      <c r="AJ127" s="60" t="n">
        <f aca="false">X127</f>
        <v>0</v>
      </c>
      <c r="AK127" s="60" t="n">
        <f aca="false">X127+Y127</f>
        <v>0</v>
      </c>
      <c r="AL127" s="60" t="n">
        <f aca="false">AK127+Z127</f>
        <v>0</v>
      </c>
      <c r="AM127" s="60" t="n">
        <f aca="false">AL127+AA127</f>
        <v>0</v>
      </c>
      <c r="AN127" s="60" t="n">
        <f aca="false">AM127+AB127+AC127+AD127</f>
        <v>0</v>
      </c>
      <c r="AO127" s="60" t="n">
        <f aca="false">AL127+AE127+AF127+AG127+AH127+AI127+AB127+AC127+AD127</f>
        <v>0</v>
      </c>
      <c r="AP127" s="60" t="n">
        <f aca="false">IF(Answers!$C$22="Yes",AO127,AN127)</f>
        <v>0</v>
      </c>
      <c r="AQ127" s="60" t="n">
        <v>6517.3</v>
      </c>
      <c r="AR127" s="60" t="n">
        <v>-487.6</v>
      </c>
      <c r="AS127" s="60" t="n">
        <v>0</v>
      </c>
      <c r="AT127" s="60" t="n">
        <v>4047.8</v>
      </c>
      <c r="AU127" s="60" t="n">
        <v>147.7</v>
      </c>
      <c r="AV127" s="60" t="n">
        <v>66.5</v>
      </c>
      <c r="AW127" s="60" t="n">
        <v>5</v>
      </c>
      <c r="AX127" s="60" t="n">
        <v>897.5</v>
      </c>
      <c r="AY127" s="60" t="n">
        <v>620.9</v>
      </c>
      <c r="AZ127" s="60" t="n">
        <v>425.6</v>
      </c>
      <c r="BA127" s="60" t="n">
        <v>194</v>
      </c>
      <c r="BB127" s="60" t="n">
        <v>1909.8</v>
      </c>
      <c r="BC127" s="60" t="n">
        <f aca="false">AQ127+AR127+AS127+AT127+AU127+AV127+AW127</f>
        <v>10296.7</v>
      </c>
      <c r="BD127" s="60" t="n">
        <f aca="false">AQ127</f>
        <v>6517.3</v>
      </c>
      <c r="BE127" s="60" t="n">
        <f aca="false">AQ127+AR127</f>
        <v>6029.7</v>
      </c>
      <c r="BF127" s="60" t="n">
        <f aca="false">BE127+AS127</f>
        <v>6029.7</v>
      </c>
      <c r="BG127" s="60" t="n">
        <f aca="false">BF127+AT127</f>
        <v>10077.5</v>
      </c>
      <c r="BH127" s="60" t="n">
        <f aca="false">BG127+AU127+AV127+AW127</f>
        <v>10296.7</v>
      </c>
      <c r="BI127" s="60" t="n">
        <f aca="false">BC127</f>
        <v>10296.7</v>
      </c>
      <c r="BJ127" s="60" t="n">
        <f aca="false">IF('Level 1'!$C$31="Yes",BD127,AJ127)</f>
        <v>0</v>
      </c>
      <c r="BK127" s="60" t="n">
        <f aca="false">IF('Level 2'!$C$31="Yes",BE127,AK127)</f>
        <v>0</v>
      </c>
      <c r="BL127" s="60" t="n">
        <f aca="false">IF('Level 3'!$C$31="Yes",BF127,AL127)</f>
        <v>0</v>
      </c>
      <c r="BM127" s="60" t="n">
        <f aca="false">IF('Level 4'!$C$31="Yes",BG127,AM127)</f>
        <v>0</v>
      </c>
      <c r="BN127" s="60" t="n">
        <f aca="false">IF('Level 5'!$C$31="Yes",BH127,AN127)</f>
        <v>0</v>
      </c>
      <c r="BO127" s="60" t="n">
        <f aca="false">IF('Level 6'!$C$31="Yes",BI127,AO127)</f>
        <v>0</v>
      </c>
      <c r="BP127" s="60" t="n">
        <f aca="false">IF('Level 7'!$C$31="Yes",BC127,AP127)</f>
        <v>0</v>
      </c>
      <c r="BQ127" s="60" t="n">
        <f aca="false">D127-AP127</f>
        <v>11482</v>
      </c>
      <c r="BR127" s="60" t="n">
        <f aca="false">BQ127^2</f>
        <v>131836324</v>
      </c>
      <c r="BS127" s="60" t="n">
        <f aca="false">(BQ127-BQ126)^2</f>
        <v>28494244</v>
      </c>
      <c r="BT127" s="60" t="n">
        <f aca="false">IF(D127&gt;2000,ABS(BQ127)/D127,"")</f>
        <v>1</v>
      </c>
      <c r="BU127" s="60" t="n">
        <v>128</v>
      </c>
      <c r="BV127" s="62" t="n">
        <v>0.5626</v>
      </c>
      <c r="BW127" s="60" t="n">
        <v>436.7</v>
      </c>
      <c r="BX127" s="60" t="n">
        <f aca="false">AA127</f>
        <v>0</v>
      </c>
      <c r="BY127" s="60" t="n">
        <f aca="false">H127</f>
        <v>202.33</v>
      </c>
      <c r="BZ127" s="60" t="n">
        <f aca="false">Z127</f>
        <v>0</v>
      </c>
      <c r="CA127" s="60" t="n">
        <f aca="false">AB127+AC127+AD127</f>
        <v>0</v>
      </c>
      <c r="CB127" s="60" t="n">
        <f aca="false">AE127+AF127+AG127+AH127+AI127</f>
        <v>0</v>
      </c>
    </row>
    <row r="128" customFormat="false" ht="15" hidden="false" customHeight="false" outlineLevel="0" collapsed="false">
      <c r="A128" s="58" t="n">
        <v>45788</v>
      </c>
      <c r="B128" s="59" t="n">
        <f aca="false">YEAR(A128)</f>
        <v>2025</v>
      </c>
      <c r="C128" s="59" t="n">
        <f aca="false">MONTH(A128)</f>
        <v>5</v>
      </c>
      <c r="D128" s="60" t="n">
        <v>8552</v>
      </c>
      <c r="E128" s="61" t="n">
        <v>0.878</v>
      </c>
      <c r="F128" s="61" t="n">
        <v>0.6555</v>
      </c>
      <c r="G128" s="61" t="n">
        <v>0</v>
      </c>
      <c r="H128" s="60" t="n">
        <v>124.7</v>
      </c>
      <c r="I128" s="60" t="n">
        <f aca="false">H128+'Level 4'!$C$12/100*I127</f>
        <v>124.7</v>
      </c>
      <c r="J128" s="60" t="n">
        <v>17.55</v>
      </c>
      <c r="K128" s="60" t="n">
        <v>40.75</v>
      </c>
      <c r="L128" s="60" t="n">
        <v>6.22</v>
      </c>
      <c r="M128" s="60" t="n">
        <f aca="false">L128+Answers!$C$14/100*M127</f>
        <v>15.2324526056612</v>
      </c>
      <c r="N128" s="60" t="n">
        <v>0</v>
      </c>
      <c r="O128" s="60" t="n">
        <v>39.08</v>
      </c>
      <c r="P128" s="60" t="n">
        <v>0</v>
      </c>
      <c r="Q128" s="60" t="n">
        <v>0</v>
      </c>
      <c r="R128" s="60" t="n">
        <v>77.07</v>
      </c>
      <c r="S128" s="60" t="n">
        <f aca="false">N128+Answers!$C$16/100*S127</f>
        <v>210.60590528258</v>
      </c>
      <c r="T128" s="60" t="n">
        <f aca="false">O128+Answers!$C$17/100*T127</f>
        <v>185.969860241875</v>
      </c>
      <c r="U128" s="60" t="n">
        <f aca="false">P128+Answers!$C$18/100*U127</f>
        <v>85.4591042230975</v>
      </c>
      <c r="V128" s="60" t="n">
        <f aca="false">Q128+Answers!$C$19/100*V127</f>
        <v>160.141849766704</v>
      </c>
      <c r="W128" s="60" t="n">
        <f aca="false">R128+Answers!$C$20/100*W127</f>
        <v>499.594705459828</v>
      </c>
      <c r="X128" s="60" t="n">
        <f aca="false">IF('Level 1'!$C$11="",0,'Level 1'!$C$11)*E128</f>
        <v>0</v>
      </c>
      <c r="Y128" s="60" t="n">
        <f aca="false">-IF('Level 2'!$C$11="",0,'Level 2'!$C$11)*F128</f>
        <v>-0</v>
      </c>
      <c r="Z128" s="60" t="n">
        <f aca="false">IF('Level 3'!$C$11="",0,'Level 3'!$C$11)*G128</f>
        <v>0</v>
      </c>
      <c r="AA128" s="60" t="n">
        <f aca="false">IF('Level 4'!$C$11="",0,'Level 4'!$C$11)*(1-'Level 4'!$C$12/100)*I128</f>
        <v>0</v>
      </c>
      <c r="AB128" s="60" t="n">
        <f aca="false">IF('Level 5'!$C$11="",0,'Level 5'!$C$11)*J128</f>
        <v>0</v>
      </c>
      <c r="AC128" s="60" t="n">
        <f aca="false">IF('Level 5'!$C$12="",0,'Level 5'!$C$12)*K128</f>
        <v>0</v>
      </c>
      <c r="AD128" s="60" t="n">
        <f aca="false">IF('Level 5'!$C$13="",0,'Level 5'!$C$13)*(1-Answers!$C$14/100)*M128</f>
        <v>0</v>
      </c>
      <c r="AE128" s="60" t="n">
        <f aca="false">IF('Level 6'!$C$11="",0,'Level 6'!$C$11)*(1-Answers!$C$16/100)*S128</f>
        <v>0</v>
      </c>
      <c r="AF128" s="60" t="n">
        <f aca="false">IF('Level 6'!$C$12="",0,'Level 6'!$C$12)*(1-Answers!$C$17/100)*T128</f>
        <v>0</v>
      </c>
      <c r="AG128" s="60" t="n">
        <f aca="false">IF('Level 6'!$C$13="",0,'Level 6'!$C$13)*(1-Answers!$C$18/100)*U128</f>
        <v>0</v>
      </c>
      <c r="AH128" s="60" t="n">
        <f aca="false">IF('Level 6'!$C$14="",0,'Level 6'!$C$14)*(1-Answers!$C$19/100)*V128</f>
        <v>0</v>
      </c>
      <c r="AI128" s="60" t="n">
        <f aca="false">IF('Level 6'!$C$15="",0,'Level 6'!$C$15)*(1-Answers!$C$20/100)*W128</f>
        <v>0</v>
      </c>
      <c r="AJ128" s="60" t="n">
        <f aca="false">X128</f>
        <v>0</v>
      </c>
      <c r="AK128" s="60" t="n">
        <f aca="false">X128+Y128</f>
        <v>0</v>
      </c>
      <c r="AL128" s="60" t="n">
        <f aca="false">AK128+Z128</f>
        <v>0</v>
      </c>
      <c r="AM128" s="60" t="n">
        <f aca="false">AL128+AA128</f>
        <v>0</v>
      </c>
      <c r="AN128" s="60" t="n">
        <f aca="false">AM128+AB128+AC128+AD128</f>
        <v>0</v>
      </c>
      <c r="AO128" s="60" t="n">
        <f aca="false">AL128+AE128+AF128+AG128+AH128+AI128+AB128+AC128+AD128</f>
        <v>0</v>
      </c>
      <c r="AP128" s="60" t="n">
        <f aca="false">IF(Answers!$C$22="Yes",AO128,AN128)</f>
        <v>0</v>
      </c>
      <c r="AQ128" s="60" t="n">
        <v>768.8</v>
      </c>
      <c r="AR128" s="60" t="n">
        <v>-624.3</v>
      </c>
      <c r="AS128" s="60" t="n">
        <v>0</v>
      </c>
      <c r="AT128" s="60" t="n">
        <v>3731.9</v>
      </c>
      <c r="AU128" s="60" t="n">
        <v>164.5</v>
      </c>
      <c r="AV128" s="60" t="n">
        <v>109.4</v>
      </c>
      <c r="AW128" s="60" t="n">
        <v>3.3</v>
      </c>
      <c r="AX128" s="60" t="n">
        <v>762.9</v>
      </c>
      <c r="AY128" s="60" t="n">
        <v>629.8</v>
      </c>
      <c r="AZ128" s="60" t="n">
        <v>361.8</v>
      </c>
      <c r="BA128" s="60" t="n">
        <v>164.9</v>
      </c>
      <c r="BB128" s="60" t="n">
        <v>1812.4</v>
      </c>
      <c r="BC128" s="60" t="n">
        <f aca="false">AQ128+AR128+AS128+AT128+AU128+AV128+AW128</f>
        <v>4153.6</v>
      </c>
      <c r="BD128" s="60" t="n">
        <f aca="false">AQ128</f>
        <v>768.8</v>
      </c>
      <c r="BE128" s="60" t="n">
        <f aca="false">AQ128+AR128</f>
        <v>144.5</v>
      </c>
      <c r="BF128" s="60" t="n">
        <f aca="false">BE128+AS128</f>
        <v>144.5</v>
      </c>
      <c r="BG128" s="60" t="n">
        <f aca="false">BF128+AT128</f>
        <v>3876.4</v>
      </c>
      <c r="BH128" s="60" t="n">
        <f aca="false">BG128+AU128+AV128+AW128</f>
        <v>4153.6</v>
      </c>
      <c r="BI128" s="60" t="n">
        <f aca="false">BC128</f>
        <v>4153.6</v>
      </c>
      <c r="BJ128" s="60" t="n">
        <f aca="false">IF('Level 1'!$C$31="Yes",BD128,AJ128)</f>
        <v>0</v>
      </c>
      <c r="BK128" s="60" t="n">
        <f aca="false">IF('Level 2'!$C$31="Yes",BE128,AK128)</f>
        <v>0</v>
      </c>
      <c r="BL128" s="60" t="n">
        <f aca="false">IF('Level 3'!$C$31="Yes",BF128,AL128)</f>
        <v>0</v>
      </c>
      <c r="BM128" s="60" t="n">
        <f aca="false">IF('Level 4'!$C$31="Yes",BG128,AM128)</f>
        <v>0</v>
      </c>
      <c r="BN128" s="60" t="n">
        <f aca="false">IF('Level 5'!$C$31="Yes",BH128,AN128)</f>
        <v>0</v>
      </c>
      <c r="BO128" s="60" t="n">
        <f aca="false">IF('Level 6'!$C$31="Yes",BI128,AO128)</f>
        <v>0</v>
      </c>
      <c r="BP128" s="60" t="n">
        <f aca="false">IF('Level 7'!$C$31="Yes",BC128,AP128)</f>
        <v>0</v>
      </c>
      <c r="BQ128" s="60" t="n">
        <f aca="false">D128-AP128</f>
        <v>8552</v>
      </c>
      <c r="BR128" s="60" t="n">
        <f aca="false">BQ128^2</f>
        <v>73136704</v>
      </c>
      <c r="BS128" s="60" t="n">
        <f aca="false">(BQ128-BQ127)^2</f>
        <v>8584900</v>
      </c>
      <c r="BT128" s="60" t="n">
        <f aca="false">IF(D128&gt;2000,ABS(BQ128)/D128,"")</f>
        <v>1</v>
      </c>
      <c r="BU128" s="60" t="n">
        <v>54</v>
      </c>
      <c r="BV128" s="62" t="n">
        <v>0.5626</v>
      </c>
      <c r="BW128" s="60" t="n">
        <v>387.7</v>
      </c>
      <c r="BX128" s="60" t="n">
        <f aca="false">AA128</f>
        <v>0</v>
      </c>
      <c r="BY128" s="60" t="n">
        <f aca="false">H128</f>
        <v>124.7</v>
      </c>
      <c r="BZ128" s="60" t="n">
        <f aca="false">Z128</f>
        <v>0</v>
      </c>
      <c r="CA128" s="60" t="n">
        <f aca="false">AB128+AC128+AD128</f>
        <v>0</v>
      </c>
      <c r="CB128" s="60" t="n">
        <f aca="false">AE128+AF128+AG128+AH128+AI128</f>
        <v>0</v>
      </c>
    </row>
    <row r="129" customFormat="false" ht="15" hidden="false" customHeight="false" outlineLevel="0" collapsed="false">
      <c r="A129" s="58" t="n">
        <v>45795</v>
      </c>
      <c r="B129" s="59" t="n">
        <f aca="false">YEAR(A129)</f>
        <v>2025</v>
      </c>
      <c r="C129" s="59" t="n">
        <f aca="false">MONTH(A129)</f>
        <v>5</v>
      </c>
      <c r="D129" s="60" t="n">
        <v>7209</v>
      </c>
      <c r="E129" s="61" t="n">
        <v>0.976</v>
      </c>
      <c r="F129" s="61" t="n">
        <v>0.335</v>
      </c>
      <c r="G129" s="61" t="n">
        <v>0</v>
      </c>
      <c r="H129" s="60" t="n">
        <v>169.55</v>
      </c>
      <c r="I129" s="60" t="n">
        <f aca="false">H129+'Level 4'!$C$12/100*I128</f>
        <v>169.55</v>
      </c>
      <c r="J129" s="60" t="n">
        <v>17.71</v>
      </c>
      <c r="K129" s="60" t="n">
        <v>33.33</v>
      </c>
      <c r="L129" s="60" t="n">
        <v>6.9</v>
      </c>
      <c r="M129" s="60" t="n">
        <f aca="false">L129+Answers!$C$14/100*M128</f>
        <v>16.0394715633967</v>
      </c>
      <c r="N129" s="60" t="n">
        <v>0</v>
      </c>
      <c r="O129" s="60" t="n">
        <v>30.15</v>
      </c>
      <c r="P129" s="60" t="n">
        <v>0</v>
      </c>
      <c r="Q129" s="60" t="n">
        <v>0</v>
      </c>
      <c r="R129" s="60" t="n">
        <v>132.19</v>
      </c>
      <c r="S129" s="60" t="n">
        <f aca="false">N129+Answers!$C$16/100*S128</f>
        <v>168.484724226064</v>
      </c>
      <c r="T129" s="60" t="n">
        <f aca="false">O129+Answers!$C$17/100*T128</f>
        <v>178.9258881935</v>
      </c>
      <c r="U129" s="60" t="n">
        <f aca="false">P129+Answers!$C$18/100*U128</f>
        <v>68.367283378478</v>
      </c>
      <c r="V129" s="60" t="n">
        <f aca="false">Q129+Answers!$C$19/100*V128</f>
        <v>128.113479813363</v>
      </c>
      <c r="W129" s="60" t="n">
        <f aca="false">R129+Answers!$C$20/100*W128</f>
        <v>531.865764367862</v>
      </c>
      <c r="X129" s="60" t="n">
        <f aca="false">IF('Level 1'!$C$11="",0,'Level 1'!$C$11)*E129</f>
        <v>0</v>
      </c>
      <c r="Y129" s="60" t="n">
        <f aca="false">-IF('Level 2'!$C$11="",0,'Level 2'!$C$11)*F129</f>
        <v>-0</v>
      </c>
      <c r="Z129" s="60" t="n">
        <f aca="false">IF('Level 3'!$C$11="",0,'Level 3'!$C$11)*G129</f>
        <v>0</v>
      </c>
      <c r="AA129" s="60" t="n">
        <f aca="false">IF('Level 4'!$C$11="",0,'Level 4'!$C$11)*(1-'Level 4'!$C$12/100)*I129</f>
        <v>0</v>
      </c>
      <c r="AB129" s="60" t="n">
        <f aca="false">IF('Level 5'!$C$11="",0,'Level 5'!$C$11)*J129</f>
        <v>0</v>
      </c>
      <c r="AC129" s="60" t="n">
        <f aca="false">IF('Level 5'!$C$12="",0,'Level 5'!$C$12)*K129</f>
        <v>0</v>
      </c>
      <c r="AD129" s="60" t="n">
        <f aca="false">IF('Level 5'!$C$13="",0,'Level 5'!$C$13)*(1-Answers!$C$14/100)*M129</f>
        <v>0</v>
      </c>
      <c r="AE129" s="60" t="n">
        <f aca="false">IF('Level 6'!$C$11="",0,'Level 6'!$C$11)*(1-Answers!$C$16/100)*S129</f>
        <v>0</v>
      </c>
      <c r="AF129" s="60" t="n">
        <f aca="false">IF('Level 6'!$C$12="",0,'Level 6'!$C$12)*(1-Answers!$C$17/100)*T129</f>
        <v>0</v>
      </c>
      <c r="AG129" s="60" t="n">
        <f aca="false">IF('Level 6'!$C$13="",0,'Level 6'!$C$13)*(1-Answers!$C$18/100)*U129</f>
        <v>0</v>
      </c>
      <c r="AH129" s="60" t="n">
        <f aca="false">IF('Level 6'!$C$14="",0,'Level 6'!$C$14)*(1-Answers!$C$19/100)*V129</f>
        <v>0</v>
      </c>
      <c r="AI129" s="60" t="n">
        <f aca="false">IF('Level 6'!$C$15="",0,'Level 6'!$C$15)*(1-Answers!$C$20/100)*W129</f>
        <v>0</v>
      </c>
      <c r="AJ129" s="60" t="n">
        <f aca="false">X129</f>
        <v>0</v>
      </c>
      <c r="AK129" s="60" t="n">
        <f aca="false">X129+Y129</f>
        <v>0</v>
      </c>
      <c r="AL129" s="60" t="n">
        <f aca="false">AK129+Z129</f>
        <v>0</v>
      </c>
      <c r="AM129" s="60" t="n">
        <f aca="false">AL129+AA129</f>
        <v>0</v>
      </c>
      <c r="AN129" s="60" t="n">
        <f aca="false">AM129+AB129+AC129+AD129</f>
        <v>0</v>
      </c>
      <c r="AO129" s="60" t="n">
        <f aca="false">AL129+AE129+AF129+AG129+AH129+AI129+AB129+AC129+AD129</f>
        <v>0</v>
      </c>
      <c r="AP129" s="60" t="n">
        <f aca="false">IF(Answers!$C$22="Yes",AO129,AN129)</f>
        <v>0</v>
      </c>
      <c r="AQ129" s="60" t="n">
        <v>854.6</v>
      </c>
      <c r="AR129" s="60" t="n">
        <v>-319.1</v>
      </c>
      <c r="AS129" s="60" t="n">
        <v>0</v>
      </c>
      <c r="AT129" s="60" t="n">
        <v>3581.5</v>
      </c>
      <c r="AU129" s="60" t="n">
        <v>150.9</v>
      </c>
      <c r="AV129" s="60" t="n">
        <v>89.4</v>
      </c>
      <c r="AW129" s="60" t="n">
        <v>2.1</v>
      </c>
      <c r="AX129" s="60" t="n">
        <v>648.4</v>
      </c>
      <c r="AY129" s="60" t="n">
        <v>614.2</v>
      </c>
      <c r="AZ129" s="60" t="n">
        <v>307.5</v>
      </c>
      <c r="BA129" s="60" t="n">
        <v>140.2</v>
      </c>
      <c r="BB129" s="60" t="n">
        <v>1871.2</v>
      </c>
      <c r="BC129" s="60" t="n">
        <f aca="false">AQ129+AR129+AS129+AT129+AU129+AV129+AW129</f>
        <v>4359.4</v>
      </c>
      <c r="BD129" s="60" t="n">
        <f aca="false">AQ129</f>
        <v>854.6</v>
      </c>
      <c r="BE129" s="60" t="n">
        <f aca="false">AQ129+AR129</f>
        <v>535.5</v>
      </c>
      <c r="BF129" s="60" t="n">
        <f aca="false">BE129+AS129</f>
        <v>535.5</v>
      </c>
      <c r="BG129" s="60" t="n">
        <f aca="false">BF129+AT129</f>
        <v>4117</v>
      </c>
      <c r="BH129" s="60" t="n">
        <f aca="false">BG129+AU129+AV129+AW129</f>
        <v>4359.4</v>
      </c>
      <c r="BI129" s="60" t="n">
        <f aca="false">BC129</f>
        <v>4359.4</v>
      </c>
      <c r="BJ129" s="60" t="n">
        <f aca="false">IF('Level 1'!$C$31="Yes",BD129,AJ129)</f>
        <v>0</v>
      </c>
      <c r="BK129" s="60" t="n">
        <f aca="false">IF('Level 2'!$C$31="Yes",BE129,AK129)</f>
        <v>0</v>
      </c>
      <c r="BL129" s="60" t="n">
        <f aca="false">IF('Level 3'!$C$31="Yes",BF129,AL129)</f>
        <v>0</v>
      </c>
      <c r="BM129" s="60" t="n">
        <f aca="false">IF('Level 4'!$C$31="Yes",BG129,AM129)</f>
        <v>0</v>
      </c>
      <c r="BN129" s="60" t="n">
        <f aca="false">IF('Level 5'!$C$31="Yes",BH129,AN129)</f>
        <v>0</v>
      </c>
      <c r="BO129" s="60" t="n">
        <f aca="false">IF('Level 6'!$C$31="Yes",BI129,AO129)</f>
        <v>0</v>
      </c>
      <c r="BP129" s="60" t="n">
        <f aca="false">IF('Level 7'!$C$31="Yes",BC129,AP129)</f>
        <v>0</v>
      </c>
      <c r="BQ129" s="60" t="n">
        <f aca="false">D129-AP129</f>
        <v>7209</v>
      </c>
      <c r="BR129" s="60" t="n">
        <f aca="false">BQ129^2</f>
        <v>51969681</v>
      </c>
      <c r="BS129" s="60" t="n">
        <f aca="false">(BQ129-BQ128)^2</f>
        <v>1803649</v>
      </c>
      <c r="BT129" s="60" t="n">
        <f aca="false">IF(D129&gt;2000,ABS(BQ129)/D129,"")</f>
        <v>1</v>
      </c>
      <c r="BU129" s="60" t="n">
        <v>83</v>
      </c>
      <c r="BV129" s="62" t="n">
        <v>0.5626</v>
      </c>
      <c r="BW129" s="60" t="n">
        <v>368</v>
      </c>
      <c r="BX129" s="60" t="n">
        <f aca="false">AA129</f>
        <v>0</v>
      </c>
      <c r="BY129" s="60" t="n">
        <f aca="false">H129</f>
        <v>169.55</v>
      </c>
      <c r="BZ129" s="60" t="n">
        <f aca="false">Z129</f>
        <v>0</v>
      </c>
      <c r="CA129" s="60" t="n">
        <f aca="false">AB129+AC129+AD129</f>
        <v>0</v>
      </c>
      <c r="CB129" s="60" t="n">
        <f aca="false">AE129+AF129+AG129+AH129+AI129</f>
        <v>0</v>
      </c>
    </row>
    <row r="130" customFormat="false" ht="15" hidden="false" customHeight="false" outlineLevel="0" collapsed="false">
      <c r="A130" s="58" t="n">
        <v>45802</v>
      </c>
      <c r="B130" s="59" t="n">
        <f aca="false">YEAR(A130)</f>
        <v>2025</v>
      </c>
      <c r="C130" s="59" t="n">
        <f aca="false">MONTH(A130)</f>
        <v>5</v>
      </c>
      <c r="D130" s="60" t="n">
        <v>7837</v>
      </c>
      <c r="E130" s="61" t="n">
        <v>1.1079</v>
      </c>
      <c r="F130" s="61" t="n">
        <v>0.2506</v>
      </c>
      <c r="G130" s="61" t="n">
        <v>0.7291</v>
      </c>
      <c r="H130" s="60" t="n">
        <v>428.13</v>
      </c>
      <c r="I130" s="60" t="n">
        <f aca="false">H130+'Level 4'!$C$12/100*I129</f>
        <v>428.13</v>
      </c>
      <c r="J130" s="60" t="n">
        <v>17.4</v>
      </c>
      <c r="K130" s="60" t="n">
        <v>26.73</v>
      </c>
      <c r="L130" s="60" t="n">
        <v>6.37</v>
      </c>
      <c r="M130" s="60" t="n">
        <f aca="false">L130+Answers!$C$14/100*M129</f>
        <v>15.993682938038</v>
      </c>
      <c r="N130" s="60" t="n">
        <v>0</v>
      </c>
      <c r="O130" s="60" t="n">
        <v>30.06</v>
      </c>
      <c r="P130" s="60" t="n">
        <v>87.24</v>
      </c>
      <c r="Q130" s="60" t="n">
        <v>20.57</v>
      </c>
      <c r="R130" s="60" t="n">
        <v>282.42</v>
      </c>
      <c r="S130" s="60" t="n">
        <f aca="false">N130+Answers!$C$16/100*S129</f>
        <v>134.787779380852</v>
      </c>
      <c r="T130" s="60" t="n">
        <f aca="false">O130+Answers!$C$17/100*T129</f>
        <v>173.2007105548</v>
      </c>
      <c r="U130" s="60" t="n">
        <f aca="false">P130+Answers!$C$18/100*U129</f>
        <v>141.933826702782</v>
      </c>
      <c r="V130" s="60" t="n">
        <f aca="false">Q130+Answers!$C$19/100*V129</f>
        <v>123.06078385069</v>
      </c>
      <c r="W130" s="60" t="n">
        <f aca="false">R130+Answers!$C$20/100*W129</f>
        <v>707.91261149429</v>
      </c>
      <c r="X130" s="60" t="n">
        <f aca="false">IF('Level 1'!$C$11="",0,'Level 1'!$C$11)*E130</f>
        <v>0</v>
      </c>
      <c r="Y130" s="60" t="n">
        <f aca="false">-IF('Level 2'!$C$11="",0,'Level 2'!$C$11)*F130</f>
        <v>-0</v>
      </c>
      <c r="Z130" s="60" t="n">
        <f aca="false">IF('Level 3'!$C$11="",0,'Level 3'!$C$11)*G130</f>
        <v>0</v>
      </c>
      <c r="AA130" s="60" t="n">
        <f aca="false">IF('Level 4'!$C$11="",0,'Level 4'!$C$11)*(1-'Level 4'!$C$12/100)*I130</f>
        <v>0</v>
      </c>
      <c r="AB130" s="60" t="n">
        <f aca="false">IF('Level 5'!$C$11="",0,'Level 5'!$C$11)*J130</f>
        <v>0</v>
      </c>
      <c r="AC130" s="60" t="n">
        <f aca="false">IF('Level 5'!$C$12="",0,'Level 5'!$C$12)*K130</f>
        <v>0</v>
      </c>
      <c r="AD130" s="60" t="n">
        <f aca="false">IF('Level 5'!$C$13="",0,'Level 5'!$C$13)*(1-Answers!$C$14/100)*M130</f>
        <v>0</v>
      </c>
      <c r="AE130" s="60" t="n">
        <f aca="false">IF('Level 6'!$C$11="",0,'Level 6'!$C$11)*(1-Answers!$C$16/100)*S130</f>
        <v>0</v>
      </c>
      <c r="AF130" s="60" t="n">
        <f aca="false">IF('Level 6'!$C$12="",0,'Level 6'!$C$12)*(1-Answers!$C$17/100)*T130</f>
        <v>0</v>
      </c>
      <c r="AG130" s="60" t="n">
        <f aca="false">IF('Level 6'!$C$13="",0,'Level 6'!$C$13)*(1-Answers!$C$18/100)*U130</f>
        <v>0</v>
      </c>
      <c r="AH130" s="60" t="n">
        <f aca="false">IF('Level 6'!$C$14="",0,'Level 6'!$C$14)*(1-Answers!$C$19/100)*V130</f>
        <v>0</v>
      </c>
      <c r="AI130" s="60" t="n">
        <f aca="false">IF('Level 6'!$C$15="",0,'Level 6'!$C$15)*(1-Answers!$C$20/100)*W130</f>
        <v>0</v>
      </c>
      <c r="AJ130" s="60" t="n">
        <f aca="false">X130</f>
        <v>0</v>
      </c>
      <c r="AK130" s="60" t="n">
        <f aca="false">X130+Y130</f>
        <v>0</v>
      </c>
      <c r="AL130" s="60" t="n">
        <f aca="false">AK130+Z130</f>
        <v>0</v>
      </c>
      <c r="AM130" s="60" t="n">
        <f aca="false">AL130+AA130</f>
        <v>0</v>
      </c>
      <c r="AN130" s="60" t="n">
        <f aca="false">AM130+AB130+AC130+AD130</f>
        <v>0</v>
      </c>
      <c r="AO130" s="60" t="n">
        <f aca="false">AL130+AE130+AF130+AG130+AH130+AI130+AB130+AC130+AD130</f>
        <v>0</v>
      </c>
      <c r="AP130" s="60" t="n">
        <f aca="false">IF(Answers!$C$22="Yes",AO130,AN130)</f>
        <v>0</v>
      </c>
      <c r="AQ130" s="60" t="n">
        <v>970.1</v>
      </c>
      <c r="AR130" s="60" t="n">
        <v>-238.6</v>
      </c>
      <c r="AS130" s="60" t="n">
        <v>5539.2</v>
      </c>
      <c r="AT130" s="60" t="n">
        <v>4075.6</v>
      </c>
      <c r="AU130" s="60" t="n">
        <v>144.4</v>
      </c>
      <c r="AV130" s="60" t="n">
        <v>71.7</v>
      </c>
      <c r="AW130" s="60" t="n">
        <v>1.4</v>
      </c>
      <c r="AX130" s="60" t="n">
        <v>551.2</v>
      </c>
      <c r="AY130" s="60" t="n">
        <v>600.6</v>
      </c>
      <c r="AZ130" s="60" t="n">
        <v>489.2</v>
      </c>
      <c r="BA130" s="60" t="n">
        <v>136.5</v>
      </c>
      <c r="BB130" s="60" t="n">
        <v>2298.2</v>
      </c>
      <c r="BC130" s="60" t="n">
        <f aca="false">AQ130+AR130+AS130+AT130+AU130+AV130+AW130</f>
        <v>10563.8</v>
      </c>
      <c r="BD130" s="60" t="n">
        <f aca="false">AQ130</f>
        <v>970.1</v>
      </c>
      <c r="BE130" s="60" t="n">
        <f aca="false">AQ130+AR130</f>
        <v>731.5</v>
      </c>
      <c r="BF130" s="60" t="n">
        <f aca="false">BE130+AS130</f>
        <v>6270.7</v>
      </c>
      <c r="BG130" s="60" t="n">
        <f aca="false">BF130+AT130</f>
        <v>10346.3</v>
      </c>
      <c r="BH130" s="60" t="n">
        <f aca="false">BG130+AU130+AV130+AW130</f>
        <v>10563.8</v>
      </c>
      <c r="BI130" s="60" t="n">
        <f aca="false">BC130</f>
        <v>10563.8</v>
      </c>
      <c r="BJ130" s="60" t="n">
        <f aca="false">IF('Level 1'!$C$31="Yes",BD130,AJ130)</f>
        <v>0</v>
      </c>
      <c r="BK130" s="60" t="n">
        <f aca="false">IF('Level 2'!$C$31="Yes",BE130,AK130)</f>
        <v>0</v>
      </c>
      <c r="BL130" s="60" t="n">
        <f aca="false">IF('Level 3'!$C$31="Yes",BF130,AL130)</f>
        <v>0</v>
      </c>
      <c r="BM130" s="60" t="n">
        <f aca="false">IF('Level 4'!$C$31="Yes",BG130,AM130)</f>
        <v>0</v>
      </c>
      <c r="BN130" s="60" t="n">
        <f aca="false">IF('Level 5'!$C$31="Yes",BH130,AN130)</f>
        <v>0</v>
      </c>
      <c r="BO130" s="60" t="n">
        <f aca="false">IF('Level 6'!$C$31="Yes",BI130,AO130)</f>
        <v>0</v>
      </c>
      <c r="BP130" s="60" t="n">
        <f aca="false">IF('Level 7'!$C$31="Yes",BC130,AP130)</f>
        <v>0</v>
      </c>
      <c r="BQ130" s="60" t="n">
        <f aca="false">D130-AP130</f>
        <v>7837</v>
      </c>
      <c r="BR130" s="60" t="n">
        <f aca="false">BQ130^2</f>
        <v>61418569</v>
      </c>
      <c r="BS130" s="60" t="n">
        <f aca="false">(BQ130-BQ129)^2</f>
        <v>394384</v>
      </c>
      <c r="BT130" s="60" t="n">
        <f aca="false">IF(D130&gt;2000,ABS(BQ130)/D130,"")</f>
        <v>1</v>
      </c>
      <c r="BU130" s="60" t="n">
        <v>45</v>
      </c>
      <c r="BV130" s="62" t="n">
        <v>0.5629</v>
      </c>
      <c r="BW130" s="60" t="n">
        <v>553.4</v>
      </c>
      <c r="BX130" s="60" t="n">
        <f aca="false">AA130</f>
        <v>0</v>
      </c>
      <c r="BY130" s="60" t="n">
        <f aca="false">H130</f>
        <v>428.13</v>
      </c>
      <c r="BZ130" s="60" t="n">
        <f aca="false">Z130</f>
        <v>0</v>
      </c>
      <c r="CA130" s="60" t="n">
        <f aca="false">AB130+AC130+AD130</f>
        <v>0</v>
      </c>
      <c r="CB130" s="60" t="n">
        <f aca="false">AE130+AF130+AG130+AH130+AI130</f>
        <v>0</v>
      </c>
    </row>
    <row r="131" customFormat="false" ht="15" hidden="false" customHeight="false" outlineLevel="0" collapsed="false">
      <c r="A131" s="58" t="n">
        <v>45809</v>
      </c>
      <c r="B131" s="59" t="n">
        <f aca="false">YEAR(A131)</f>
        <v>2025</v>
      </c>
      <c r="C131" s="59" t="n">
        <f aca="false">MONTH(A131)</f>
        <v>6</v>
      </c>
      <c r="D131" s="60" t="n">
        <v>9695</v>
      </c>
      <c r="E131" s="61" t="n">
        <v>1.0154</v>
      </c>
      <c r="F131" s="61" t="n">
        <v>0.2707</v>
      </c>
      <c r="G131" s="61" t="n">
        <v>0.7291</v>
      </c>
      <c r="H131" s="60" t="n">
        <v>452.79</v>
      </c>
      <c r="I131" s="60" t="n">
        <f aca="false">H131+'Level 4'!$C$12/100*I130</f>
        <v>452.79</v>
      </c>
      <c r="J131" s="60" t="n">
        <v>26.77</v>
      </c>
      <c r="K131" s="60" t="n">
        <v>46.03</v>
      </c>
      <c r="L131" s="60" t="n">
        <v>6.41</v>
      </c>
      <c r="M131" s="60" t="n">
        <f aca="false">L131+Answers!$C$14/100*M130</f>
        <v>16.0062097628228</v>
      </c>
      <c r="N131" s="60" t="n">
        <v>0</v>
      </c>
      <c r="O131" s="60" t="n">
        <v>19.85</v>
      </c>
      <c r="P131" s="60" t="n">
        <v>94.37</v>
      </c>
      <c r="Q131" s="60" t="n">
        <v>43.12</v>
      </c>
      <c r="R131" s="60" t="n">
        <v>285.76</v>
      </c>
      <c r="S131" s="60" t="n">
        <f aca="false">N131+Answers!$C$16/100*S130</f>
        <v>107.830223504681</v>
      </c>
      <c r="T131" s="60" t="n">
        <f aca="false">O131+Answers!$C$17/100*T130</f>
        <v>158.41056844384</v>
      </c>
      <c r="U131" s="60" t="n">
        <f aca="false">P131+Answers!$C$18/100*U130</f>
        <v>207.917061362226</v>
      </c>
      <c r="V131" s="60" t="n">
        <f aca="false">Q131+Answers!$C$19/100*V130</f>
        <v>141.568627080552</v>
      </c>
      <c r="W131" s="60" t="n">
        <f aca="false">R131+Answers!$C$20/100*W130</f>
        <v>852.090089195432</v>
      </c>
      <c r="X131" s="60" t="n">
        <f aca="false">IF('Level 1'!$C$11="",0,'Level 1'!$C$11)*E131</f>
        <v>0</v>
      </c>
      <c r="Y131" s="60" t="n">
        <f aca="false">-IF('Level 2'!$C$11="",0,'Level 2'!$C$11)*F131</f>
        <v>-0</v>
      </c>
      <c r="Z131" s="60" t="n">
        <f aca="false">IF('Level 3'!$C$11="",0,'Level 3'!$C$11)*G131</f>
        <v>0</v>
      </c>
      <c r="AA131" s="60" t="n">
        <f aca="false">IF('Level 4'!$C$11="",0,'Level 4'!$C$11)*(1-'Level 4'!$C$12/100)*I131</f>
        <v>0</v>
      </c>
      <c r="AB131" s="60" t="n">
        <f aca="false">IF('Level 5'!$C$11="",0,'Level 5'!$C$11)*J131</f>
        <v>0</v>
      </c>
      <c r="AC131" s="60" t="n">
        <f aca="false">IF('Level 5'!$C$12="",0,'Level 5'!$C$12)*K131</f>
        <v>0</v>
      </c>
      <c r="AD131" s="60" t="n">
        <f aca="false">IF('Level 5'!$C$13="",0,'Level 5'!$C$13)*(1-Answers!$C$14/100)*M131</f>
        <v>0</v>
      </c>
      <c r="AE131" s="60" t="n">
        <f aca="false">IF('Level 6'!$C$11="",0,'Level 6'!$C$11)*(1-Answers!$C$16/100)*S131</f>
        <v>0</v>
      </c>
      <c r="AF131" s="60" t="n">
        <f aca="false">IF('Level 6'!$C$12="",0,'Level 6'!$C$12)*(1-Answers!$C$17/100)*T131</f>
        <v>0</v>
      </c>
      <c r="AG131" s="60" t="n">
        <f aca="false">IF('Level 6'!$C$13="",0,'Level 6'!$C$13)*(1-Answers!$C$18/100)*U131</f>
        <v>0</v>
      </c>
      <c r="AH131" s="60" t="n">
        <f aca="false">IF('Level 6'!$C$14="",0,'Level 6'!$C$14)*(1-Answers!$C$19/100)*V131</f>
        <v>0</v>
      </c>
      <c r="AI131" s="60" t="n">
        <f aca="false">IF('Level 6'!$C$15="",0,'Level 6'!$C$15)*(1-Answers!$C$20/100)*W131</f>
        <v>0</v>
      </c>
      <c r="AJ131" s="60" t="n">
        <f aca="false">X131</f>
        <v>0</v>
      </c>
      <c r="AK131" s="60" t="n">
        <f aca="false">X131+Y131</f>
        <v>0</v>
      </c>
      <c r="AL131" s="60" t="n">
        <f aca="false">AK131+Z131</f>
        <v>0</v>
      </c>
      <c r="AM131" s="60" t="n">
        <f aca="false">AL131+AA131</f>
        <v>0</v>
      </c>
      <c r="AN131" s="60" t="n">
        <f aca="false">AM131+AB131+AC131+AD131</f>
        <v>0</v>
      </c>
      <c r="AO131" s="60" t="n">
        <f aca="false">AL131+AE131+AF131+AG131+AH131+AI131+AB131+AC131+AD131</f>
        <v>0</v>
      </c>
      <c r="AP131" s="60" t="n">
        <f aca="false">IF(Answers!$C$22="Yes",AO131,AN131)</f>
        <v>0</v>
      </c>
      <c r="AQ131" s="60" t="n">
        <v>889.1</v>
      </c>
      <c r="AR131" s="60" t="n">
        <v>-257.8</v>
      </c>
      <c r="AS131" s="60" t="n">
        <v>5539.2</v>
      </c>
      <c r="AT131" s="60" t="n">
        <v>4514.6</v>
      </c>
      <c r="AU131" s="60" t="n">
        <v>127.3</v>
      </c>
      <c r="AV131" s="60" t="n">
        <v>123.6</v>
      </c>
      <c r="AW131" s="60" t="n">
        <v>0.9</v>
      </c>
      <c r="AX131" s="60" t="n">
        <v>468.5</v>
      </c>
      <c r="AY131" s="60" t="n">
        <v>562.4</v>
      </c>
      <c r="AZ131" s="60" t="n">
        <v>662.2</v>
      </c>
      <c r="BA131" s="60" t="n">
        <v>152.3</v>
      </c>
      <c r="BB131" s="60" t="n">
        <v>2669.2</v>
      </c>
      <c r="BC131" s="60" t="n">
        <f aca="false">AQ131+AR131+AS131+AT131+AU131+AV131+AW131</f>
        <v>10936.9</v>
      </c>
      <c r="BD131" s="60" t="n">
        <f aca="false">AQ131</f>
        <v>889.1</v>
      </c>
      <c r="BE131" s="60" t="n">
        <f aca="false">AQ131+AR131</f>
        <v>631.3</v>
      </c>
      <c r="BF131" s="60" t="n">
        <f aca="false">BE131+AS131</f>
        <v>6170.5</v>
      </c>
      <c r="BG131" s="60" t="n">
        <f aca="false">BF131+AT131</f>
        <v>10685.1</v>
      </c>
      <c r="BH131" s="60" t="n">
        <f aca="false">BG131+AU131+AV131+AW131</f>
        <v>10936.9</v>
      </c>
      <c r="BI131" s="60" t="n">
        <f aca="false">BC131</f>
        <v>10936.9</v>
      </c>
      <c r="BJ131" s="60" t="n">
        <f aca="false">IF('Level 1'!$C$31="Yes",BD131,AJ131)</f>
        <v>0</v>
      </c>
      <c r="BK131" s="60" t="n">
        <f aca="false">IF('Level 2'!$C$31="Yes",BE131,AK131)</f>
        <v>0</v>
      </c>
      <c r="BL131" s="60" t="n">
        <f aca="false">IF('Level 3'!$C$31="Yes",BF131,AL131)</f>
        <v>0</v>
      </c>
      <c r="BM131" s="60" t="n">
        <f aca="false">IF('Level 4'!$C$31="Yes",BG131,AM131)</f>
        <v>0</v>
      </c>
      <c r="BN131" s="60" t="n">
        <f aca="false">IF('Level 5'!$C$31="Yes",BH131,AN131)</f>
        <v>0</v>
      </c>
      <c r="BO131" s="60" t="n">
        <f aca="false">IF('Level 6'!$C$31="Yes",BI131,AO131)</f>
        <v>0</v>
      </c>
      <c r="BP131" s="60" t="n">
        <f aca="false">IF('Level 7'!$C$31="Yes",BC131,AP131)</f>
        <v>0</v>
      </c>
      <c r="BQ131" s="60" t="n">
        <f aca="false">D131-AP131</f>
        <v>9695</v>
      </c>
      <c r="BR131" s="60" t="n">
        <f aca="false">BQ131^2</f>
        <v>93993025</v>
      </c>
      <c r="BS131" s="60" t="n">
        <f aca="false">(BQ131-BQ130)^2</f>
        <v>3452164</v>
      </c>
      <c r="BT131" s="60" t="n">
        <f aca="false">IF(D131&gt;2000,ABS(BQ131)/D131,"")</f>
        <v>1</v>
      </c>
      <c r="BU131" s="60" t="n">
        <v>70</v>
      </c>
      <c r="BV131" s="62" t="n">
        <v>0.5649</v>
      </c>
      <c r="BW131" s="60" t="n">
        <v>593.5</v>
      </c>
      <c r="BX131" s="60" t="n">
        <f aca="false">AA131</f>
        <v>0</v>
      </c>
      <c r="BY131" s="60" t="n">
        <f aca="false">H131</f>
        <v>452.79</v>
      </c>
      <c r="BZ131" s="60" t="n">
        <f aca="false">Z131</f>
        <v>0</v>
      </c>
      <c r="CA131" s="60" t="n">
        <f aca="false">AB131+AC131+AD131</f>
        <v>0</v>
      </c>
      <c r="CB131" s="60" t="n">
        <f aca="false">AE131+AF131+AG131+AH131+AI131</f>
        <v>0</v>
      </c>
    </row>
    <row r="132" customFormat="false" ht="15" hidden="false" customHeight="false" outlineLevel="0" collapsed="false">
      <c r="A132" s="58" t="n">
        <v>45816</v>
      </c>
      <c r="B132" s="59" t="n">
        <f aca="false">YEAR(A132)</f>
        <v>2025</v>
      </c>
      <c r="C132" s="59" t="n">
        <f aca="false">MONTH(A132)</f>
        <v>6</v>
      </c>
      <c r="D132" s="60" t="n">
        <v>7537</v>
      </c>
      <c r="E132" s="61" t="n">
        <v>1.3493</v>
      </c>
      <c r="F132" s="61" t="n">
        <v>0.3646</v>
      </c>
      <c r="G132" s="61" t="n">
        <v>0.7291</v>
      </c>
      <c r="H132" s="60" t="n">
        <v>174.94</v>
      </c>
      <c r="I132" s="60" t="n">
        <f aca="false">H132+'Level 4'!$C$12/100*I131</f>
        <v>174.94</v>
      </c>
      <c r="J132" s="60" t="n">
        <v>58.46</v>
      </c>
      <c r="K132" s="60" t="n">
        <v>149.47</v>
      </c>
      <c r="L132" s="60" t="n">
        <v>733.69</v>
      </c>
      <c r="M132" s="60" t="n">
        <f aca="false">L132+Answers!$C$14/100*M131</f>
        <v>743.293725857694</v>
      </c>
      <c r="N132" s="60" t="n">
        <v>0</v>
      </c>
      <c r="O132" s="60" t="n">
        <v>40.6</v>
      </c>
      <c r="P132" s="60" t="n">
        <v>13.17</v>
      </c>
      <c r="Q132" s="60" t="n">
        <v>43.12</v>
      </c>
      <c r="R132" s="60" t="n">
        <v>70.52</v>
      </c>
      <c r="S132" s="60" t="n">
        <f aca="false">N132+Answers!$C$16/100*S131</f>
        <v>86.264178803745</v>
      </c>
      <c r="T132" s="60" t="n">
        <f aca="false">O132+Answers!$C$17/100*T131</f>
        <v>167.328454755072</v>
      </c>
      <c r="U132" s="60" t="n">
        <f aca="false">P132+Answers!$C$18/100*U131</f>
        <v>179.503649089781</v>
      </c>
      <c r="V132" s="60" t="n">
        <f aca="false">Q132+Answers!$C$19/100*V131</f>
        <v>156.374901664442</v>
      </c>
      <c r="W132" s="60" t="n">
        <f aca="false">R132+Answers!$C$20/100*W131</f>
        <v>752.192071356346</v>
      </c>
      <c r="X132" s="60" t="n">
        <f aca="false">IF('Level 1'!$C$11="",0,'Level 1'!$C$11)*E132</f>
        <v>0</v>
      </c>
      <c r="Y132" s="60" t="n">
        <f aca="false">-IF('Level 2'!$C$11="",0,'Level 2'!$C$11)*F132</f>
        <v>-0</v>
      </c>
      <c r="Z132" s="60" t="n">
        <f aca="false">IF('Level 3'!$C$11="",0,'Level 3'!$C$11)*G132</f>
        <v>0</v>
      </c>
      <c r="AA132" s="60" t="n">
        <f aca="false">IF('Level 4'!$C$11="",0,'Level 4'!$C$11)*(1-'Level 4'!$C$12/100)*I132</f>
        <v>0</v>
      </c>
      <c r="AB132" s="60" t="n">
        <f aca="false">IF('Level 5'!$C$11="",0,'Level 5'!$C$11)*J132</f>
        <v>0</v>
      </c>
      <c r="AC132" s="60" t="n">
        <f aca="false">IF('Level 5'!$C$12="",0,'Level 5'!$C$12)*K132</f>
        <v>0</v>
      </c>
      <c r="AD132" s="60" t="n">
        <f aca="false">IF('Level 5'!$C$13="",0,'Level 5'!$C$13)*(1-Answers!$C$14/100)*M132</f>
        <v>0</v>
      </c>
      <c r="AE132" s="60" t="n">
        <f aca="false">IF('Level 6'!$C$11="",0,'Level 6'!$C$11)*(1-Answers!$C$16/100)*S132</f>
        <v>0</v>
      </c>
      <c r="AF132" s="60" t="n">
        <f aca="false">IF('Level 6'!$C$12="",0,'Level 6'!$C$12)*(1-Answers!$C$17/100)*T132</f>
        <v>0</v>
      </c>
      <c r="AG132" s="60" t="n">
        <f aca="false">IF('Level 6'!$C$13="",0,'Level 6'!$C$13)*(1-Answers!$C$18/100)*U132</f>
        <v>0</v>
      </c>
      <c r="AH132" s="60" t="n">
        <f aca="false">IF('Level 6'!$C$14="",0,'Level 6'!$C$14)*(1-Answers!$C$19/100)*V132</f>
        <v>0</v>
      </c>
      <c r="AI132" s="60" t="n">
        <f aca="false">IF('Level 6'!$C$15="",0,'Level 6'!$C$15)*(1-Answers!$C$20/100)*W132</f>
        <v>0</v>
      </c>
      <c r="AJ132" s="60" t="n">
        <f aca="false">X132</f>
        <v>0</v>
      </c>
      <c r="AK132" s="60" t="n">
        <f aca="false">X132+Y132</f>
        <v>0</v>
      </c>
      <c r="AL132" s="60" t="n">
        <f aca="false">AK132+Z132</f>
        <v>0</v>
      </c>
      <c r="AM132" s="60" t="n">
        <f aca="false">AL132+AA132</f>
        <v>0</v>
      </c>
      <c r="AN132" s="60" t="n">
        <f aca="false">AM132+AB132+AC132+AD132</f>
        <v>0</v>
      </c>
      <c r="AO132" s="60" t="n">
        <f aca="false">AL132+AE132+AF132+AG132+AH132+AI132+AB132+AC132+AD132</f>
        <v>0</v>
      </c>
      <c r="AP132" s="60" t="n">
        <f aca="false">IF(Answers!$C$22="Yes",AO132,AN132)</f>
        <v>0</v>
      </c>
      <c r="AQ132" s="60" t="n">
        <v>1181.5</v>
      </c>
      <c r="AR132" s="60" t="n">
        <v>-347.3</v>
      </c>
      <c r="AS132" s="60" t="n">
        <v>5539.2</v>
      </c>
      <c r="AT132" s="60" t="n">
        <v>4193.3</v>
      </c>
      <c r="AU132" s="60" t="n">
        <v>187.1</v>
      </c>
      <c r="AV132" s="60" t="n">
        <v>401.2</v>
      </c>
      <c r="AW132" s="60" t="n">
        <v>0.6</v>
      </c>
      <c r="AX132" s="60" t="n">
        <v>398.2</v>
      </c>
      <c r="AY132" s="60" t="n">
        <v>584.1</v>
      </c>
      <c r="AZ132" s="60" t="n">
        <v>597.2</v>
      </c>
      <c r="BA132" s="60" t="n">
        <v>165.7</v>
      </c>
      <c r="BB132" s="60" t="n">
        <v>2448</v>
      </c>
      <c r="BC132" s="60" t="n">
        <f aca="false">AQ132+AR132+AS132+AT132+AU132+AV132+AW132</f>
        <v>11155.6</v>
      </c>
      <c r="BD132" s="60" t="n">
        <f aca="false">AQ132</f>
        <v>1181.5</v>
      </c>
      <c r="BE132" s="60" t="n">
        <f aca="false">AQ132+AR132</f>
        <v>834.2</v>
      </c>
      <c r="BF132" s="60" t="n">
        <f aca="false">BE132+AS132</f>
        <v>6373.4</v>
      </c>
      <c r="BG132" s="60" t="n">
        <f aca="false">BF132+AT132</f>
        <v>10566.7</v>
      </c>
      <c r="BH132" s="60" t="n">
        <f aca="false">BG132+AU132+AV132+AW132</f>
        <v>11155.6</v>
      </c>
      <c r="BI132" s="60" t="n">
        <f aca="false">BC132</f>
        <v>11155.6</v>
      </c>
      <c r="BJ132" s="60" t="n">
        <f aca="false">IF('Level 1'!$C$31="Yes",BD132,AJ132)</f>
        <v>0</v>
      </c>
      <c r="BK132" s="60" t="n">
        <f aca="false">IF('Level 2'!$C$31="Yes",BE132,AK132)</f>
        <v>0</v>
      </c>
      <c r="BL132" s="60" t="n">
        <f aca="false">IF('Level 3'!$C$31="Yes",BF132,AL132)</f>
        <v>0</v>
      </c>
      <c r="BM132" s="60" t="n">
        <f aca="false">IF('Level 4'!$C$31="Yes",BG132,AM132)</f>
        <v>0</v>
      </c>
      <c r="BN132" s="60" t="n">
        <f aca="false">IF('Level 5'!$C$31="Yes",BH132,AN132)</f>
        <v>0</v>
      </c>
      <c r="BO132" s="60" t="n">
        <f aca="false">IF('Level 6'!$C$31="Yes",BI132,AO132)</f>
        <v>0</v>
      </c>
      <c r="BP132" s="60" t="n">
        <f aca="false">IF('Level 7'!$C$31="Yes",BC132,AP132)</f>
        <v>0</v>
      </c>
      <c r="BQ132" s="60" t="n">
        <f aca="false">D132-AP132</f>
        <v>7537</v>
      </c>
      <c r="BR132" s="60" t="n">
        <f aca="false">BQ132^2</f>
        <v>56806369</v>
      </c>
      <c r="BS132" s="60" t="n">
        <f aca="false">(BQ132-BQ131)^2</f>
        <v>4656964</v>
      </c>
      <c r="BT132" s="60" t="n">
        <f aca="false">IF(D132&gt;2000,ABS(BQ132)/D132,"")</f>
        <v>1</v>
      </c>
      <c r="BU132" s="60" t="n">
        <v>82</v>
      </c>
      <c r="BV132" s="62" t="n">
        <v>0.5649</v>
      </c>
      <c r="BW132" s="60" t="n">
        <v>1186.3</v>
      </c>
      <c r="BX132" s="60" t="n">
        <f aca="false">AA132</f>
        <v>0</v>
      </c>
      <c r="BY132" s="60" t="n">
        <f aca="false">H132</f>
        <v>174.94</v>
      </c>
      <c r="BZ132" s="60" t="n">
        <f aca="false">Z132</f>
        <v>0</v>
      </c>
      <c r="CA132" s="60" t="n">
        <f aca="false">AB132+AC132+AD132</f>
        <v>0</v>
      </c>
      <c r="CB132" s="60" t="n">
        <f aca="false">AE132+AF132+AG132+AH132+AI132</f>
        <v>0</v>
      </c>
    </row>
    <row r="133" customFormat="false" ht="15" hidden="false" customHeight="false" outlineLevel="0" collapsed="false">
      <c r="A133" s="58" t="n">
        <v>45823</v>
      </c>
      <c r="B133" s="59" t="n">
        <f aca="false">YEAR(A133)</f>
        <v>2025</v>
      </c>
      <c r="C133" s="59" t="n">
        <f aca="false">MONTH(A133)</f>
        <v>6</v>
      </c>
      <c r="D133" s="60" t="n">
        <v>4443</v>
      </c>
      <c r="E133" s="61" t="n">
        <v>1.1831</v>
      </c>
      <c r="F133" s="61" t="n">
        <v>0.3577</v>
      </c>
      <c r="G133" s="61" t="n">
        <v>0</v>
      </c>
      <c r="H133" s="60" t="n">
        <v>96.11</v>
      </c>
      <c r="I133" s="60" t="n">
        <f aca="false">H133+'Level 4'!$C$12/100*I132</f>
        <v>96.11</v>
      </c>
      <c r="J133" s="60" t="n">
        <v>46.14</v>
      </c>
      <c r="K133" s="60" t="n">
        <v>125.83</v>
      </c>
      <c r="L133" s="60" t="n">
        <v>815.44</v>
      </c>
      <c r="M133" s="60" t="n">
        <f aca="false">L133+Answers!$C$14/100*M132</f>
        <v>1261.41623551462</v>
      </c>
      <c r="N133" s="60" t="n">
        <v>0</v>
      </c>
      <c r="O133" s="60" t="n">
        <v>30.71</v>
      </c>
      <c r="P133" s="60" t="n">
        <v>0</v>
      </c>
      <c r="Q133" s="60" t="n">
        <v>27.07</v>
      </c>
      <c r="R133" s="60" t="n">
        <v>33.88</v>
      </c>
      <c r="S133" s="60" t="n">
        <f aca="false">N133+Answers!$C$16/100*S132</f>
        <v>69.011343042996</v>
      </c>
      <c r="T133" s="60" t="n">
        <f aca="false">O133+Answers!$C$17/100*T132</f>
        <v>164.572763804058</v>
      </c>
      <c r="U133" s="60" t="n">
        <f aca="false">P133+Answers!$C$18/100*U132</f>
        <v>143.602919271825</v>
      </c>
      <c r="V133" s="60" t="n">
        <f aca="false">Q133+Answers!$C$19/100*V132</f>
        <v>152.169921331554</v>
      </c>
      <c r="W133" s="60" t="n">
        <f aca="false">R133+Answers!$C$20/100*W132</f>
        <v>635.633657085077</v>
      </c>
      <c r="X133" s="60" t="n">
        <f aca="false">IF('Level 1'!$C$11="",0,'Level 1'!$C$11)*E133</f>
        <v>0</v>
      </c>
      <c r="Y133" s="60" t="n">
        <f aca="false">-IF('Level 2'!$C$11="",0,'Level 2'!$C$11)*F133</f>
        <v>-0</v>
      </c>
      <c r="Z133" s="60" t="n">
        <f aca="false">IF('Level 3'!$C$11="",0,'Level 3'!$C$11)*G133</f>
        <v>0</v>
      </c>
      <c r="AA133" s="60" t="n">
        <f aca="false">IF('Level 4'!$C$11="",0,'Level 4'!$C$11)*(1-'Level 4'!$C$12/100)*I133</f>
        <v>0</v>
      </c>
      <c r="AB133" s="60" t="n">
        <f aca="false">IF('Level 5'!$C$11="",0,'Level 5'!$C$11)*J133</f>
        <v>0</v>
      </c>
      <c r="AC133" s="60" t="n">
        <f aca="false">IF('Level 5'!$C$12="",0,'Level 5'!$C$12)*K133</f>
        <v>0</v>
      </c>
      <c r="AD133" s="60" t="n">
        <f aca="false">IF('Level 5'!$C$13="",0,'Level 5'!$C$13)*(1-Answers!$C$14/100)*M133</f>
        <v>0</v>
      </c>
      <c r="AE133" s="60" t="n">
        <f aca="false">IF('Level 6'!$C$11="",0,'Level 6'!$C$11)*(1-Answers!$C$16/100)*S133</f>
        <v>0</v>
      </c>
      <c r="AF133" s="60" t="n">
        <f aca="false">IF('Level 6'!$C$12="",0,'Level 6'!$C$12)*(1-Answers!$C$17/100)*T133</f>
        <v>0</v>
      </c>
      <c r="AG133" s="60" t="n">
        <f aca="false">IF('Level 6'!$C$13="",0,'Level 6'!$C$13)*(1-Answers!$C$18/100)*U133</f>
        <v>0</v>
      </c>
      <c r="AH133" s="60" t="n">
        <f aca="false">IF('Level 6'!$C$14="",0,'Level 6'!$C$14)*(1-Answers!$C$19/100)*V133</f>
        <v>0</v>
      </c>
      <c r="AI133" s="60" t="n">
        <f aca="false">IF('Level 6'!$C$15="",0,'Level 6'!$C$15)*(1-Answers!$C$20/100)*W133</f>
        <v>0</v>
      </c>
      <c r="AJ133" s="60" t="n">
        <f aca="false">X133</f>
        <v>0</v>
      </c>
      <c r="AK133" s="60" t="n">
        <f aca="false">X133+Y133</f>
        <v>0</v>
      </c>
      <c r="AL133" s="60" t="n">
        <f aca="false">AK133+Z133</f>
        <v>0</v>
      </c>
      <c r="AM133" s="60" t="n">
        <f aca="false">AL133+AA133</f>
        <v>0</v>
      </c>
      <c r="AN133" s="60" t="n">
        <f aca="false">AM133+AB133+AC133+AD133</f>
        <v>0</v>
      </c>
      <c r="AO133" s="60" t="n">
        <f aca="false">AL133+AE133+AF133+AG133+AH133+AI133+AB133+AC133+AD133</f>
        <v>0</v>
      </c>
      <c r="AP133" s="60" t="n">
        <f aca="false">IF(Answers!$C$22="Yes",AO133,AN133)</f>
        <v>0</v>
      </c>
      <c r="AQ133" s="60" t="n">
        <v>1035.9</v>
      </c>
      <c r="AR133" s="60" t="n">
        <v>-340.7</v>
      </c>
      <c r="AS133" s="60" t="n">
        <v>0</v>
      </c>
      <c r="AT133" s="60" t="n">
        <v>3760.1</v>
      </c>
      <c r="AU133" s="60" t="n">
        <v>217.3</v>
      </c>
      <c r="AV133" s="60" t="n">
        <v>337.7</v>
      </c>
      <c r="AW133" s="60" t="n">
        <v>0.4</v>
      </c>
      <c r="AX133" s="60" t="n">
        <v>338.5</v>
      </c>
      <c r="AY133" s="60" t="n">
        <v>576.7</v>
      </c>
      <c r="AZ133" s="60" t="n">
        <v>507.6</v>
      </c>
      <c r="BA133" s="60" t="n">
        <v>163.6</v>
      </c>
      <c r="BB133" s="60" t="n">
        <v>2173.6</v>
      </c>
      <c r="BC133" s="60" t="n">
        <f aca="false">AQ133+AR133+AS133+AT133+AU133+AV133+AW133</f>
        <v>5010.7</v>
      </c>
      <c r="BD133" s="60" t="n">
        <f aca="false">AQ133</f>
        <v>1035.9</v>
      </c>
      <c r="BE133" s="60" t="n">
        <f aca="false">AQ133+AR133</f>
        <v>695.2</v>
      </c>
      <c r="BF133" s="60" t="n">
        <f aca="false">BE133+AS133</f>
        <v>695.2</v>
      </c>
      <c r="BG133" s="60" t="n">
        <f aca="false">BF133+AT133</f>
        <v>4455.3</v>
      </c>
      <c r="BH133" s="60" t="n">
        <f aca="false">BG133+AU133+AV133+AW133</f>
        <v>5010.7</v>
      </c>
      <c r="BI133" s="60" t="n">
        <f aca="false">BC133</f>
        <v>5010.7</v>
      </c>
      <c r="BJ133" s="60" t="n">
        <f aca="false">IF('Level 1'!$C$31="Yes",BD133,AJ133)</f>
        <v>0</v>
      </c>
      <c r="BK133" s="60" t="n">
        <f aca="false">IF('Level 2'!$C$31="Yes",BE133,AK133)</f>
        <v>0</v>
      </c>
      <c r="BL133" s="60" t="n">
        <f aca="false">IF('Level 3'!$C$31="Yes",BF133,AL133)</f>
        <v>0</v>
      </c>
      <c r="BM133" s="60" t="n">
        <f aca="false">IF('Level 4'!$C$31="Yes",BG133,AM133)</f>
        <v>0</v>
      </c>
      <c r="BN133" s="60" t="n">
        <f aca="false">IF('Level 5'!$C$31="Yes",BH133,AN133)</f>
        <v>0</v>
      </c>
      <c r="BO133" s="60" t="n">
        <f aca="false">IF('Level 6'!$C$31="Yes",BI133,AO133)</f>
        <v>0</v>
      </c>
      <c r="BP133" s="60" t="n">
        <f aca="false">IF('Level 7'!$C$31="Yes",BC133,AP133)</f>
        <v>0</v>
      </c>
      <c r="BQ133" s="60" t="n">
        <f aca="false">D133-AP133</f>
        <v>4443</v>
      </c>
      <c r="BR133" s="60" t="n">
        <f aca="false">BQ133^2</f>
        <v>19740249</v>
      </c>
      <c r="BS133" s="60" t="n">
        <f aca="false">(BQ133-BQ132)^2</f>
        <v>9572836</v>
      </c>
      <c r="BT133" s="60" t="n">
        <f aca="false">IF(D133&gt;2000,ABS(BQ133)/D133,"")</f>
        <v>1</v>
      </c>
      <c r="BU133" s="60" t="n">
        <v>94</v>
      </c>
      <c r="BV133" s="62" t="n">
        <v>0.5649</v>
      </c>
      <c r="BW133" s="60" t="n">
        <v>1187.6</v>
      </c>
      <c r="BX133" s="60" t="n">
        <f aca="false">AA133</f>
        <v>0</v>
      </c>
      <c r="BY133" s="60" t="n">
        <f aca="false">H133</f>
        <v>96.11</v>
      </c>
      <c r="BZ133" s="60" t="n">
        <f aca="false">Z133</f>
        <v>0</v>
      </c>
      <c r="CA133" s="60" t="n">
        <f aca="false">AB133+AC133+AD133</f>
        <v>0</v>
      </c>
      <c r="CB133" s="60" t="n">
        <f aca="false">AE133+AF133+AG133+AH133+AI133</f>
        <v>0</v>
      </c>
    </row>
    <row r="134" customFormat="false" ht="15" hidden="false" customHeight="false" outlineLevel="0" collapsed="false">
      <c r="A134" s="58" t="n">
        <v>45830</v>
      </c>
      <c r="B134" s="59" t="n">
        <f aca="false">YEAR(A134)</f>
        <v>2025</v>
      </c>
      <c r="C134" s="59" t="n">
        <f aca="false">MONTH(A134)</f>
        <v>6</v>
      </c>
      <c r="D134" s="60" t="n">
        <v>3214</v>
      </c>
      <c r="E134" s="61" t="n">
        <v>1.5262</v>
      </c>
      <c r="F134" s="61" t="n">
        <v>0.3139</v>
      </c>
      <c r="G134" s="61" t="n">
        <v>0</v>
      </c>
      <c r="H134" s="60" t="n">
        <v>48.31</v>
      </c>
      <c r="I134" s="60" t="n">
        <f aca="false">H134+'Level 4'!$C$12/100*I133</f>
        <v>48.31</v>
      </c>
      <c r="J134" s="60" t="n">
        <v>50.02</v>
      </c>
      <c r="K134" s="60" t="n">
        <v>108.4</v>
      </c>
      <c r="L134" s="60" t="n">
        <v>140.29</v>
      </c>
      <c r="M134" s="60" t="n">
        <f aca="false">L134+Answers!$C$14/100*M133</f>
        <v>897.13974130877</v>
      </c>
      <c r="N134" s="60" t="n">
        <v>0</v>
      </c>
      <c r="O134" s="60" t="n">
        <v>0.01</v>
      </c>
      <c r="P134" s="60" t="n">
        <v>0</v>
      </c>
      <c r="Q134" s="60" t="n">
        <v>6.5</v>
      </c>
      <c r="R134" s="60" t="n">
        <v>38.58</v>
      </c>
      <c r="S134" s="60" t="n">
        <f aca="false">N134+Answers!$C$16/100*S133</f>
        <v>55.2090744343968</v>
      </c>
      <c r="T134" s="60" t="n">
        <f aca="false">O134+Answers!$C$17/100*T133</f>
        <v>131.668211043246</v>
      </c>
      <c r="U134" s="60" t="n">
        <f aca="false">P134+Answers!$C$18/100*U133</f>
        <v>114.88233541746</v>
      </c>
      <c r="V134" s="60" t="n">
        <f aca="false">Q134+Answers!$C$19/100*V133</f>
        <v>128.235937065243</v>
      </c>
      <c r="W134" s="60" t="n">
        <f aca="false">R134+Answers!$C$20/100*W133</f>
        <v>547.086925668061</v>
      </c>
      <c r="X134" s="60" t="n">
        <f aca="false">IF('Level 1'!$C$11="",0,'Level 1'!$C$11)*E134</f>
        <v>0</v>
      </c>
      <c r="Y134" s="60" t="n">
        <f aca="false">-IF('Level 2'!$C$11="",0,'Level 2'!$C$11)*F134</f>
        <v>-0</v>
      </c>
      <c r="Z134" s="60" t="n">
        <f aca="false">IF('Level 3'!$C$11="",0,'Level 3'!$C$11)*G134</f>
        <v>0</v>
      </c>
      <c r="AA134" s="60" t="n">
        <f aca="false">IF('Level 4'!$C$11="",0,'Level 4'!$C$11)*(1-'Level 4'!$C$12/100)*I134</f>
        <v>0</v>
      </c>
      <c r="AB134" s="60" t="n">
        <f aca="false">IF('Level 5'!$C$11="",0,'Level 5'!$C$11)*J134</f>
        <v>0</v>
      </c>
      <c r="AC134" s="60" t="n">
        <f aca="false">IF('Level 5'!$C$12="",0,'Level 5'!$C$12)*K134</f>
        <v>0</v>
      </c>
      <c r="AD134" s="60" t="n">
        <f aca="false">IF('Level 5'!$C$13="",0,'Level 5'!$C$13)*(1-Answers!$C$14/100)*M134</f>
        <v>0</v>
      </c>
      <c r="AE134" s="60" t="n">
        <f aca="false">IF('Level 6'!$C$11="",0,'Level 6'!$C$11)*(1-Answers!$C$16/100)*S134</f>
        <v>0</v>
      </c>
      <c r="AF134" s="60" t="n">
        <f aca="false">IF('Level 6'!$C$12="",0,'Level 6'!$C$12)*(1-Answers!$C$17/100)*T134</f>
        <v>0</v>
      </c>
      <c r="AG134" s="60" t="n">
        <f aca="false">IF('Level 6'!$C$13="",0,'Level 6'!$C$13)*(1-Answers!$C$18/100)*U134</f>
        <v>0</v>
      </c>
      <c r="AH134" s="60" t="n">
        <f aca="false">IF('Level 6'!$C$14="",0,'Level 6'!$C$14)*(1-Answers!$C$19/100)*V134</f>
        <v>0</v>
      </c>
      <c r="AI134" s="60" t="n">
        <f aca="false">IF('Level 6'!$C$15="",0,'Level 6'!$C$15)*(1-Answers!$C$20/100)*W134</f>
        <v>0</v>
      </c>
      <c r="AJ134" s="60" t="n">
        <f aca="false">X134</f>
        <v>0</v>
      </c>
      <c r="AK134" s="60" t="n">
        <f aca="false">X134+Y134</f>
        <v>0</v>
      </c>
      <c r="AL134" s="60" t="n">
        <f aca="false">AK134+Z134</f>
        <v>0</v>
      </c>
      <c r="AM134" s="60" t="n">
        <f aca="false">AL134+AA134</f>
        <v>0</v>
      </c>
      <c r="AN134" s="60" t="n">
        <f aca="false">AM134+AB134+AC134+AD134</f>
        <v>0</v>
      </c>
      <c r="AO134" s="60" t="n">
        <f aca="false">AL134+AE134+AF134+AG134+AH134+AI134+AB134+AC134+AD134</f>
        <v>0</v>
      </c>
      <c r="AP134" s="60" t="n">
        <f aca="false">IF(Answers!$C$22="Yes",AO134,AN134)</f>
        <v>0</v>
      </c>
      <c r="AQ134" s="60" t="n">
        <v>1336.3</v>
      </c>
      <c r="AR134" s="60" t="n">
        <v>-299</v>
      </c>
      <c r="AS134" s="60" t="n">
        <v>0</v>
      </c>
      <c r="AT134" s="60" t="n">
        <v>3309.8</v>
      </c>
      <c r="AU134" s="60" t="n">
        <v>230.3</v>
      </c>
      <c r="AV134" s="60" t="n">
        <v>290.9</v>
      </c>
      <c r="AW134" s="60" t="n">
        <v>0.2</v>
      </c>
      <c r="AX134" s="60" t="n">
        <v>287.7</v>
      </c>
      <c r="AY134" s="60" t="n">
        <v>490.2</v>
      </c>
      <c r="AZ134" s="60" t="n">
        <v>431.5</v>
      </c>
      <c r="BA134" s="60" t="n">
        <v>144.5</v>
      </c>
      <c r="BB134" s="60" t="n">
        <v>1955.8</v>
      </c>
      <c r="BC134" s="60" t="n">
        <f aca="false">AQ134+AR134+AS134+AT134+AU134+AV134+AW134</f>
        <v>4868.5</v>
      </c>
      <c r="BD134" s="60" t="n">
        <f aca="false">AQ134</f>
        <v>1336.3</v>
      </c>
      <c r="BE134" s="60" t="n">
        <f aca="false">AQ134+AR134</f>
        <v>1037.3</v>
      </c>
      <c r="BF134" s="60" t="n">
        <f aca="false">BE134+AS134</f>
        <v>1037.3</v>
      </c>
      <c r="BG134" s="60" t="n">
        <f aca="false">BF134+AT134</f>
        <v>4347.1</v>
      </c>
      <c r="BH134" s="60" t="n">
        <f aca="false">BG134+AU134+AV134+AW134</f>
        <v>4868.5</v>
      </c>
      <c r="BI134" s="60" t="n">
        <f aca="false">BC134</f>
        <v>4868.5</v>
      </c>
      <c r="BJ134" s="60" t="n">
        <f aca="false">IF('Level 1'!$C$31="Yes",BD134,AJ134)</f>
        <v>0</v>
      </c>
      <c r="BK134" s="60" t="n">
        <f aca="false">IF('Level 2'!$C$31="Yes",BE134,AK134)</f>
        <v>0</v>
      </c>
      <c r="BL134" s="60" t="n">
        <f aca="false">IF('Level 3'!$C$31="Yes",BF134,AL134)</f>
        <v>0</v>
      </c>
      <c r="BM134" s="60" t="n">
        <f aca="false">IF('Level 4'!$C$31="Yes",BG134,AM134)</f>
        <v>0</v>
      </c>
      <c r="BN134" s="60" t="n">
        <f aca="false">IF('Level 5'!$C$31="Yes",BH134,AN134)</f>
        <v>0</v>
      </c>
      <c r="BO134" s="60" t="n">
        <f aca="false">IF('Level 6'!$C$31="Yes",BI134,AO134)</f>
        <v>0</v>
      </c>
      <c r="BP134" s="60" t="n">
        <f aca="false">IF('Level 7'!$C$31="Yes",BC134,AP134)</f>
        <v>0</v>
      </c>
      <c r="BQ134" s="60" t="n">
        <f aca="false">D134-AP134</f>
        <v>3214</v>
      </c>
      <c r="BR134" s="60" t="n">
        <f aca="false">BQ134^2</f>
        <v>10329796</v>
      </c>
      <c r="BS134" s="60" t="n">
        <f aca="false">(BQ134-BQ133)^2</f>
        <v>1510441</v>
      </c>
      <c r="BT134" s="60" t="n">
        <f aca="false">IF(D134&gt;2000,ABS(BQ134)/D134,"")</f>
        <v>1</v>
      </c>
      <c r="BU134" s="60" t="n">
        <v>71</v>
      </c>
      <c r="BV134" s="62" t="n">
        <v>0.5649</v>
      </c>
      <c r="BW134" s="60" t="n">
        <v>446.2</v>
      </c>
      <c r="BX134" s="60" t="n">
        <f aca="false">AA134</f>
        <v>0</v>
      </c>
      <c r="BY134" s="60" t="n">
        <f aca="false">H134</f>
        <v>48.31</v>
      </c>
      <c r="BZ134" s="60" t="n">
        <f aca="false">Z134</f>
        <v>0</v>
      </c>
      <c r="CA134" s="60" t="n">
        <f aca="false">AB134+AC134+AD134</f>
        <v>0</v>
      </c>
      <c r="CB134" s="60" t="n">
        <f aca="false">AE134+AF134+AG134+AH134+AI134</f>
        <v>0</v>
      </c>
    </row>
    <row r="135" customFormat="false" ht="15" hidden="false" customHeight="false" outlineLevel="0" collapsed="false">
      <c r="A135" s="58" t="n">
        <v>45837</v>
      </c>
      <c r="B135" s="59" t="n">
        <f aca="false">YEAR(A135)</f>
        <v>2025</v>
      </c>
      <c r="C135" s="59" t="n">
        <f aca="false">MONTH(A135)</f>
        <v>6</v>
      </c>
      <c r="D135" s="60" t="n">
        <v>3648</v>
      </c>
      <c r="E135" s="61" t="n">
        <v>1.3325</v>
      </c>
      <c r="F135" s="61" t="n">
        <v>0.1379</v>
      </c>
      <c r="G135" s="61" t="n">
        <v>0</v>
      </c>
      <c r="H135" s="60" t="n">
        <v>45.86</v>
      </c>
      <c r="I135" s="60" t="n">
        <f aca="false">H135+'Level 4'!$C$12/100*I134</f>
        <v>45.86</v>
      </c>
      <c r="J135" s="60" t="n">
        <v>32.83</v>
      </c>
      <c r="K135" s="60" t="n">
        <v>108.43</v>
      </c>
      <c r="L135" s="60" t="n">
        <v>81.94</v>
      </c>
      <c r="M135" s="60" t="n">
        <f aca="false">L135+Answers!$C$14/100*M134</f>
        <v>620.223844785262</v>
      </c>
      <c r="N135" s="60" t="n">
        <v>0</v>
      </c>
      <c r="O135" s="60" t="n">
        <v>0</v>
      </c>
      <c r="P135" s="60" t="n">
        <v>0</v>
      </c>
      <c r="Q135" s="60" t="n">
        <v>0</v>
      </c>
      <c r="R135" s="60" t="n">
        <v>42.21</v>
      </c>
      <c r="S135" s="60" t="n">
        <f aca="false">N135+Answers!$C$16/100*S134</f>
        <v>44.1672595475174</v>
      </c>
      <c r="T135" s="60" t="n">
        <f aca="false">O135+Answers!$C$17/100*T134</f>
        <v>105.334568834597</v>
      </c>
      <c r="U135" s="60" t="n">
        <f aca="false">P135+Answers!$C$18/100*U134</f>
        <v>91.9058683339678</v>
      </c>
      <c r="V135" s="60" t="n">
        <f aca="false">Q135+Answers!$C$19/100*V134</f>
        <v>102.588749652194</v>
      </c>
      <c r="W135" s="60" t="n">
        <f aca="false">R135+Answers!$C$20/100*W134</f>
        <v>479.879540534449</v>
      </c>
      <c r="X135" s="60" t="n">
        <f aca="false">IF('Level 1'!$C$11="",0,'Level 1'!$C$11)*E135</f>
        <v>0</v>
      </c>
      <c r="Y135" s="60" t="n">
        <f aca="false">-IF('Level 2'!$C$11="",0,'Level 2'!$C$11)*F135</f>
        <v>-0</v>
      </c>
      <c r="Z135" s="60" t="n">
        <f aca="false">IF('Level 3'!$C$11="",0,'Level 3'!$C$11)*G135</f>
        <v>0</v>
      </c>
      <c r="AA135" s="60" t="n">
        <f aca="false">IF('Level 4'!$C$11="",0,'Level 4'!$C$11)*(1-'Level 4'!$C$12/100)*I135</f>
        <v>0</v>
      </c>
      <c r="AB135" s="60" t="n">
        <f aca="false">IF('Level 5'!$C$11="",0,'Level 5'!$C$11)*J135</f>
        <v>0</v>
      </c>
      <c r="AC135" s="60" t="n">
        <f aca="false">IF('Level 5'!$C$12="",0,'Level 5'!$C$12)*K135</f>
        <v>0</v>
      </c>
      <c r="AD135" s="60" t="n">
        <f aca="false">IF('Level 5'!$C$13="",0,'Level 5'!$C$13)*(1-Answers!$C$14/100)*M135</f>
        <v>0</v>
      </c>
      <c r="AE135" s="60" t="n">
        <f aca="false">IF('Level 6'!$C$11="",0,'Level 6'!$C$11)*(1-Answers!$C$16/100)*S135</f>
        <v>0</v>
      </c>
      <c r="AF135" s="60" t="n">
        <f aca="false">IF('Level 6'!$C$12="",0,'Level 6'!$C$12)*(1-Answers!$C$17/100)*T135</f>
        <v>0</v>
      </c>
      <c r="AG135" s="60" t="n">
        <f aca="false">IF('Level 6'!$C$13="",0,'Level 6'!$C$13)*(1-Answers!$C$18/100)*U135</f>
        <v>0</v>
      </c>
      <c r="AH135" s="60" t="n">
        <f aca="false">IF('Level 6'!$C$14="",0,'Level 6'!$C$14)*(1-Answers!$C$19/100)*V135</f>
        <v>0</v>
      </c>
      <c r="AI135" s="60" t="n">
        <f aca="false">IF('Level 6'!$C$15="",0,'Level 6'!$C$15)*(1-Answers!$C$20/100)*W135</f>
        <v>0</v>
      </c>
      <c r="AJ135" s="60" t="n">
        <f aca="false">X135</f>
        <v>0</v>
      </c>
      <c r="AK135" s="60" t="n">
        <f aca="false">X135+Y135</f>
        <v>0</v>
      </c>
      <c r="AL135" s="60" t="n">
        <f aca="false">AK135+Z135</f>
        <v>0</v>
      </c>
      <c r="AM135" s="60" t="n">
        <f aca="false">AL135+AA135</f>
        <v>0</v>
      </c>
      <c r="AN135" s="60" t="n">
        <f aca="false">AM135+AB135+AC135+AD135</f>
        <v>0</v>
      </c>
      <c r="AO135" s="60" t="n">
        <f aca="false">AL135+AE135+AF135+AG135+AH135+AI135+AB135+AC135+AD135</f>
        <v>0</v>
      </c>
      <c r="AP135" s="60" t="n">
        <f aca="false">IF(Answers!$C$22="Yes",AO135,AN135)</f>
        <v>0</v>
      </c>
      <c r="AQ135" s="60" t="n">
        <v>1166.8</v>
      </c>
      <c r="AR135" s="60" t="n">
        <v>-131.4</v>
      </c>
      <c r="AS135" s="60" t="n">
        <v>0</v>
      </c>
      <c r="AT135" s="60" t="n">
        <v>2932.5</v>
      </c>
      <c r="AU135" s="60" t="n">
        <v>185.9</v>
      </c>
      <c r="AV135" s="60" t="n">
        <v>291</v>
      </c>
      <c r="AW135" s="60" t="n">
        <v>0.2</v>
      </c>
      <c r="AX135" s="60" t="n">
        <v>244.6</v>
      </c>
      <c r="AY135" s="60" t="n">
        <v>416.7</v>
      </c>
      <c r="AZ135" s="60" t="n">
        <v>366.8</v>
      </c>
      <c r="BA135" s="60" t="n">
        <v>122.9</v>
      </c>
      <c r="BB135" s="60" t="n">
        <v>1781.6</v>
      </c>
      <c r="BC135" s="60" t="n">
        <f aca="false">AQ135+AR135+AS135+AT135+AU135+AV135+AW135</f>
        <v>4445</v>
      </c>
      <c r="BD135" s="60" t="n">
        <f aca="false">AQ135</f>
        <v>1166.8</v>
      </c>
      <c r="BE135" s="60" t="n">
        <f aca="false">AQ135+AR135</f>
        <v>1035.4</v>
      </c>
      <c r="BF135" s="60" t="n">
        <f aca="false">BE135+AS135</f>
        <v>1035.4</v>
      </c>
      <c r="BG135" s="60" t="n">
        <f aca="false">BF135+AT135</f>
        <v>3967.9</v>
      </c>
      <c r="BH135" s="60" t="n">
        <f aca="false">BG135+AU135+AV135+AW135</f>
        <v>4445</v>
      </c>
      <c r="BI135" s="60" t="n">
        <f aca="false">BC135</f>
        <v>4445</v>
      </c>
      <c r="BJ135" s="60" t="n">
        <f aca="false">IF('Level 1'!$C$31="Yes",BD135,AJ135)</f>
        <v>0</v>
      </c>
      <c r="BK135" s="60" t="n">
        <f aca="false">IF('Level 2'!$C$31="Yes",BE135,AK135)</f>
        <v>0</v>
      </c>
      <c r="BL135" s="60" t="n">
        <f aca="false">IF('Level 3'!$C$31="Yes",BF135,AL135)</f>
        <v>0</v>
      </c>
      <c r="BM135" s="60" t="n">
        <f aca="false">IF('Level 4'!$C$31="Yes",BG135,AM135)</f>
        <v>0</v>
      </c>
      <c r="BN135" s="60" t="n">
        <f aca="false">IF('Level 5'!$C$31="Yes",BH135,AN135)</f>
        <v>0</v>
      </c>
      <c r="BO135" s="60" t="n">
        <f aca="false">IF('Level 6'!$C$31="Yes",BI135,AO135)</f>
        <v>0</v>
      </c>
      <c r="BP135" s="60" t="n">
        <f aca="false">IF('Level 7'!$C$31="Yes",BC135,AP135)</f>
        <v>0</v>
      </c>
      <c r="BQ135" s="60" t="n">
        <f aca="false">D135-AP135</f>
        <v>3648</v>
      </c>
      <c r="BR135" s="60" t="n">
        <f aca="false">BQ135^2</f>
        <v>13307904</v>
      </c>
      <c r="BS135" s="60" t="n">
        <f aca="false">(BQ135-BQ134)^2</f>
        <v>188356</v>
      </c>
      <c r="BT135" s="60" t="n">
        <f aca="false">IF(D135&gt;2000,ABS(BQ135)/D135,"")</f>
        <v>1</v>
      </c>
      <c r="BU135" s="60" t="n">
        <v>109</v>
      </c>
      <c r="BV135" s="62" t="n">
        <v>0.5546</v>
      </c>
      <c r="BW135" s="60" t="n">
        <v>378.2</v>
      </c>
      <c r="BX135" s="60" t="n">
        <f aca="false">AA135</f>
        <v>0</v>
      </c>
      <c r="BY135" s="60" t="n">
        <f aca="false">H135</f>
        <v>45.86</v>
      </c>
      <c r="BZ135" s="60" t="n">
        <f aca="false">Z135</f>
        <v>0</v>
      </c>
      <c r="CA135" s="60" t="n">
        <f aca="false">AB135+AC135+AD135</f>
        <v>0</v>
      </c>
      <c r="CB135" s="60" t="n">
        <f aca="false">AE135+AF135+AG135+AH135+AI135</f>
        <v>0</v>
      </c>
    </row>
    <row r="136" customFormat="false" ht="15" hidden="false" customHeight="false" outlineLevel="0" collapsed="false">
      <c r="A136" s="58" t="n">
        <v>45844</v>
      </c>
      <c r="B136" s="59" t="n">
        <f aca="false">YEAR(A136)</f>
        <v>2025</v>
      </c>
      <c r="C136" s="59" t="n">
        <f aca="false">MONTH(A136)</f>
        <v>7</v>
      </c>
      <c r="D136" s="60" t="n">
        <v>2800</v>
      </c>
      <c r="E136" s="61" t="n">
        <v>1.2145</v>
      </c>
      <c r="F136" s="61" t="n">
        <v>0.2604</v>
      </c>
      <c r="G136" s="61" t="n">
        <v>0</v>
      </c>
      <c r="H136" s="60" t="n">
        <v>46.16</v>
      </c>
      <c r="I136" s="60" t="n">
        <f aca="false">H136+'Level 4'!$C$12/100*I135</f>
        <v>46.16</v>
      </c>
      <c r="J136" s="60" t="n">
        <v>60.71</v>
      </c>
      <c r="K136" s="60" t="n">
        <v>83.42</v>
      </c>
      <c r="L136" s="60" t="n">
        <v>8.83</v>
      </c>
      <c r="M136" s="60" t="n">
        <f aca="false">L136+Answers!$C$14/100*M135</f>
        <v>380.964306871157</v>
      </c>
      <c r="N136" s="60" t="n">
        <v>0</v>
      </c>
      <c r="O136" s="60" t="n">
        <v>0</v>
      </c>
      <c r="P136" s="60" t="n">
        <v>0</v>
      </c>
      <c r="Q136" s="60" t="n">
        <v>0</v>
      </c>
      <c r="R136" s="60" t="n">
        <v>43.36</v>
      </c>
      <c r="S136" s="60" t="n">
        <f aca="false">N136+Answers!$C$16/100*S135</f>
        <v>35.333807638014</v>
      </c>
      <c r="T136" s="60" t="n">
        <f aca="false">O136+Answers!$C$17/100*T135</f>
        <v>84.2676550676775</v>
      </c>
      <c r="U136" s="60" t="n">
        <f aca="false">P136+Answers!$C$18/100*U135</f>
        <v>73.5246946671742</v>
      </c>
      <c r="V136" s="60" t="n">
        <f aca="false">Q136+Answers!$C$19/100*V135</f>
        <v>82.0709997217554</v>
      </c>
      <c r="W136" s="60" t="n">
        <f aca="false">R136+Answers!$C$20/100*W135</f>
        <v>427.263632427559</v>
      </c>
      <c r="X136" s="60" t="n">
        <f aca="false">IF('Level 1'!$C$11="",0,'Level 1'!$C$11)*E136</f>
        <v>0</v>
      </c>
      <c r="Y136" s="60" t="n">
        <f aca="false">-IF('Level 2'!$C$11="",0,'Level 2'!$C$11)*F136</f>
        <v>-0</v>
      </c>
      <c r="Z136" s="60" t="n">
        <f aca="false">IF('Level 3'!$C$11="",0,'Level 3'!$C$11)*G136</f>
        <v>0</v>
      </c>
      <c r="AA136" s="60" t="n">
        <f aca="false">IF('Level 4'!$C$11="",0,'Level 4'!$C$11)*(1-'Level 4'!$C$12/100)*I136</f>
        <v>0</v>
      </c>
      <c r="AB136" s="60" t="n">
        <f aca="false">IF('Level 5'!$C$11="",0,'Level 5'!$C$11)*J136</f>
        <v>0</v>
      </c>
      <c r="AC136" s="60" t="n">
        <f aca="false">IF('Level 5'!$C$12="",0,'Level 5'!$C$12)*K136</f>
        <v>0</v>
      </c>
      <c r="AD136" s="60" t="n">
        <f aca="false">IF('Level 5'!$C$13="",0,'Level 5'!$C$13)*(1-Answers!$C$14/100)*M136</f>
        <v>0</v>
      </c>
      <c r="AE136" s="60" t="n">
        <f aca="false">IF('Level 6'!$C$11="",0,'Level 6'!$C$11)*(1-Answers!$C$16/100)*S136</f>
        <v>0</v>
      </c>
      <c r="AF136" s="60" t="n">
        <f aca="false">IF('Level 6'!$C$12="",0,'Level 6'!$C$12)*(1-Answers!$C$17/100)*T136</f>
        <v>0</v>
      </c>
      <c r="AG136" s="60" t="n">
        <f aca="false">IF('Level 6'!$C$13="",0,'Level 6'!$C$13)*(1-Answers!$C$18/100)*U136</f>
        <v>0</v>
      </c>
      <c r="AH136" s="60" t="n">
        <f aca="false">IF('Level 6'!$C$14="",0,'Level 6'!$C$14)*(1-Answers!$C$19/100)*V136</f>
        <v>0</v>
      </c>
      <c r="AI136" s="60" t="n">
        <f aca="false">IF('Level 6'!$C$15="",0,'Level 6'!$C$15)*(1-Answers!$C$20/100)*W136</f>
        <v>0</v>
      </c>
      <c r="AJ136" s="60" t="n">
        <f aca="false">X136</f>
        <v>0</v>
      </c>
      <c r="AK136" s="60" t="n">
        <f aca="false">X136+Y136</f>
        <v>0</v>
      </c>
      <c r="AL136" s="60" t="n">
        <f aca="false">AK136+Z136</f>
        <v>0</v>
      </c>
      <c r="AM136" s="60" t="n">
        <f aca="false">AL136+AA136</f>
        <v>0</v>
      </c>
      <c r="AN136" s="60" t="n">
        <f aca="false">AM136+AB136+AC136+AD136</f>
        <v>0</v>
      </c>
      <c r="AO136" s="60" t="n">
        <f aca="false">AL136+AE136+AF136+AG136+AH136+AI136+AB136+AC136+AD136</f>
        <v>0</v>
      </c>
      <c r="AP136" s="60" t="n">
        <f aca="false">IF(Answers!$C$22="Yes",AO136,AN136)</f>
        <v>0</v>
      </c>
      <c r="AQ136" s="60" t="n">
        <v>1063.5</v>
      </c>
      <c r="AR136" s="60" t="n">
        <v>-248</v>
      </c>
      <c r="AS136" s="60" t="n">
        <v>0</v>
      </c>
      <c r="AT136" s="60" t="n">
        <v>2608.1</v>
      </c>
      <c r="AU136" s="60" t="n">
        <v>269.2</v>
      </c>
      <c r="AV136" s="60" t="n">
        <v>223.9</v>
      </c>
      <c r="AW136" s="60" t="n">
        <v>0.1</v>
      </c>
      <c r="AX136" s="60" t="n">
        <v>207.9</v>
      </c>
      <c r="AY136" s="60" t="n">
        <v>354.2</v>
      </c>
      <c r="AZ136" s="60" t="n">
        <v>311.8</v>
      </c>
      <c r="BA136" s="60" t="n">
        <v>104.4</v>
      </c>
      <c r="BB136" s="60" t="n">
        <v>1629.9</v>
      </c>
      <c r="BC136" s="60" t="n">
        <f aca="false">AQ136+AR136+AS136+AT136+AU136+AV136+AW136</f>
        <v>3916.8</v>
      </c>
      <c r="BD136" s="60" t="n">
        <f aca="false">AQ136</f>
        <v>1063.5</v>
      </c>
      <c r="BE136" s="60" t="n">
        <f aca="false">AQ136+AR136</f>
        <v>815.5</v>
      </c>
      <c r="BF136" s="60" t="n">
        <f aca="false">BE136+AS136</f>
        <v>815.5</v>
      </c>
      <c r="BG136" s="60" t="n">
        <f aca="false">BF136+AT136</f>
        <v>3423.6</v>
      </c>
      <c r="BH136" s="60" t="n">
        <f aca="false">BG136+AU136+AV136+AW136</f>
        <v>3916.8</v>
      </c>
      <c r="BI136" s="60" t="n">
        <f aca="false">BC136</f>
        <v>3916.8</v>
      </c>
      <c r="BJ136" s="60" t="n">
        <f aca="false">IF('Level 1'!$C$31="Yes",BD136,AJ136)</f>
        <v>0</v>
      </c>
      <c r="BK136" s="60" t="n">
        <f aca="false">IF('Level 2'!$C$31="Yes",BE136,AK136)</f>
        <v>0</v>
      </c>
      <c r="BL136" s="60" t="n">
        <f aca="false">IF('Level 3'!$C$31="Yes",BF136,AL136)</f>
        <v>0</v>
      </c>
      <c r="BM136" s="60" t="n">
        <f aca="false">IF('Level 4'!$C$31="Yes",BG136,AM136)</f>
        <v>0</v>
      </c>
      <c r="BN136" s="60" t="n">
        <f aca="false">IF('Level 5'!$C$31="Yes",BH136,AN136)</f>
        <v>0</v>
      </c>
      <c r="BO136" s="60" t="n">
        <f aca="false">IF('Level 6'!$C$31="Yes",BI136,AO136)</f>
        <v>0</v>
      </c>
      <c r="BP136" s="60" t="n">
        <f aca="false">IF('Level 7'!$C$31="Yes",BC136,AP136)</f>
        <v>0</v>
      </c>
      <c r="BQ136" s="60" t="n">
        <f aca="false">D136-AP136</f>
        <v>2800</v>
      </c>
      <c r="BR136" s="60" t="n">
        <f aca="false">BQ136^2</f>
        <v>7840000</v>
      </c>
      <c r="BS136" s="60" t="n">
        <f aca="false">(BQ136-BQ135)^2</f>
        <v>719104</v>
      </c>
      <c r="BT136" s="60" t="n">
        <f aca="false">IF(D136&gt;2000,ABS(BQ136)/D136,"")</f>
        <v>1</v>
      </c>
      <c r="BU136" s="60" t="n">
        <v>126</v>
      </c>
      <c r="BV136" s="62" t="n">
        <v>0.5529</v>
      </c>
      <c r="BW136" s="60" t="n">
        <v>281.8</v>
      </c>
      <c r="BX136" s="60" t="n">
        <f aca="false">AA136</f>
        <v>0</v>
      </c>
      <c r="BY136" s="60" t="n">
        <f aca="false">H136</f>
        <v>46.16</v>
      </c>
      <c r="BZ136" s="60" t="n">
        <f aca="false">Z136</f>
        <v>0</v>
      </c>
      <c r="CA136" s="60" t="n">
        <f aca="false">AB136+AC136+AD136</f>
        <v>0</v>
      </c>
      <c r="CB136" s="60" t="n">
        <f aca="false">AE136+AF136+AG136+AH136+AI136</f>
        <v>0</v>
      </c>
    </row>
    <row r="137" customFormat="false" ht="15" hidden="false" customHeight="false" outlineLevel="0" collapsed="false">
      <c r="A137" s="58" t="n">
        <v>45851</v>
      </c>
      <c r="B137" s="59" t="n">
        <f aca="false">YEAR(A137)</f>
        <v>2025</v>
      </c>
      <c r="C137" s="59" t="n">
        <f aca="false">MONTH(A137)</f>
        <v>7</v>
      </c>
      <c r="D137" s="60" t="n">
        <v>2136</v>
      </c>
      <c r="E137" s="61" t="n">
        <v>1.1175</v>
      </c>
      <c r="F137" s="61" t="n">
        <v>0.177</v>
      </c>
      <c r="G137" s="61" t="n">
        <v>0</v>
      </c>
      <c r="H137" s="60" t="n">
        <v>42.19</v>
      </c>
      <c r="I137" s="60" t="n">
        <f aca="false">H137+'Level 4'!$C$12/100*I136</f>
        <v>42.19</v>
      </c>
      <c r="J137" s="60" t="n">
        <v>52.51</v>
      </c>
      <c r="K137" s="60" t="n">
        <v>88.02</v>
      </c>
      <c r="L137" s="60" t="n">
        <v>6.42</v>
      </c>
      <c r="M137" s="60" t="n">
        <f aca="false">L137+Answers!$C$14/100*M136</f>
        <v>234.998584122694</v>
      </c>
      <c r="N137" s="60" t="n">
        <v>0</v>
      </c>
      <c r="O137" s="60" t="n">
        <v>0</v>
      </c>
      <c r="P137" s="60" t="n">
        <v>0</v>
      </c>
      <c r="Q137" s="60" t="n">
        <v>0</v>
      </c>
      <c r="R137" s="60" t="n">
        <v>40.05</v>
      </c>
      <c r="S137" s="60" t="n">
        <f aca="false">N137+Answers!$C$16/100*S136</f>
        <v>28.2670461104112</v>
      </c>
      <c r="T137" s="60" t="n">
        <f aca="false">O137+Answers!$C$17/100*T136</f>
        <v>67.414124054142</v>
      </c>
      <c r="U137" s="60" t="n">
        <f aca="false">P137+Answers!$C$18/100*U136</f>
        <v>58.8197557337394</v>
      </c>
      <c r="V137" s="60" t="n">
        <f aca="false">Q137+Answers!$C$19/100*V136</f>
        <v>65.6567997774044</v>
      </c>
      <c r="W137" s="60" t="n">
        <f aca="false">R137+Answers!$C$20/100*W136</f>
        <v>381.860905942047</v>
      </c>
      <c r="X137" s="60" t="n">
        <f aca="false">IF('Level 1'!$C$11="",0,'Level 1'!$C$11)*E137</f>
        <v>0</v>
      </c>
      <c r="Y137" s="60" t="n">
        <f aca="false">-IF('Level 2'!$C$11="",0,'Level 2'!$C$11)*F137</f>
        <v>-0</v>
      </c>
      <c r="Z137" s="60" t="n">
        <f aca="false">IF('Level 3'!$C$11="",0,'Level 3'!$C$11)*G137</f>
        <v>0</v>
      </c>
      <c r="AA137" s="60" t="n">
        <f aca="false">IF('Level 4'!$C$11="",0,'Level 4'!$C$11)*(1-'Level 4'!$C$12/100)*I137</f>
        <v>0</v>
      </c>
      <c r="AB137" s="60" t="n">
        <f aca="false">IF('Level 5'!$C$11="",0,'Level 5'!$C$11)*J137</f>
        <v>0</v>
      </c>
      <c r="AC137" s="60" t="n">
        <f aca="false">IF('Level 5'!$C$12="",0,'Level 5'!$C$12)*K137</f>
        <v>0</v>
      </c>
      <c r="AD137" s="60" t="n">
        <f aca="false">IF('Level 5'!$C$13="",0,'Level 5'!$C$13)*(1-Answers!$C$14/100)*M137</f>
        <v>0</v>
      </c>
      <c r="AE137" s="60" t="n">
        <f aca="false">IF('Level 6'!$C$11="",0,'Level 6'!$C$11)*(1-Answers!$C$16/100)*S137</f>
        <v>0</v>
      </c>
      <c r="AF137" s="60" t="n">
        <f aca="false">IF('Level 6'!$C$12="",0,'Level 6'!$C$12)*(1-Answers!$C$17/100)*T137</f>
        <v>0</v>
      </c>
      <c r="AG137" s="60" t="n">
        <f aca="false">IF('Level 6'!$C$13="",0,'Level 6'!$C$13)*(1-Answers!$C$18/100)*U137</f>
        <v>0</v>
      </c>
      <c r="AH137" s="60" t="n">
        <f aca="false">IF('Level 6'!$C$14="",0,'Level 6'!$C$14)*(1-Answers!$C$19/100)*V137</f>
        <v>0</v>
      </c>
      <c r="AI137" s="60" t="n">
        <f aca="false">IF('Level 6'!$C$15="",0,'Level 6'!$C$15)*(1-Answers!$C$20/100)*W137</f>
        <v>0</v>
      </c>
      <c r="AJ137" s="60" t="n">
        <f aca="false">X137</f>
        <v>0</v>
      </c>
      <c r="AK137" s="60" t="n">
        <f aca="false">X137+Y137</f>
        <v>0</v>
      </c>
      <c r="AL137" s="60" t="n">
        <f aca="false">AK137+Z137</f>
        <v>0</v>
      </c>
      <c r="AM137" s="60" t="n">
        <f aca="false">AL137+AA137</f>
        <v>0</v>
      </c>
      <c r="AN137" s="60" t="n">
        <f aca="false">AM137+AB137+AC137+AD137</f>
        <v>0</v>
      </c>
      <c r="AO137" s="60" t="n">
        <f aca="false">AL137+AE137+AF137+AG137+AH137+AI137+AB137+AC137+AD137</f>
        <v>0</v>
      </c>
      <c r="AP137" s="60" t="n">
        <f aca="false">IF(Answers!$C$22="Yes",AO137,AN137)</f>
        <v>0</v>
      </c>
      <c r="AQ137" s="60" t="n">
        <v>978.5</v>
      </c>
      <c r="AR137" s="60" t="n">
        <v>-168.5</v>
      </c>
      <c r="AS137" s="60" t="n">
        <v>0</v>
      </c>
      <c r="AT137" s="60" t="n">
        <v>2325.4</v>
      </c>
      <c r="AU137" s="60" t="n">
        <v>237</v>
      </c>
      <c r="AV137" s="60" t="n">
        <v>236.3</v>
      </c>
      <c r="AW137" s="60" t="n">
        <v>0.1</v>
      </c>
      <c r="AX137" s="60" t="n">
        <v>176.7</v>
      </c>
      <c r="AY137" s="60" t="n">
        <v>301.1</v>
      </c>
      <c r="AZ137" s="60" t="n">
        <v>265</v>
      </c>
      <c r="BA137" s="60" t="n">
        <v>88.8</v>
      </c>
      <c r="BB137" s="60" t="n">
        <v>1493.8</v>
      </c>
      <c r="BC137" s="60" t="n">
        <f aca="false">AQ137+AR137+AS137+AT137+AU137+AV137+AW137</f>
        <v>3608.8</v>
      </c>
      <c r="BD137" s="60" t="n">
        <f aca="false">AQ137</f>
        <v>978.5</v>
      </c>
      <c r="BE137" s="60" t="n">
        <f aca="false">AQ137+AR137</f>
        <v>810</v>
      </c>
      <c r="BF137" s="60" t="n">
        <f aca="false">BE137+AS137</f>
        <v>810</v>
      </c>
      <c r="BG137" s="60" t="n">
        <f aca="false">BF137+AT137</f>
        <v>3135.4</v>
      </c>
      <c r="BH137" s="60" t="n">
        <f aca="false">BG137+AU137+AV137+AW137</f>
        <v>3608.8</v>
      </c>
      <c r="BI137" s="60" t="n">
        <f aca="false">BC137</f>
        <v>3608.8</v>
      </c>
      <c r="BJ137" s="60" t="n">
        <f aca="false">IF('Level 1'!$C$31="Yes",BD137,AJ137)</f>
        <v>0</v>
      </c>
      <c r="BK137" s="60" t="n">
        <f aca="false">IF('Level 2'!$C$31="Yes",BE137,AK137)</f>
        <v>0</v>
      </c>
      <c r="BL137" s="60" t="n">
        <f aca="false">IF('Level 3'!$C$31="Yes",BF137,AL137)</f>
        <v>0</v>
      </c>
      <c r="BM137" s="60" t="n">
        <f aca="false">IF('Level 4'!$C$31="Yes",BG137,AM137)</f>
        <v>0</v>
      </c>
      <c r="BN137" s="60" t="n">
        <f aca="false">IF('Level 5'!$C$31="Yes",BH137,AN137)</f>
        <v>0</v>
      </c>
      <c r="BO137" s="60" t="n">
        <f aca="false">IF('Level 6'!$C$31="Yes",BI137,AO137)</f>
        <v>0</v>
      </c>
      <c r="BP137" s="60" t="n">
        <f aca="false">IF('Level 7'!$C$31="Yes",BC137,AP137)</f>
        <v>0</v>
      </c>
      <c r="BQ137" s="60" t="n">
        <f aca="false">D137-AP137</f>
        <v>2136</v>
      </c>
      <c r="BR137" s="60" t="n">
        <f aca="false">BQ137^2</f>
        <v>4562496</v>
      </c>
      <c r="BS137" s="60" t="n">
        <f aca="false">(BQ137-BQ136)^2</f>
        <v>440896</v>
      </c>
      <c r="BT137" s="60" t="n">
        <f aca="false">IF(D137&gt;2000,ABS(BQ137)/D137,"")</f>
        <v>1</v>
      </c>
      <c r="BU137" s="60" t="n">
        <v>75</v>
      </c>
      <c r="BV137" s="62" t="n">
        <v>0.5529</v>
      </c>
      <c r="BW137" s="60" t="n">
        <v>277.8</v>
      </c>
      <c r="BX137" s="60" t="n">
        <f aca="false">AA137</f>
        <v>0</v>
      </c>
      <c r="BY137" s="60" t="n">
        <f aca="false">H137</f>
        <v>42.19</v>
      </c>
      <c r="BZ137" s="60" t="n">
        <f aca="false">Z137</f>
        <v>0</v>
      </c>
      <c r="CA137" s="60" t="n">
        <f aca="false">AB137+AC137+AD137</f>
        <v>0</v>
      </c>
      <c r="CB137" s="60" t="n">
        <f aca="false">AE137+AF137+AG137+AH137+AI137</f>
        <v>0</v>
      </c>
    </row>
    <row r="138" customFormat="false" ht="15" hidden="false" customHeight="false" outlineLevel="0" collapsed="false">
      <c r="A138" s="58" t="n">
        <v>45858</v>
      </c>
      <c r="B138" s="59" t="n">
        <f aca="false">YEAR(A138)</f>
        <v>2025</v>
      </c>
      <c r="C138" s="59" t="n">
        <f aca="false">MONTH(A138)</f>
        <v>7</v>
      </c>
      <c r="D138" s="60" t="n">
        <v>1522</v>
      </c>
      <c r="E138" s="61" t="n">
        <v>1.2206</v>
      </c>
      <c r="F138" s="61" t="n">
        <v>0.4043</v>
      </c>
      <c r="G138" s="61" t="n">
        <v>0</v>
      </c>
      <c r="H138" s="60" t="n">
        <v>27.31</v>
      </c>
      <c r="I138" s="60" t="n">
        <f aca="false">H138+'Level 4'!$C$12/100*I137</f>
        <v>27.31</v>
      </c>
      <c r="J138" s="60" t="n">
        <v>54.47</v>
      </c>
      <c r="K138" s="60" t="n">
        <v>70.07</v>
      </c>
      <c r="L138" s="60" t="n">
        <v>10.76</v>
      </c>
      <c r="M138" s="60" t="n">
        <f aca="false">L138+Answers!$C$14/100*M137</f>
        <v>151.759150473617</v>
      </c>
      <c r="N138" s="60" t="n">
        <v>0</v>
      </c>
      <c r="O138" s="60" t="n">
        <v>0</v>
      </c>
      <c r="P138" s="60" t="n">
        <v>0</v>
      </c>
      <c r="Q138" s="60" t="n">
        <v>0</v>
      </c>
      <c r="R138" s="60" t="n">
        <v>25.79</v>
      </c>
      <c r="S138" s="60" t="n">
        <f aca="false">N138+Answers!$C$16/100*S137</f>
        <v>22.6136368883289</v>
      </c>
      <c r="T138" s="60" t="n">
        <f aca="false">O138+Answers!$C$17/100*T137</f>
        <v>53.9312992433136</v>
      </c>
      <c r="U138" s="60" t="n">
        <f aca="false">P138+Answers!$C$18/100*U137</f>
        <v>47.0558045869915</v>
      </c>
      <c r="V138" s="60" t="n">
        <f aca="false">Q138+Answers!$C$19/100*V137</f>
        <v>52.5254398219235</v>
      </c>
      <c r="W138" s="60" t="n">
        <f aca="false">R138+Answers!$C$20/100*W137</f>
        <v>331.278724753638</v>
      </c>
      <c r="X138" s="60" t="n">
        <f aca="false">IF('Level 1'!$C$11="",0,'Level 1'!$C$11)*E138</f>
        <v>0</v>
      </c>
      <c r="Y138" s="60" t="n">
        <f aca="false">-IF('Level 2'!$C$11="",0,'Level 2'!$C$11)*F138</f>
        <v>-0</v>
      </c>
      <c r="Z138" s="60" t="n">
        <f aca="false">IF('Level 3'!$C$11="",0,'Level 3'!$C$11)*G138</f>
        <v>0</v>
      </c>
      <c r="AA138" s="60" t="n">
        <f aca="false">IF('Level 4'!$C$11="",0,'Level 4'!$C$11)*(1-'Level 4'!$C$12/100)*I138</f>
        <v>0</v>
      </c>
      <c r="AB138" s="60" t="n">
        <f aca="false">IF('Level 5'!$C$11="",0,'Level 5'!$C$11)*J138</f>
        <v>0</v>
      </c>
      <c r="AC138" s="60" t="n">
        <f aca="false">IF('Level 5'!$C$12="",0,'Level 5'!$C$12)*K138</f>
        <v>0</v>
      </c>
      <c r="AD138" s="60" t="n">
        <f aca="false">IF('Level 5'!$C$13="",0,'Level 5'!$C$13)*(1-Answers!$C$14/100)*M138</f>
        <v>0</v>
      </c>
      <c r="AE138" s="60" t="n">
        <f aca="false">IF('Level 6'!$C$11="",0,'Level 6'!$C$11)*(1-Answers!$C$16/100)*S138</f>
        <v>0</v>
      </c>
      <c r="AF138" s="60" t="n">
        <f aca="false">IF('Level 6'!$C$12="",0,'Level 6'!$C$12)*(1-Answers!$C$17/100)*T138</f>
        <v>0</v>
      </c>
      <c r="AG138" s="60" t="n">
        <f aca="false">IF('Level 6'!$C$13="",0,'Level 6'!$C$13)*(1-Answers!$C$18/100)*U138</f>
        <v>0</v>
      </c>
      <c r="AH138" s="60" t="n">
        <f aca="false">IF('Level 6'!$C$14="",0,'Level 6'!$C$14)*(1-Answers!$C$19/100)*V138</f>
        <v>0</v>
      </c>
      <c r="AI138" s="60" t="n">
        <f aca="false">IF('Level 6'!$C$15="",0,'Level 6'!$C$15)*(1-Answers!$C$20/100)*W138</f>
        <v>0</v>
      </c>
      <c r="AJ138" s="60" t="n">
        <f aca="false">X138</f>
        <v>0</v>
      </c>
      <c r="AK138" s="60" t="n">
        <f aca="false">X138+Y138</f>
        <v>0</v>
      </c>
      <c r="AL138" s="60" t="n">
        <f aca="false">AK138+Z138</f>
        <v>0</v>
      </c>
      <c r="AM138" s="60" t="n">
        <f aca="false">AL138+AA138</f>
        <v>0</v>
      </c>
      <c r="AN138" s="60" t="n">
        <f aca="false">AM138+AB138+AC138+AD138</f>
        <v>0</v>
      </c>
      <c r="AO138" s="60" t="n">
        <f aca="false">AL138+AE138+AF138+AG138+AH138+AI138+AB138+AC138+AD138</f>
        <v>0</v>
      </c>
      <c r="AP138" s="60" t="n">
        <f aca="false">IF(Answers!$C$22="Yes",AO138,AN138)</f>
        <v>0</v>
      </c>
      <c r="AQ138" s="60" t="n">
        <v>1068.8</v>
      </c>
      <c r="AR138" s="60" t="n">
        <v>-385</v>
      </c>
      <c r="AS138" s="60" t="n">
        <v>0</v>
      </c>
      <c r="AT138" s="60" t="n">
        <v>2049</v>
      </c>
      <c r="AU138" s="60" t="n">
        <v>246</v>
      </c>
      <c r="AV138" s="60" t="n">
        <v>188.1</v>
      </c>
      <c r="AW138" s="60" t="n">
        <v>0</v>
      </c>
      <c r="AX138" s="60" t="n">
        <v>150.2</v>
      </c>
      <c r="AY138" s="60" t="n">
        <v>255.9</v>
      </c>
      <c r="AZ138" s="60" t="n">
        <v>225.2</v>
      </c>
      <c r="BA138" s="60" t="n">
        <v>75.5</v>
      </c>
      <c r="BB138" s="60" t="n">
        <v>1342.2</v>
      </c>
      <c r="BC138" s="60" t="n">
        <f aca="false">AQ138+AR138+AS138+AT138+AU138+AV138+AW138</f>
        <v>3166.9</v>
      </c>
      <c r="BD138" s="60" t="n">
        <f aca="false">AQ138</f>
        <v>1068.8</v>
      </c>
      <c r="BE138" s="60" t="n">
        <f aca="false">AQ138+AR138</f>
        <v>683.8</v>
      </c>
      <c r="BF138" s="60" t="n">
        <f aca="false">BE138+AS138</f>
        <v>683.8</v>
      </c>
      <c r="BG138" s="60" t="n">
        <f aca="false">BF138+AT138</f>
        <v>2732.8</v>
      </c>
      <c r="BH138" s="60" t="n">
        <f aca="false">BG138+AU138+AV138+AW138</f>
        <v>3166.9</v>
      </c>
      <c r="BI138" s="60" t="n">
        <f aca="false">BC138</f>
        <v>3166.9</v>
      </c>
      <c r="BJ138" s="60" t="n">
        <f aca="false">IF('Level 1'!$C$31="Yes",BD138,AJ138)</f>
        <v>0</v>
      </c>
      <c r="BK138" s="60" t="n">
        <f aca="false">IF('Level 2'!$C$31="Yes",BE138,AK138)</f>
        <v>0</v>
      </c>
      <c r="BL138" s="60" t="n">
        <f aca="false">IF('Level 3'!$C$31="Yes",BF138,AL138)</f>
        <v>0</v>
      </c>
      <c r="BM138" s="60" t="n">
        <f aca="false">IF('Level 4'!$C$31="Yes",BG138,AM138)</f>
        <v>0</v>
      </c>
      <c r="BN138" s="60" t="n">
        <f aca="false">IF('Level 5'!$C$31="Yes",BH138,AN138)</f>
        <v>0</v>
      </c>
      <c r="BO138" s="60" t="n">
        <f aca="false">IF('Level 6'!$C$31="Yes",BI138,AO138)</f>
        <v>0</v>
      </c>
      <c r="BP138" s="60" t="n">
        <f aca="false">IF('Level 7'!$C$31="Yes",BC138,AP138)</f>
        <v>0</v>
      </c>
      <c r="BQ138" s="60" t="n">
        <f aca="false">D138-AP138</f>
        <v>1522</v>
      </c>
      <c r="BR138" s="60" t="n">
        <f aca="false">BQ138^2</f>
        <v>2316484</v>
      </c>
      <c r="BS138" s="60" t="n">
        <f aca="false">(BQ138-BQ137)^2</f>
        <v>376996</v>
      </c>
      <c r="BT138" s="60" t="str">
        <f aca="false">IF(D138&gt;2000,ABS(BQ138)/D138,"")</f>
        <v/>
      </c>
      <c r="BU138" s="60" t="n">
        <v>62</v>
      </c>
      <c r="BV138" s="62" t="n">
        <v>0.5529</v>
      </c>
      <c r="BW138" s="60" t="n">
        <v>257.4</v>
      </c>
      <c r="BX138" s="60" t="n">
        <f aca="false">AA138</f>
        <v>0</v>
      </c>
      <c r="BY138" s="60" t="n">
        <f aca="false">H138</f>
        <v>27.31</v>
      </c>
      <c r="BZ138" s="60" t="n">
        <f aca="false">Z138</f>
        <v>0</v>
      </c>
      <c r="CA138" s="60" t="n">
        <f aca="false">AB138+AC138+AD138</f>
        <v>0</v>
      </c>
      <c r="CB138" s="60" t="n">
        <f aca="false">AE138+AF138+AG138+AH138+AI138</f>
        <v>0</v>
      </c>
    </row>
    <row r="139" customFormat="false" ht="15" hidden="false" customHeight="false" outlineLevel="0" collapsed="false">
      <c r="A139" s="58" t="n">
        <v>45865</v>
      </c>
      <c r="B139" s="59" t="n">
        <f aca="false">YEAR(A139)</f>
        <v>2025</v>
      </c>
      <c r="C139" s="59" t="n">
        <f aca="false">MONTH(A139)</f>
        <v>7</v>
      </c>
      <c r="D139" s="60" t="n">
        <v>1286</v>
      </c>
      <c r="E139" s="61" t="n">
        <v>1.2054</v>
      </c>
      <c r="F139" s="61" t="n">
        <v>0.3959</v>
      </c>
      <c r="G139" s="61" t="n">
        <v>0</v>
      </c>
      <c r="H139" s="60" t="n">
        <v>28.16</v>
      </c>
      <c r="I139" s="60" t="n">
        <f aca="false">H139+'Level 4'!$C$12/100*I138</f>
        <v>28.16</v>
      </c>
      <c r="J139" s="60" t="n">
        <v>43.73</v>
      </c>
      <c r="K139" s="60" t="n">
        <v>68.67</v>
      </c>
      <c r="L139" s="60" t="n">
        <v>21.04</v>
      </c>
      <c r="M139" s="60" t="n">
        <f aca="false">L139+Answers!$C$14/100*M138</f>
        <v>112.09549028417</v>
      </c>
      <c r="N139" s="60" t="n">
        <v>0</v>
      </c>
      <c r="O139" s="60" t="n">
        <v>0</v>
      </c>
      <c r="P139" s="60" t="n">
        <v>0</v>
      </c>
      <c r="Q139" s="60" t="n">
        <v>0</v>
      </c>
      <c r="R139" s="60" t="n">
        <v>26.87</v>
      </c>
      <c r="S139" s="60" t="n">
        <f aca="false">N139+Answers!$C$16/100*S138</f>
        <v>18.0909095106631</v>
      </c>
      <c r="T139" s="60" t="n">
        <f aca="false">O139+Answers!$C$17/100*T138</f>
        <v>43.1450393946509</v>
      </c>
      <c r="U139" s="60" t="n">
        <f aca="false">P139+Answers!$C$18/100*U138</f>
        <v>37.6446436695932</v>
      </c>
      <c r="V139" s="60" t="n">
        <f aca="false">Q139+Answers!$C$19/100*V138</f>
        <v>42.0203518575388</v>
      </c>
      <c r="W139" s="60" t="n">
        <f aca="false">R139+Answers!$C$20/100*W138</f>
        <v>291.89297980291</v>
      </c>
      <c r="X139" s="60" t="n">
        <f aca="false">IF('Level 1'!$C$11="",0,'Level 1'!$C$11)*E139</f>
        <v>0</v>
      </c>
      <c r="Y139" s="60" t="n">
        <f aca="false">-IF('Level 2'!$C$11="",0,'Level 2'!$C$11)*F139</f>
        <v>-0</v>
      </c>
      <c r="Z139" s="60" t="n">
        <f aca="false">IF('Level 3'!$C$11="",0,'Level 3'!$C$11)*G139</f>
        <v>0</v>
      </c>
      <c r="AA139" s="60" t="n">
        <f aca="false">IF('Level 4'!$C$11="",0,'Level 4'!$C$11)*(1-'Level 4'!$C$12/100)*I139</f>
        <v>0</v>
      </c>
      <c r="AB139" s="60" t="n">
        <f aca="false">IF('Level 5'!$C$11="",0,'Level 5'!$C$11)*J139</f>
        <v>0</v>
      </c>
      <c r="AC139" s="60" t="n">
        <f aca="false">IF('Level 5'!$C$12="",0,'Level 5'!$C$12)*K139</f>
        <v>0</v>
      </c>
      <c r="AD139" s="60" t="n">
        <f aca="false">IF('Level 5'!$C$13="",0,'Level 5'!$C$13)*(1-Answers!$C$14/100)*M139</f>
        <v>0</v>
      </c>
      <c r="AE139" s="60" t="n">
        <f aca="false">IF('Level 6'!$C$11="",0,'Level 6'!$C$11)*(1-Answers!$C$16/100)*S139</f>
        <v>0</v>
      </c>
      <c r="AF139" s="60" t="n">
        <f aca="false">IF('Level 6'!$C$12="",0,'Level 6'!$C$12)*(1-Answers!$C$17/100)*T139</f>
        <v>0</v>
      </c>
      <c r="AG139" s="60" t="n">
        <f aca="false">IF('Level 6'!$C$13="",0,'Level 6'!$C$13)*(1-Answers!$C$18/100)*U139</f>
        <v>0</v>
      </c>
      <c r="AH139" s="60" t="n">
        <f aca="false">IF('Level 6'!$C$14="",0,'Level 6'!$C$14)*(1-Answers!$C$19/100)*V139</f>
        <v>0</v>
      </c>
      <c r="AI139" s="60" t="n">
        <f aca="false">IF('Level 6'!$C$15="",0,'Level 6'!$C$15)*(1-Answers!$C$20/100)*W139</f>
        <v>0</v>
      </c>
      <c r="AJ139" s="60" t="n">
        <f aca="false">X139</f>
        <v>0</v>
      </c>
      <c r="AK139" s="60" t="n">
        <f aca="false">X139+Y139</f>
        <v>0</v>
      </c>
      <c r="AL139" s="60" t="n">
        <f aca="false">AK139+Z139</f>
        <v>0</v>
      </c>
      <c r="AM139" s="60" t="n">
        <f aca="false">AL139+AA139</f>
        <v>0</v>
      </c>
      <c r="AN139" s="60" t="n">
        <f aca="false">AM139+AB139+AC139+AD139</f>
        <v>0</v>
      </c>
      <c r="AO139" s="60" t="n">
        <f aca="false">AL139+AE139+AF139+AG139+AH139+AI139+AB139+AC139+AD139</f>
        <v>0</v>
      </c>
      <c r="AP139" s="60" t="n">
        <f aca="false">IF(Answers!$C$22="Yes",AO139,AN139)</f>
        <v>0</v>
      </c>
      <c r="AQ139" s="60" t="n">
        <v>1055.4</v>
      </c>
      <c r="AR139" s="60" t="n">
        <v>-377.1</v>
      </c>
      <c r="AS139" s="60" t="n">
        <v>0</v>
      </c>
      <c r="AT139" s="60" t="n">
        <v>1819.8</v>
      </c>
      <c r="AU139" s="60" t="n">
        <v>203.2</v>
      </c>
      <c r="AV139" s="60" t="n">
        <v>184.3</v>
      </c>
      <c r="AW139" s="60" t="n">
        <v>0</v>
      </c>
      <c r="AX139" s="60" t="n">
        <v>127.7</v>
      </c>
      <c r="AY139" s="60" t="n">
        <v>217.5</v>
      </c>
      <c r="AZ139" s="60" t="n">
        <v>191.5</v>
      </c>
      <c r="BA139" s="60" t="n">
        <v>64.1</v>
      </c>
      <c r="BB139" s="60" t="n">
        <v>1219.1</v>
      </c>
      <c r="BC139" s="60" t="n">
        <f aca="false">AQ139+AR139+AS139+AT139+AU139+AV139+AW139</f>
        <v>2885.6</v>
      </c>
      <c r="BD139" s="60" t="n">
        <f aca="false">AQ139</f>
        <v>1055.4</v>
      </c>
      <c r="BE139" s="60" t="n">
        <f aca="false">AQ139+AR139</f>
        <v>678.3</v>
      </c>
      <c r="BF139" s="60" t="n">
        <f aca="false">BE139+AS139</f>
        <v>678.3</v>
      </c>
      <c r="BG139" s="60" t="n">
        <f aca="false">BF139+AT139</f>
        <v>2498.1</v>
      </c>
      <c r="BH139" s="60" t="n">
        <f aca="false">BG139+AU139+AV139+AW139</f>
        <v>2885.6</v>
      </c>
      <c r="BI139" s="60" t="n">
        <f aca="false">BC139</f>
        <v>2885.6</v>
      </c>
      <c r="BJ139" s="60" t="n">
        <f aca="false">IF('Level 1'!$C$31="Yes",BD139,AJ139)</f>
        <v>0</v>
      </c>
      <c r="BK139" s="60" t="n">
        <f aca="false">IF('Level 2'!$C$31="Yes",BE139,AK139)</f>
        <v>0</v>
      </c>
      <c r="BL139" s="60" t="n">
        <f aca="false">IF('Level 3'!$C$31="Yes",BF139,AL139)</f>
        <v>0</v>
      </c>
      <c r="BM139" s="60" t="n">
        <f aca="false">IF('Level 4'!$C$31="Yes",BG139,AM139)</f>
        <v>0</v>
      </c>
      <c r="BN139" s="60" t="n">
        <f aca="false">IF('Level 5'!$C$31="Yes",BH139,AN139)</f>
        <v>0</v>
      </c>
      <c r="BO139" s="60" t="n">
        <f aca="false">IF('Level 6'!$C$31="Yes",BI139,AO139)</f>
        <v>0</v>
      </c>
      <c r="BP139" s="60" t="n">
        <f aca="false">IF('Level 7'!$C$31="Yes",BC139,AP139)</f>
        <v>0</v>
      </c>
      <c r="BQ139" s="60" t="n">
        <f aca="false">D139-AP139</f>
        <v>1286</v>
      </c>
      <c r="BR139" s="60" t="n">
        <f aca="false">BQ139^2</f>
        <v>1653796</v>
      </c>
      <c r="BS139" s="60" t="n">
        <f aca="false">(BQ139-BQ138)^2</f>
        <v>55696</v>
      </c>
      <c r="BT139" s="60" t="str">
        <f aca="false">IF(D139&gt;2000,ABS(BQ139)/D139,"")</f>
        <v/>
      </c>
      <c r="BU139" s="60" t="n">
        <v>73</v>
      </c>
      <c r="BV139" s="62" t="n">
        <v>0.5476</v>
      </c>
      <c r="BW139" s="60" t="n">
        <v>267</v>
      </c>
      <c r="BX139" s="60" t="n">
        <f aca="false">AA139</f>
        <v>0</v>
      </c>
      <c r="BY139" s="60" t="n">
        <f aca="false">H139</f>
        <v>28.16</v>
      </c>
      <c r="BZ139" s="60" t="n">
        <f aca="false">Z139</f>
        <v>0</v>
      </c>
      <c r="CA139" s="60" t="n">
        <f aca="false">AB139+AC139+AD139</f>
        <v>0</v>
      </c>
      <c r="CB139" s="60" t="n">
        <f aca="false">AE139+AF139+AG139+AH139+AI139</f>
        <v>0</v>
      </c>
    </row>
    <row r="140" customFormat="false" ht="15" hidden="false" customHeight="false" outlineLevel="0" collapsed="false">
      <c r="A140" s="58" t="n">
        <v>45872</v>
      </c>
      <c r="B140" s="59" t="n">
        <f aca="false">YEAR(A140)</f>
        <v>2025</v>
      </c>
      <c r="C140" s="59" t="n">
        <f aca="false">MONTH(A140)</f>
        <v>8</v>
      </c>
      <c r="D140" s="60" t="n">
        <v>285</v>
      </c>
      <c r="E140" s="61" t="n">
        <v>1.1172</v>
      </c>
      <c r="F140" s="61" t="n">
        <v>1.0282</v>
      </c>
      <c r="G140" s="61" t="n">
        <v>0</v>
      </c>
      <c r="H140" s="60" t="n">
        <v>1.48</v>
      </c>
      <c r="I140" s="60" t="n">
        <f aca="false">H140+'Level 4'!$C$12/100*I139</f>
        <v>1.48</v>
      </c>
      <c r="J140" s="60" t="n">
        <v>38.34</v>
      </c>
      <c r="K140" s="60" t="n">
        <v>33.46</v>
      </c>
      <c r="L140" s="60" t="n">
        <v>17.97</v>
      </c>
      <c r="M140" s="60" t="n">
        <f aca="false">L140+Answers!$C$14/100*M139</f>
        <v>85.227294170502</v>
      </c>
      <c r="N140" s="60" t="n">
        <v>0</v>
      </c>
      <c r="O140" s="60" t="n">
        <v>0</v>
      </c>
      <c r="P140" s="60" t="n">
        <v>0</v>
      </c>
      <c r="Q140" s="60" t="n">
        <v>0</v>
      </c>
      <c r="R140" s="60" t="n">
        <v>1.19</v>
      </c>
      <c r="S140" s="60" t="n">
        <f aca="false">N140+Answers!$C$16/100*S139</f>
        <v>14.4727276085305</v>
      </c>
      <c r="T140" s="60" t="n">
        <f aca="false">O140+Answers!$C$17/100*T139</f>
        <v>34.5160315157207</v>
      </c>
      <c r="U140" s="60" t="n">
        <f aca="false">P140+Answers!$C$18/100*U139</f>
        <v>30.1157149356746</v>
      </c>
      <c r="V140" s="60" t="n">
        <f aca="false">Q140+Answers!$C$19/100*V139</f>
        <v>33.616281486031</v>
      </c>
      <c r="W140" s="60" t="n">
        <f aca="false">R140+Answers!$C$20/100*W139</f>
        <v>234.704383842328</v>
      </c>
      <c r="X140" s="60" t="n">
        <f aca="false">IF('Level 1'!$C$11="",0,'Level 1'!$C$11)*E140</f>
        <v>0</v>
      </c>
      <c r="Y140" s="60" t="n">
        <f aca="false">-IF('Level 2'!$C$11="",0,'Level 2'!$C$11)*F140</f>
        <v>-0</v>
      </c>
      <c r="Z140" s="60" t="n">
        <f aca="false">IF('Level 3'!$C$11="",0,'Level 3'!$C$11)*G140</f>
        <v>0</v>
      </c>
      <c r="AA140" s="60" t="n">
        <f aca="false">IF('Level 4'!$C$11="",0,'Level 4'!$C$11)*(1-'Level 4'!$C$12/100)*I140</f>
        <v>0</v>
      </c>
      <c r="AB140" s="60" t="n">
        <f aca="false">IF('Level 5'!$C$11="",0,'Level 5'!$C$11)*J140</f>
        <v>0</v>
      </c>
      <c r="AC140" s="60" t="n">
        <f aca="false">IF('Level 5'!$C$12="",0,'Level 5'!$C$12)*K140</f>
        <v>0</v>
      </c>
      <c r="AD140" s="60" t="n">
        <f aca="false">IF('Level 5'!$C$13="",0,'Level 5'!$C$13)*(1-Answers!$C$14/100)*M140</f>
        <v>0</v>
      </c>
      <c r="AE140" s="60" t="n">
        <f aca="false">IF('Level 6'!$C$11="",0,'Level 6'!$C$11)*(1-Answers!$C$16/100)*S140</f>
        <v>0</v>
      </c>
      <c r="AF140" s="60" t="n">
        <f aca="false">IF('Level 6'!$C$12="",0,'Level 6'!$C$12)*(1-Answers!$C$17/100)*T140</f>
        <v>0</v>
      </c>
      <c r="AG140" s="60" t="n">
        <f aca="false">IF('Level 6'!$C$13="",0,'Level 6'!$C$13)*(1-Answers!$C$18/100)*U140</f>
        <v>0</v>
      </c>
      <c r="AH140" s="60" t="n">
        <f aca="false">IF('Level 6'!$C$14="",0,'Level 6'!$C$14)*(1-Answers!$C$19/100)*V140</f>
        <v>0</v>
      </c>
      <c r="AI140" s="60" t="n">
        <f aca="false">IF('Level 6'!$C$15="",0,'Level 6'!$C$15)*(1-Answers!$C$20/100)*W140</f>
        <v>0</v>
      </c>
      <c r="AJ140" s="60" t="n">
        <f aca="false">X140</f>
        <v>0</v>
      </c>
      <c r="AK140" s="60" t="n">
        <f aca="false">X140+Y140</f>
        <v>0</v>
      </c>
      <c r="AL140" s="60" t="n">
        <f aca="false">AK140+Z140</f>
        <v>0</v>
      </c>
      <c r="AM140" s="60" t="n">
        <f aca="false">AL140+AA140</f>
        <v>0</v>
      </c>
      <c r="AN140" s="60" t="n">
        <f aca="false">AM140+AB140+AC140+AD140</f>
        <v>0</v>
      </c>
      <c r="AO140" s="60" t="n">
        <f aca="false">AL140+AE140+AF140+AG140+AH140+AI140+AB140+AC140+AD140</f>
        <v>0</v>
      </c>
      <c r="AP140" s="60" t="n">
        <f aca="false">IF(Answers!$C$22="Yes",AO140,AN140)</f>
        <v>0</v>
      </c>
      <c r="AQ140" s="60" t="n">
        <v>978.3</v>
      </c>
      <c r="AR140" s="60" t="n">
        <v>-979.3</v>
      </c>
      <c r="AS140" s="60" t="n">
        <v>0</v>
      </c>
      <c r="AT140" s="60" t="n">
        <v>1560.5</v>
      </c>
      <c r="AU140" s="60" t="n">
        <v>139.3</v>
      </c>
      <c r="AV140" s="60" t="n">
        <v>89.8</v>
      </c>
      <c r="AW140" s="60" t="n">
        <v>0</v>
      </c>
      <c r="AX140" s="60" t="n">
        <v>108.5</v>
      </c>
      <c r="AY140" s="60" t="n">
        <v>184.9</v>
      </c>
      <c r="AZ140" s="60" t="n">
        <v>162.7</v>
      </c>
      <c r="BA140" s="60" t="n">
        <v>54.5</v>
      </c>
      <c r="BB140" s="60" t="n">
        <v>1049.8</v>
      </c>
      <c r="BC140" s="60" t="n">
        <f aca="false">AQ140+AR140+AS140+AT140+AU140+AV140+AW140</f>
        <v>1788.6</v>
      </c>
      <c r="BD140" s="60" t="n">
        <f aca="false">AQ140</f>
        <v>978.3</v>
      </c>
      <c r="BE140" s="60" t="n">
        <f aca="false">AQ140+AR140</f>
        <v>-1</v>
      </c>
      <c r="BF140" s="60" t="n">
        <f aca="false">BE140+AS140</f>
        <v>-1</v>
      </c>
      <c r="BG140" s="60" t="n">
        <f aca="false">BF140+AT140</f>
        <v>1559.5</v>
      </c>
      <c r="BH140" s="60" t="n">
        <f aca="false">BG140+AU140+AV140+AW140</f>
        <v>1788.6</v>
      </c>
      <c r="BI140" s="60" t="n">
        <f aca="false">BC140</f>
        <v>1788.6</v>
      </c>
      <c r="BJ140" s="60" t="n">
        <f aca="false">IF('Level 1'!$C$31="Yes",BD140,AJ140)</f>
        <v>0</v>
      </c>
      <c r="BK140" s="60" t="n">
        <f aca="false">IF('Level 2'!$C$31="Yes",BE140,AK140)</f>
        <v>0</v>
      </c>
      <c r="BL140" s="60" t="n">
        <f aca="false">IF('Level 3'!$C$31="Yes",BF140,AL140)</f>
        <v>0</v>
      </c>
      <c r="BM140" s="60" t="n">
        <f aca="false">IF('Level 4'!$C$31="Yes",BG140,AM140)</f>
        <v>0</v>
      </c>
      <c r="BN140" s="60" t="n">
        <f aca="false">IF('Level 5'!$C$31="Yes",BH140,AN140)</f>
        <v>0</v>
      </c>
      <c r="BO140" s="60" t="n">
        <f aca="false">IF('Level 6'!$C$31="Yes",BI140,AO140)</f>
        <v>0</v>
      </c>
      <c r="BP140" s="60" t="n">
        <f aca="false">IF('Level 7'!$C$31="Yes",BC140,AP140)</f>
        <v>0</v>
      </c>
      <c r="BQ140" s="60" t="n">
        <f aca="false">D140-AP140</f>
        <v>285</v>
      </c>
      <c r="BR140" s="60" t="n">
        <f aca="false">BQ140^2</f>
        <v>81225</v>
      </c>
      <c r="BS140" s="60" t="n">
        <f aca="false">(BQ140-BQ139)^2</f>
        <v>1002001</v>
      </c>
      <c r="BT140" s="60" t="str">
        <f aca="false">IF(D140&gt;2000,ABS(BQ140)/D140,"")</f>
        <v/>
      </c>
      <c r="BU140" s="60" t="n">
        <v>78</v>
      </c>
      <c r="BV140" s="62" t="n">
        <v>0.5406</v>
      </c>
      <c r="BW140" s="60" t="n">
        <v>184.2</v>
      </c>
      <c r="BX140" s="60" t="n">
        <f aca="false">AA140</f>
        <v>0</v>
      </c>
      <c r="BY140" s="60" t="n">
        <f aca="false">H140</f>
        <v>1.48</v>
      </c>
      <c r="BZ140" s="60" t="n">
        <f aca="false">Z140</f>
        <v>0</v>
      </c>
      <c r="CA140" s="60" t="n">
        <f aca="false">AB140+AC140+AD140</f>
        <v>0</v>
      </c>
      <c r="CB140" s="60" t="n">
        <f aca="false">AE140+AF140+AG140+AH140+AI140</f>
        <v>0</v>
      </c>
    </row>
    <row r="141" customFormat="false" ht="15" hidden="false" customHeight="false" outlineLevel="0" collapsed="false">
      <c r="A141" s="58" t="n">
        <v>45879</v>
      </c>
      <c r="B141" s="59" t="n">
        <f aca="false">YEAR(A141)</f>
        <v>2025</v>
      </c>
      <c r="C141" s="59" t="n">
        <f aca="false">MONTH(A141)</f>
        <v>8</v>
      </c>
      <c r="D141" s="60" t="n">
        <v>216</v>
      </c>
      <c r="E141" s="61" t="n">
        <v>1.0628</v>
      </c>
      <c r="F141" s="61" t="n">
        <v>2.5857</v>
      </c>
      <c r="G141" s="61" t="n">
        <v>0</v>
      </c>
      <c r="H141" s="60" t="n">
        <v>1.4</v>
      </c>
      <c r="I141" s="60" t="n">
        <f aca="false">H141+'Level 4'!$C$12/100*I140</f>
        <v>1.4</v>
      </c>
      <c r="J141" s="60" t="n">
        <v>25.7</v>
      </c>
      <c r="K141" s="60" t="n">
        <v>33.18</v>
      </c>
      <c r="L141" s="60" t="n">
        <v>26.12</v>
      </c>
      <c r="M141" s="60" t="n">
        <f aca="false">L141+Answers!$C$14/100*M140</f>
        <v>77.2563765023012</v>
      </c>
      <c r="N141" s="60" t="n">
        <v>0</v>
      </c>
      <c r="O141" s="60" t="n">
        <v>0</v>
      </c>
      <c r="P141" s="60" t="n">
        <v>0</v>
      </c>
      <c r="Q141" s="60" t="n">
        <v>0</v>
      </c>
      <c r="R141" s="60" t="n">
        <v>1.19</v>
      </c>
      <c r="S141" s="60" t="n">
        <f aca="false">N141+Answers!$C$16/100*S140</f>
        <v>11.5781820868244</v>
      </c>
      <c r="T141" s="60" t="n">
        <f aca="false">O141+Answers!$C$17/100*T140</f>
        <v>27.6128252125766</v>
      </c>
      <c r="U141" s="60" t="n">
        <f aca="false">P141+Answers!$C$18/100*U140</f>
        <v>24.0925719485397</v>
      </c>
      <c r="V141" s="60" t="n">
        <f aca="false">Q141+Answers!$C$19/100*V140</f>
        <v>26.8930251888248</v>
      </c>
      <c r="W141" s="60" t="n">
        <f aca="false">R141+Answers!$C$20/100*W140</f>
        <v>188.953507073863</v>
      </c>
      <c r="X141" s="60" t="n">
        <f aca="false">IF('Level 1'!$C$11="",0,'Level 1'!$C$11)*E141</f>
        <v>0</v>
      </c>
      <c r="Y141" s="60" t="n">
        <f aca="false">-IF('Level 2'!$C$11="",0,'Level 2'!$C$11)*F141</f>
        <v>-0</v>
      </c>
      <c r="Z141" s="60" t="n">
        <f aca="false">IF('Level 3'!$C$11="",0,'Level 3'!$C$11)*G141</f>
        <v>0</v>
      </c>
      <c r="AA141" s="60" t="n">
        <f aca="false">IF('Level 4'!$C$11="",0,'Level 4'!$C$11)*(1-'Level 4'!$C$12/100)*I141</f>
        <v>0</v>
      </c>
      <c r="AB141" s="60" t="n">
        <f aca="false">IF('Level 5'!$C$11="",0,'Level 5'!$C$11)*J141</f>
        <v>0</v>
      </c>
      <c r="AC141" s="60" t="n">
        <f aca="false">IF('Level 5'!$C$12="",0,'Level 5'!$C$12)*K141</f>
        <v>0</v>
      </c>
      <c r="AD141" s="60" t="n">
        <f aca="false">IF('Level 5'!$C$13="",0,'Level 5'!$C$13)*(1-Answers!$C$14/100)*M141</f>
        <v>0</v>
      </c>
      <c r="AE141" s="60" t="n">
        <f aca="false">IF('Level 6'!$C$11="",0,'Level 6'!$C$11)*(1-Answers!$C$16/100)*S141</f>
        <v>0</v>
      </c>
      <c r="AF141" s="60" t="n">
        <f aca="false">IF('Level 6'!$C$12="",0,'Level 6'!$C$12)*(1-Answers!$C$17/100)*T141</f>
        <v>0</v>
      </c>
      <c r="AG141" s="60" t="n">
        <f aca="false">IF('Level 6'!$C$13="",0,'Level 6'!$C$13)*(1-Answers!$C$18/100)*U141</f>
        <v>0</v>
      </c>
      <c r="AH141" s="60" t="n">
        <f aca="false">IF('Level 6'!$C$14="",0,'Level 6'!$C$14)*(1-Answers!$C$19/100)*V141</f>
        <v>0</v>
      </c>
      <c r="AI141" s="60" t="n">
        <f aca="false">IF('Level 6'!$C$15="",0,'Level 6'!$C$15)*(1-Answers!$C$20/100)*W141</f>
        <v>0</v>
      </c>
      <c r="AJ141" s="60" t="n">
        <f aca="false">X141</f>
        <v>0</v>
      </c>
      <c r="AK141" s="60" t="n">
        <f aca="false">X141+Y141</f>
        <v>0</v>
      </c>
      <c r="AL141" s="60" t="n">
        <f aca="false">AK141+Z141</f>
        <v>0</v>
      </c>
      <c r="AM141" s="60" t="n">
        <f aca="false">AL141+AA141</f>
        <v>0</v>
      </c>
      <c r="AN141" s="60" t="n">
        <f aca="false">AM141+AB141+AC141+AD141</f>
        <v>0</v>
      </c>
      <c r="AO141" s="60" t="n">
        <f aca="false">AL141+AE141+AF141+AG141+AH141+AI141+AB141+AC141+AD141</f>
        <v>0</v>
      </c>
      <c r="AP141" s="60" t="n">
        <f aca="false">IF(Answers!$C$22="Yes",AO141,AN141)</f>
        <v>0</v>
      </c>
      <c r="AQ141" s="60" t="n">
        <v>930.6</v>
      </c>
      <c r="AR141" s="60" t="n">
        <v>-2462.7</v>
      </c>
      <c r="AS141" s="60" t="n">
        <v>0</v>
      </c>
      <c r="AT141" s="60" t="n">
        <v>1345</v>
      </c>
      <c r="AU141" s="60" t="n">
        <v>56.6</v>
      </c>
      <c r="AV141" s="60" t="n">
        <v>89.1</v>
      </c>
      <c r="AW141" s="60" t="n">
        <v>0</v>
      </c>
      <c r="AX141" s="60" t="n">
        <v>92.2</v>
      </c>
      <c r="AY141" s="60" t="n">
        <v>157.2</v>
      </c>
      <c r="AZ141" s="60" t="n">
        <v>138.3</v>
      </c>
      <c r="BA141" s="60" t="n">
        <v>46.3</v>
      </c>
      <c r="BB141" s="60" t="n">
        <v>910.9</v>
      </c>
      <c r="BC141" s="60" t="n">
        <f aca="false">AQ141+AR141+AS141+AT141+AU141+AV141+AW141</f>
        <v>-41.3999999999999</v>
      </c>
      <c r="BD141" s="60" t="n">
        <f aca="false">AQ141</f>
        <v>930.6</v>
      </c>
      <c r="BE141" s="60" t="n">
        <f aca="false">AQ141+AR141</f>
        <v>-1532.1</v>
      </c>
      <c r="BF141" s="60" t="n">
        <f aca="false">BE141+AS141</f>
        <v>-1532.1</v>
      </c>
      <c r="BG141" s="60" t="n">
        <f aca="false">BF141+AT141</f>
        <v>-187.1</v>
      </c>
      <c r="BH141" s="60" t="n">
        <f aca="false">BG141+AU141+AV141+AW141</f>
        <v>-41.3999999999999</v>
      </c>
      <c r="BI141" s="60" t="n">
        <f aca="false">BC141</f>
        <v>-41.3999999999999</v>
      </c>
      <c r="BJ141" s="60" t="n">
        <f aca="false">IF('Level 1'!$C$31="Yes",BD141,AJ141)</f>
        <v>0</v>
      </c>
      <c r="BK141" s="60" t="n">
        <f aca="false">IF('Level 2'!$C$31="Yes",BE141,AK141)</f>
        <v>0</v>
      </c>
      <c r="BL141" s="60" t="n">
        <f aca="false">IF('Level 3'!$C$31="Yes",BF141,AL141)</f>
        <v>0</v>
      </c>
      <c r="BM141" s="60" t="n">
        <f aca="false">IF('Level 4'!$C$31="Yes",BG141,AM141)</f>
        <v>0</v>
      </c>
      <c r="BN141" s="60" t="n">
        <f aca="false">IF('Level 5'!$C$31="Yes",BH141,AN141)</f>
        <v>0</v>
      </c>
      <c r="BO141" s="60" t="n">
        <f aca="false">IF('Level 6'!$C$31="Yes",BI141,AO141)</f>
        <v>0</v>
      </c>
      <c r="BP141" s="60" t="n">
        <f aca="false">IF('Level 7'!$C$31="Yes",BC141,AP141)</f>
        <v>0</v>
      </c>
      <c r="BQ141" s="60" t="n">
        <f aca="false">D141-AP141</f>
        <v>216</v>
      </c>
      <c r="BR141" s="60" t="n">
        <f aca="false">BQ141^2</f>
        <v>46656</v>
      </c>
      <c r="BS141" s="60" t="n">
        <f aca="false">(BQ141-BQ140)^2</f>
        <v>4761</v>
      </c>
      <c r="BT141" s="60" t="str">
        <f aca="false">IF(D141&gt;2000,ABS(BQ141)/D141,"")</f>
        <v/>
      </c>
      <c r="BU141" s="60" t="n">
        <v>105</v>
      </c>
      <c r="BV141" s="62" t="n">
        <v>0.5406</v>
      </c>
      <c r="BW141" s="60" t="n">
        <v>194.1</v>
      </c>
      <c r="BX141" s="60" t="n">
        <f aca="false">AA141</f>
        <v>0</v>
      </c>
      <c r="BY141" s="60" t="n">
        <f aca="false">H141</f>
        <v>1.4</v>
      </c>
      <c r="BZ141" s="60" t="n">
        <f aca="false">Z141</f>
        <v>0</v>
      </c>
      <c r="CA141" s="60" t="n">
        <f aca="false">AB141+AC141+AD141</f>
        <v>0</v>
      </c>
      <c r="CB141" s="60" t="n">
        <f aca="false">AE141+AF141+AG141+AH141+AI141</f>
        <v>0</v>
      </c>
    </row>
    <row r="142" customFormat="false" ht="15" hidden="false" customHeight="false" outlineLevel="0" collapsed="false">
      <c r="A142" s="58" t="n">
        <v>45886</v>
      </c>
      <c r="B142" s="59" t="n">
        <f aca="false">YEAR(A142)</f>
        <v>2025</v>
      </c>
      <c r="C142" s="59" t="n">
        <f aca="false">MONTH(A142)</f>
        <v>8</v>
      </c>
      <c r="D142" s="60" t="n">
        <v>195</v>
      </c>
      <c r="E142" s="61" t="n">
        <v>1.0542</v>
      </c>
      <c r="F142" s="61" t="n">
        <v>2.5857</v>
      </c>
      <c r="G142" s="61" t="n">
        <v>0</v>
      </c>
      <c r="H142" s="60" t="n">
        <v>1.38</v>
      </c>
      <c r="I142" s="60" t="n">
        <f aca="false">H142+'Level 4'!$C$12/100*I141</f>
        <v>1.38</v>
      </c>
      <c r="J142" s="60" t="n">
        <v>27.05</v>
      </c>
      <c r="K142" s="60" t="n">
        <v>28.51</v>
      </c>
      <c r="L142" s="60" t="n">
        <v>14.27</v>
      </c>
      <c r="M142" s="60" t="n">
        <f aca="false">L142+Answers!$C$14/100*M141</f>
        <v>60.6238259013807</v>
      </c>
      <c r="N142" s="60" t="n">
        <v>0</v>
      </c>
      <c r="O142" s="60" t="n">
        <v>0</v>
      </c>
      <c r="P142" s="60" t="n">
        <v>0</v>
      </c>
      <c r="Q142" s="60" t="n">
        <v>0</v>
      </c>
      <c r="R142" s="60" t="n">
        <v>1.19</v>
      </c>
      <c r="S142" s="60" t="n">
        <f aca="false">N142+Answers!$C$16/100*S141</f>
        <v>9.26254566945953</v>
      </c>
      <c r="T142" s="60" t="n">
        <f aca="false">O142+Answers!$C$17/100*T141</f>
        <v>22.0902601700613</v>
      </c>
      <c r="U142" s="60" t="n">
        <f aca="false">P142+Answers!$C$18/100*U141</f>
        <v>19.2740575588317</v>
      </c>
      <c r="V142" s="60" t="n">
        <f aca="false">Q142+Answers!$C$19/100*V141</f>
        <v>21.5144201510599</v>
      </c>
      <c r="W142" s="60" t="n">
        <f aca="false">R142+Answers!$C$20/100*W141</f>
        <v>152.35280565909</v>
      </c>
      <c r="X142" s="60" t="n">
        <f aca="false">IF('Level 1'!$C$11="",0,'Level 1'!$C$11)*E142</f>
        <v>0</v>
      </c>
      <c r="Y142" s="60" t="n">
        <f aca="false">-IF('Level 2'!$C$11="",0,'Level 2'!$C$11)*F142</f>
        <v>-0</v>
      </c>
      <c r="Z142" s="60" t="n">
        <f aca="false">IF('Level 3'!$C$11="",0,'Level 3'!$C$11)*G142</f>
        <v>0</v>
      </c>
      <c r="AA142" s="60" t="n">
        <f aca="false">IF('Level 4'!$C$11="",0,'Level 4'!$C$11)*(1-'Level 4'!$C$12/100)*I142</f>
        <v>0</v>
      </c>
      <c r="AB142" s="60" t="n">
        <f aca="false">IF('Level 5'!$C$11="",0,'Level 5'!$C$11)*J142</f>
        <v>0</v>
      </c>
      <c r="AC142" s="60" t="n">
        <f aca="false">IF('Level 5'!$C$12="",0,'Level 5'!$C$12)*K142</f>
        <v>0</v>
      </c>
      <c r="AD142" s="60" t="n">
        <f aca="false">IF('Level 5'!$C$13="",0,'Level 5'!$C$13)*(1-Answers!$C$14/100)*M142</f>
        <v>0</v>
      </c>
      <c r="AE142" s="60" t="n">
        <f aca="false">IF('Level 6'!$C$11="",0,'Level 6'!$C$11)*(1-Answers!$C$16/100)*S142</f>
        <v>0</v>
      </c>
      <c r="AF142" s="60" t="n">
        <f aca="false">IF('Level 6'!$C$12="",0,'Level 6'!$C$12)*(1-Answers!$C$17/100)*T142</f>
        <v>0</v>
      </c>
      <c r="AG142" s="60" t="n">
        <f aca="false">IF('Level 6'!$C$13="",0,'Level 6'!$C$13)*(1-Answers!$C$18/100)*U142</f>
        <v>0</v>
      </c>
      <c r="AH142" s="60" t="n">
        <f aca="false">IF('Level 6'!$C$14="",0,'Level 6'!$C$14)*(1-Answers!$C$19/100)*V142</f>
        <v>0</v>
      </c>
      <c r="AI142" s="60" t="n">
        <f aca="false">IF('Level 6'!$C$15="",0,'Level 6'!$C$15)*(1-Answers!$C$20/100)*W142</f>
        <v>0</v>
      </c>
      <c r="AJ142" s="60" t="n">
        <f aca="false">X142</f>
        <v>0</v>
      </c>
      <c r="AK142" s="60" t="n">
        <f aca="false">X142+Y142</f>
        <v>0</v>
      </c>
      <c r="AL142" s="60" t="n">
        <f aca="false">AK142+Z142</f>
        <v>0</v>
      </c>
      <c r="AM142" s="60" t="n">
        <f aca="false">AL142+AA142</f>
        <v>0</v>
      </c>
      <c r="AN142" s="60" t="n">
        <f aca="false">AM142+AB142+AC142+AD142</f>
        <v>0</v>
      </c>
      <c r="AO142" s="60" t="n">
        <f aca="false">AL142+AE142+AF142+AG142+AH142+AI142+AB142+AC142+AD142</f>
        <v>0</v>
      </c>
      <c r="AP142" s="60" t="n">
        <f aca="false">IF(Answers!$C$22="Yes",AO142,AN142)</f>
        <v>0</v>
      </c>
      <c r="AQ142" s="60" t="n">
        <v>923.1</v>
      </c>
      <c r="AR142" s="60" t="n">
        <v>-2462.7</v>
      </c>
      <c r="AS142" s="60" t="n">
        <v>0</v>
      </c>
      <c r="AT142" s="60" t="n">
        <v>1165</v>
      </c>
      <c r="AU142" s="60" t="n">
        <v>61.5</v>
      </c>
      <c r="AV142" s="60" t="n">
        <v>76.5</v>
      </c>
      <c r="AW142" s="60" t="n">
        <v>0</v>
      </c>
      <c r="AX142" s="60" t="n">
        <v>78.4</v>
      </c>
      <c r="AY142" s="60" t="n">
        <v>133.6</v>
      </c>
      <c r="AZ142" s="60" t="n">
        <v>117.6</v>
      </c>
      <c r="BA142" s="60" t="n">
        <v>39.4</v>
      </c>
      <c r="BB142" s="60" t="n">
        <v>796</v>
      </c>
      <c r="BC142" s="60" t="n">
        <f aca="false">AQ142+AR142+AS142+AT142+AU142+AV142+AW142</f>
        <v>-236.6</v>
      </c>
      <c r="BD142" s="60" t="n">
        <f aca="false">AQ142</f>
        <v>923.1</v>
      </c>
      <c r="BE142" s="60" t="n">
        <f aca="false">AQ142+AR142</f>
        <v>-1539.6</v>
      </c>
      <c r="BF142" s="60" t="n">
        <f aca="false">BE142+AS142</f>
        <v>-1539.6</v>
      </c>
      <c r="BG142" s="60" t="n">
        <f aca="false">BF142+AT142</f>
        <v>-374.6</v>
      </c>
      <c r="BH142" s="60" t="n">
        <f aca="false">BG142+AU142+AV142+AW142</f>
        <v>-236.6</v>
      </c>
      <c r="BI142" s="60" t="n">
        <f aca="false">BC142</f>
        <v>-236.6</v>
      </c>
      <c r="BJ142" s="60" t="n">
        <f aca="false">IF('Level 1'!$C$31="Yes",BD142,AJ142)</f>
        <v>0</v>
      </c>
      <c r="BK142" s="60" t="n">
        <f aca="false">IF('Level 2'!$C$31="Yes",BE142,AK142)</f>
        <v>0</v>
      </c>
      <c r="BL142" s="60" t="n">
        <f aca="false">IF('Level 3'!$C$31="Yes",BF142,AL142)</f>
        <v>0</v>
      </c>
      <c r="BM142" s="60" t="n">
        <f aca="false">IF('Level 4'!$C$31="Yes",BG142,AM142)</f>
        <v>0</v>
      </c>
      <c r="BN142" s="60" t="n">
        <f aca="false">IF('Level 5'!$C$31="Yes",BH142,AN142)</f>
        <v>0</v>
      </c>
      <c r="BO142" s="60" t="n">
        <f aca="false">IF('Level 6'!$C$31="Yes",BI142,AO142)</f>
        <v>0</v>
      </c>
      <c r="BP142" s="60" t="n">
        <f aca="false">IF('Level 7'!$C$31="Yes",BC142,AP142)</f>
        <v>0</v>
      </c>
      <c r="BQ142" s="60" t="n">
        <f aca="false">D142-AP142</f>
        <v>195</v>
      </c>
      <c r="BR142" s="60" t="n">
        <f aca="false">BQ142^2</f>
        <v>38025</v>
      </c>
      <c r="BS142" s="60" t="n">
        <f aca="false">(BQ142-BQ141)^2</f>
        <v>441</v>
      </c>
      <c r="BT142" s="60" t="str">
        <f aca="false">IF(D142&gt;2000,ABS(BQ142)/D142,"")</f>
        <v/>
      </c>
      <c r="BU142" s="60" t="n">
        <v>75</v>
      </c>
      <c r="BV142" s="62" t="n">
        <v>0.5406</v>
      </c>
      <c r="BW142" s="60" t="n">
        <v>194.4</v>
      </c>
      <c r="BX142" s="60" t="n">
        <f aca="false">AA142</f>
        <v>0</v>
      </c>
      <c r="BY142" s="60" t="n">
        <f aca="false">H142</f>
        <v>1.38</v>
      </c>
      <c r="BZ142" s="60" t="n">
        <f aca="false">Z142</f>
        <v>0</v>
      </c>
      <c r="CA142" s="60" t="n">
        <f aca="false">AB142+AC142+AD142</f>
        <v>0</v>
      </c>
      <c r="CB142" s="60" t="n">
        <f aca="false">AE142+AF142+AG142+AH142+AI142</f>
        <v>0</v>
      </c>
    </row>
    <row r="143" customFormat="false" ht="15" hidden="false" customHeight="false" outlineLevel="0" collapsed="false">
      <c r="A143" s="58" t="n">
        <v>45893</v>
      </c>
      <c r="B143" s="59" t="n">
        <f aca="false">YEAR(A143)</f>
        <v>2025</v>
      </c>
      <c r="C143" s="59" t="n">
        <f aca="false">MONTH(A143)</f>
        <v>8</v>
      </c>
      <c r="D143" s="60" t="n">
        <v>194</v>
      </c>
      <c r="E143" s="61" t="n">
        <v>0.9376</v>
      </c>
      <c r="F143" s="61" t="n">
        <v>2.5857</v>
      </c>
      <c r="G143" s="61" t="n">
        <v>0</v>
      </c>
      <c r="H143" s="60" t="n">
        <v>1.38</v>
      </c>
      <c r="I143" s="60" t="n">
        <f aca="false">H143+'Level 4'!$C$12/100*I142</f>
        <v>1.38</v>
      </c>
      <c r="J143" s="60" t="n">
        <v>28.68</v>
      </c>
      <c r="K143" s="60" t="n">
        <v>31.17</v>
      </c>
      <c r="L143" s="60" t="n">
        <v>14.26</v>
      </c>
      <c r="M143" s="60" t="n">
        <f aca="false">L143+Answers!$C$14/100*M142</f>
        <v>50.6342955408284</v>
      </c>
      <c r="N143" s="60" t="n">
        <v>0</v>
      </c>
      <c r="O143" s="60" t="n">
        <v>0</v>
      </c>
      <c r="P143" s="60" t="n">
        <v>0</v>
      </c>
      <c r="Q143" s="60" t="n">
        <v>0</v>
      </c>
      <c r="R143" s="60" t="n">
        <v>1.19</v>
      </c>
      <c r="S143" s="60" t="n">
        <f aca="false">N143+Answers!$C$16/100*S142</f>
        <v>7.41003653556763</v>
      </c>
      <c r="T143" s="60" t="n">
        <f aca="false">O143+Answers!$C$17/100*T142</f>
        <v>17.672208136049</v>
      </c>
      <c r="U143" s="60" t="n">
        <f aca="false">P143+Answers!$C$18/100*U142</f>
        <v>15.4192460470654</v>
      </c>
      <c r="V143" s="60" t="n">
        <f aca="false">Q143+Answers!$C$19/100*V142</f>
        <v>17.2115361208479</v>
      </c>
      <c r="W143" s="60" t="n">
        <f aca="false">R143+Answers!$C$20/100*W142</f>
        <v>123.072244527272</v>
      </c>
      <c r="X143" s="60" t="n">
        <f aca="false">IF('Level 1'!$C$11="",0,'Level 1'!$C$11)*E143</f>
        <v>0</v>
      </c>
      <c r="Y143" s="60" t="n">
        <f aca="false">-IF('Level 2'!$C$11="",0,'Level 2'!$C$11)*F143</f>
        <v>-0</v>
      </c>
      <c r="Z143" s="60" t="n">
        <f aca="false">IF('Level 3'!$C$11="",0,'Level 3'!$C$11)*G143</f>
        <v>0</v>
      </c>
      <c r="AA143" s="60" t="n">
        <f aca="false">IF('Level 4'!$C$11="",0,'Level 4'!$C$11)*(1-'Level 4'!$C$12/100)*I143</f>
        <v>0</v>
      </c>
      <c r="AB143" s="60" t="n">
        <f aca="false">IF('Level 5'!$C$11="",0,'Level 5'!$C$11)*J143</f>
        <v>0</v>
      </c>
      <c r="AC143" s="60" t="n">
        <f aca="false">IF('Level 5'!$C$12="",0,'Level 5'!$C$12)*K143</f>
        <v>0</v>
      </c>
      <c r="AD143" s="60" t="n">
        <f aca="false">IF('Level 5'!$C$13="",0,'Level 5'!$C$13)*(1-Answers!$C$14/100)*M143</f>
        <v>0</v>
      </c>
      <c r="AE143" s="60" t="n">
        <f aca="false">IF('Level 6'!$C$11="",0,'Level 6'!$C$11)*(1-Answers!$C$16/100)*S143</f>
        <v>0</v>
      </c>
      <c r="AF143" s="60" t="n">
        <f aca="false">IF('Level 6'!$C$12="",0,'Level 6'!$C$12)*(1-Answers!$C$17/100)*T143</f>
        <v>0</v>
      </c>
      <c r="AG143" s="60" t="n">
        <f aca="false">IF('Level 6'!$C$13="",0,'Level 6'!$C$13)*(1-Answers!$C$18/100)*U143</f>
        <v>0</v>
      </c>
      <c r="AH143" s="60" t="n">
        <f aca="false">IF('Level 6'!$C$14="",0,'Level 6'!$C$14)*(1-Answers!$C$19/100)*V143</f>
        <v>0</v>
      </c>
      <c r="AI143" s="60" t="n">
        <f aca="false">IF('Level 6'!$C$15="",0,'Level 6'!$C$15)*(1-Answers!$C$20/100)*W143</f>
        <v>0</v>
      </c>
      <c r="AJ143" s="60" t="n">
        <f aca="false">X143</f>
        <v>0</v>
      </c>
      <c r="AK143" s="60" t="n">
        <f aca="false">X143+Y143</f>
        <v>0</v>
      </c>
      <c r="AL143" s="60" t="n">
        <f aca="false">AK143+Z143</f>
        <v>0</v>
      </c>
      <c r="AM143" s="60" t="n">
        <f aca="false">AL143+AA143</f>
        <v>0</v>
      </c>
      <c r="AN143" s="60" t="n">
        <f aca="false">AM143+AB143+AC143+AD143</f>
        <v>0</v>
      </c>
      <c r="AO143" s="60" t="n">
        <f aca="false">AL143+AE143+AF143+AG143+AH143+AI143+AB143+AC143+AD143</f>
        <v>0</v>
      </c>
      <c r="AP143" s="60" t="n">
        <f aca="false">IF(Answers!$C$22="Yes",AO143,AN143)</f>
        <v>0</v>
      </c>
      <c r="AQ143" s="60" t="n">
        <v>821</v>
      </c>
      <c r="AR143" s="60" t="n">
        <v>-2462.7</v>
      </c>
      <c r="AS143" s="60" t="n">
        <v>0</v>
      </c>
      <c r="AT143" s="60" t="n">
        <v>1015</v>
      </c>
      <c r="AU143" s="60" t="n">
        <v>68</v>
      </c>
      <c r="AV143" s="60" t="n">
        <v>83.7</v>
      </c>
      <c r="AW143" s="60" t="n">
        <v>0</v>
      </c>
      <c r="AX143" s="60" t="n">
        <v>66.6</v>
      </c>
      <c r="AY143" s="60" t="n">
        <v>113.6</v>
      </c>
      <c r="AZ143" s="60" t="n">
        <v>99.9</v>
      </c>
      <c r="BA143" s="60" t="n">
        <v>33.5</v>
      </c>
      <c r="BB143" s="60" t="n">
        <v>701.3</v>
      </c>
      <c r="BC143" s="60" t="n">
        <f aca="false">AQ143+AR143+AS143+AT143+AU143+AV143+AW143</f>
        <v>-475</v>
      </c>
      <c r="BD143" s="60" t="n">
        <f aca="false">AQ143</f>
        <v>821</v>
      </c>
      <c r="BE143" s="60" t="n">
        <f aca="false">AQ143+AR143</f>
        <v>-1641.7</v>
      </c>
      <c r="BF143" s="60" t="n">
        <f aca="false">BE143+AS143</f>
        <v>-1641.7</v>
      </c>
      <c r="BG143" s="60" t="n">
        <f aca="false">BF143+AT143</f>
        <v>-626.7</v>
      </c>
      <c r="BH143" s="60" t="n">
        <f aca="false">BG143+AU143+AV143+AW143</f>
        <v>-475</v>
      </c>
      <c r="BI143" s="60" t="n">
        <f aca="false">BC143</f>
        <v>-475</v>
      </c>
      <c r="BJ143" s="60" t="n">
        <f aca="false">IF('Level 1'!$C$31="Yes",BD143,AJ143)</f>
        <v>0</v>
      </c>
      <c r="BK143" s="60" t="n">
        <f aca="false">IF('Level 2'!$C$31="Yes",BE143,AK143)</f>
        <v>0</v>
      </c>
      <c r="BL143" s="60" t="n">
        <f aca="false">IF('Level 3'!$C$31="Yes",BF143,AL143)</f>
        <v>0</v>
      </c>
      <c r="BM143" s="60" t="n">
        <f aca="false">IF('Level 4'!$C$31="Yes",BG143,AM143)</f>
        <v>0</v>
      </c>
      <c r="BN143" s="60" t="n">
        <f aca="false">IF('Level 5'!$C$31="Yes",BH143,AN143)</f>
        <v>0</v>
      </c>
      <c r="BO143" s="60" t="n">
        <f aca="false">IF('Level 6'!$C$31="Yes",BI143,AO143)</f>
        <v>0</v>
      </c>
      <c r="BP143" s="60" t="n">
        <f aca="false">IF('Level 7'!$C$31="Yes",BC143,AP143)</f>
        <v>0</v>
      </c>
      <c r="BQ143" s="60" t="n">
        <f aca="false">D143-AP143</f>
        <v>194</v>
      </c>
      <c r="BR143" s="60" t="n">
        <f aca="false">BQ143^2</f>
        <v>37636</v>
      </c>
      <c r="BS143" s="60" t="n">
        <f aca="false">(BQ143-BQ142)^2</f>
        <v>1</v>
      </c>
      <c r="BT143" s="60" t="str">
        <f aca="false">IF(D143&gt;2000,ABS(BQ143)/D143,"")</f>
        <v/>
      </c>
      <c r="BU143" s="60" t="n">
        <v>83</v>
      </c>
      <c r="BV143" s="62" t="n">
        <v>0.5406</v>
      </c>
      <c r="BW143" s="60" t="n">
        <v>308.8</v>
      </c>
      <c r="BX143" s="60" t="n">
        <f aca="false">AA143</f>
        <v>0</v>
      </c>
      <c r="BY143" s="60" t="n">
        <f aca="false">H143</f>
        <v>1.38</v>
      </c>
      <c r="BZ143" s="60" t="n">
        <f aca="false">Z143</f>
        <v>0</v>
      </c>
      <c r="CA143" s="60" t="n">
        <f aca="false">AB143+AC143+AD143</f>
        <v>0</v>
      </c>
      <c r="CB143" s="60" t="n">
        <f aca="false">AE143+AF143+AG143+AH143+AI143</f>
        <v>0</v>
      </c>
    </row>
    <row r="144" customFormat="false" ht="15" hidden="false" customHeight="false" outlineLevel="0" collapsed="false">
      <c r="A144" s="58" t="n">
        <v>45900</v>
      </c>
      <c r="B144" s="59" t="n">
        <f aca="false">YEAR(A144)</f>
        <v>2025</v>
      </c>
      <c r="C144" s="59" t="n">
        <f aca="false">MONTH(A144)</f>
        <v>8</v>
      </c>
      <c r="D144" s="60" t="n">
        <v>221</v>
      </c>
      <c r="E144" s="61" t="n">
        <v>0.8628</v>
      </c>
      <c r="F144" s="61" t="n">
        <v>2.5857</v>
      </c>
      <c r="G144" s="61" t="n">
        <v>0</v>
      </c>
      <c r="H144" s="60" t="n">
        <v>1.41</v>
      </c>
      <c r="I144" s="60" t="n">
        <f aca="false">H144+'Level 4'!$C$12/100*I143</f>
        <v>1.41</v>
      </c>
      <c r="J144" s="60" t="n">
        <v>28.94</v>
      </c>
      <c r="K144" s="60" t="n">
        <v>26.54</v>
      </c>
      <c r="L144" s="60" t="n">
        <v>14.25</v>
      </c>
      <c r="M144" s="60" t="n">
        <f aca="false">L144+Answers!$C$14/100*M143</f>
        <v>44.6305773244971</v>
      </c>
      <c r="N144" s="60" t="n">
        <v>0</v>
      </c>
      <c r="O144" s="60" t="n">
        <v>0</v>
      </c>
      <c r="P144" s="60" t="n">
        <v>0</v>
      </c>
      <c r="Q144" s="60" t="n">
        <v>0</v>
      </c>
      <c r="R144" s="60" t="n">
        <v>1.19</v>
      </c>
      <c r="S144" s="60" t="n">
        <f aca="false">N144+Answers!$C$16/100*S143</f>
        <v>5.9280292284541</v>
      </c>
      <c r="T144" s="60" t="n">
        <f aca="false">O144+Answers!$C$17/100*T143</f>
        <v>14.1377665088392</v>
      </c>
      <c r="U144" s="60" t="n">
        <f aca="false">P144+Answers!$C$18/100*U143</f>
        <v>12.3353968376523</v>
      </c>
      <c r="V144" s="60" t="n">
        <f aca="false">Q144+Answers!$C$19/100*V143</f>
        <v>13.7692288966783</v>
      </c>
      <c r="W144" s="60" t="n">
        <f aca="false">R144+Answers!$C$20/100*W143</f>
        <v>99.6477956218177</v>
      </c>
      <c r="X144" s="60" t="n">
        <f aca="false">IF('Level 1'!$C$11="",0,'Level 1'!$C$11)*E144</f>
        <v>0</v>
      </c>
      <c r="Y144" s="60" t="n">
        <f aca="false">-IF('Level 2'!$C$11="",0,'Level 2'!$C$11)*F144</f>
        <v>-0</v>
      </c>
      <c r="Z144" s="60" t="n">
        <f aca="false">IF('Level 3'!$C$11="",0,'Level 3'!$C$11)*G144</f>
        <v>0</v>
      </c>
      <c r="AA144" s="60" t="n">
        <f aca="false">IF('Level 4'!$C$11="",0,'Level 4'!$C$11)*(1-'Level 4'!$C$12/100)*I144</f>
        <v>0</v>
      </c>
      <c r="AB144" s="60" t="n">
        <f aca="false">IF('Level 5'!$C$11="",0,'Level 5'!$C$11)*J144</f>
        <v>0</v>
      </c>
      <c r="AC144" s="60" t="n">
        <f aca="false">IF('Level 5'!$C$12="",0,'Level 5'!$C$12)*K144</f>
        <v>0</v>
      </c>
      <c r="AD144" s="60" t="n">
        <f aca="false">IF('Level 5'!$C$13="",0,'Level 5'!$C$13)*(1-Answers!$C$14/100)*M144</f>
        <v>0</v>
      </c>
      <c r="AE144" s="60" t="n">
        <f aca="false">IF('Level 6'!$C$11="",0,'Level 6'!$C$11)*(1-Answers!$C$16/100)*S144</f>
        <v>0</v>
      </c>
      <c r="AF144" s="60" t="n">
        <f aca="false">IF('Level 6'!$C$12="",0,'Level 6'!$C$12)*(1-Answers!$C$17/100)*T144</f>
        <v>0</v>
      </c>
      <c r="AG144" s="60" t="n">
        <f aca="false">IF('Level 6'!$C$13="",0,'Level 6'!$C$13)*(1-Answers!$C$18/100)*U144</f>
        <v>0</v>
      </c>
      <c r="AH144" s="60" t="n">
        <f aca="false">IF('Level 6'!$C$14="",0,'Level 6'!$C$14)*(1-Answers!$C$19/100)*V144</f>
        <v>0</v>
      </c>
      <c r="AI144" s="60" t="n">
        <f aca="false">IF('Level 6'!$C$15="",0,'Level 6'!$C$15)*(1-Answers!$C$20/100)*W144</f>
        <v>0</v>
      </c>
      <c r="AJ144" s="60" t="n">
        <f aca="false">X144</f>
        <v>0</v>
      </c>
      <c r="AK144" s="60" t="n">
        <f aca="false">X144+Y144</f>
        <v>0</v>
      </c>
      <c r="AL144" s="60" t="n">
        <f aca="false">AK144+Z144</f>
        <v>0</v>
      </c>
      <c r="AM144" s="60" t="n">
        <f aca="false">AL144+AA144</f>
        <v>0</v>
      </c>
      <c r="AN144" s="60" t="n">
        <f aca="false">AM144+AB144+AC144+AD144</f>
        <v>0</v>
      </c>
      <c r="AO144" s="60" t="n">
        <f aca="false">AL144+AE144+AF144+AG144+AH144+AI144+AB144+AC144+AD144</f>
        <v>0</v>
      </c>
      <c r="AP144" s="60" t="n">
        <f aca="false">IF(Answers!$C$22="Yes",AO144,AN144)</f>
        <v>0</v>
      </c>
      <c r="AQ144" s="60" t="n">
        <v>755.5</v>
      </c>
      <c r="AR144" s="60" t="n">
        <v>-2462.7</v>
      </c>
      <c r="AS144" s="60" t="n">
        <v>0</v>
      </c>
      <c r="AT144" s="60" t="n">
        <v>884.6</v>
      </c>
      <c r="AU144" s="60" t="n">
        <v>68.2</v>
      </c>
      <c r="AV144" s="60" t="n">
        <v>71.2</v>
      </c>
      <c r="AW144" s="60" t="n">
        <v>0</v>
      </c>
      <c r="AX144" s="60" t="n">
        <v>56.6</v>
      </c>
      <c r="AY144" s="60" t="n">
        <v>96.5</v>
      </c>
      <c r="AZ144" s="60" t="n">
        <v>85</v>
      </c>
      <c r="BA144" s="60" t="n">
        <v>28.5</v>
      </c>
      <c r="BB144" s="60" t="n">
        <v>618</v>
      </c>
      <c r="BC144" s="60" t="n">
        <f aca="false">AQ144+AR144+AS144+AT144+AU144+AV144+AW144</f>
        <v>-683.2</v>
      </c>
      <c r="BD144" s="60" t="n">
        <f aca="false">AQ144</f>
        <v>755.5</v>
      </c>
      <c r="BE144" s="60" t="n">
        <f aca="false">AQ144+AR144</f>
        <v>-1707.2</v>
      </c>
      <c r="BF144" s="60" t="n">
        <f aca="false">BE144+AS144</f>
        <v>-1707.2</v>
      </c>
      <c r="BG144" s="60" t="n">
        <f aca="false">BF144+AT144</f>
        <v>-822.6</v>
      </c>
      <c r="BH144" s="60" t="n">
        <f aca="false">BG144+AU144+AV144+AW144</f>
        <v>-683.2</v>
      </c>
      <c r="BI144" s="60" t="n">
        <f aca="false">BC144</f>
        <v>-683.2</v>
      </c>
      <c r="BJ144" s="60" t="n">
        <f aca="false">IF('Level 1'!$C$31="Yes",BD144,AJ144)</f>
        <v>0</v>
      </c>
      <c r="BK144" s="60" t="n">
        <f aca="false">IF('Level 2'!$C$31="Yes",BE144,AK144)</f>
        <v>0</v>
      </c>
      <c r="BL144" s="60" t="n">
        <f aca="false">IF('Level 3'!$C$31="Yes",BF144,AL144)</f>
        <v>0</v>
      </c>
      <c r="BM144" s="60" t="n">
        <f aca="false">IF('Level 4'!$C$31="Yes",BG144,AM144)</f>
        <v>0</v>
      </c>
      <c r="BN144" s="60" t="n">
        <f aca="false">IF('Level 5'!$C$31="Yes",BH144,AN144)</f>
        <v>0</v>
      </c>
      <c r="BO144" s="60" t="n">
        <f aca="false">IF('Level 6'!$C$31="Yes",BI144,AO144)</f>
        <v>0</v>
      </c>
      <c r="BP144" s="60" t="n">
        <f aca="false">IF('Level 7'!$C$31="Yes",BC144,AP144)</f>
        <v>0</v>
      </c>
      <c r="BQ144" s="60" t="n">
        <f aca="false">D144-AP144</f>
        <v>221</v>
      </c>
      <c r="BR144" s="60" t="n">
        <f aca="false">BQ144^2</f>
        <v>48841</v>
      </c>
      <c r="BS144" s="60" t="n">
        <f aca="false">(BQ144-BQ143)^2</f>
        <v>729</v>
      </c>
      <c r="BT144" s="60" t="str">
        <f aca="false">IF(D144&gt;2000,ABS(BQ144)/D144,"")</f>
        <v/>
      </c>
      <c r="BU144" s="60" t="n">
        <v>96</v>
      </c>
      <c r="BV144" s="62" t="n">
        <v>0.5438</v>
      </c>
      <c r="BW144" s="60" t="n">
        <v>296.8</v>
      </c>
      <c r="BX144" s="60" t="n">
        <f aca="false">AA144</f>
        <v>0</v>
      </c>
      <c r="BY144" s="60" t="n">
        <f aca="false">H144</f>
        <v>1.41</v>
      </c>
      <c r="BZ144" s="60" t="n">
        <f aca="false">Z144</f>
        <v>0</v>
      </c>
      <c r="CA144" s="60" t="n">
        <f aca="false">AB144+AC144+AD144</f>
        <v>0</v>
      </c>
      <c r="CB144" s="60" t="n">
        <f aca="false">AE144+AF144+AG144+AH144+AI144</f>
        <v>0</v>
      </c>
    </row>
    <row r="145" customFormat="false" ht="15" hidden="false" customHeight="false" outlineLevel="0" collapsed="false">
      <c r="A145" s="58" t="n">
        <v>45907</v>
      </c>
      <c r="B145" s="59" t="n">
        <f aca="false">YEAR(A145)</f>
        <v>2025</v>
      </c>
      <c r="C145" s="59" t="n">
        <f aca="false">MONTH(A145)</f>
        <v>9</v>
      </c>
      <c r="D145" s="60" t="n">
        <v>350</v>
      </c>
      <c r="E145" s="61" t="n">
        <v>0.7126</v>
      </c>
      <c r="F145" s="61" t="n">
        <v>1.0282</v>
      </c>
      <c r="G145" s="61" t="n">
        <v>0</v>
      </c>
      <c r="H145" s="60" t="n">
        <v>0.4</v>
      </c>
      <c r="I145" s="60" t="n">
        <f aca="false">H145+'Level 4'!$C$12/100*I144</f>
        <v>0.4</v>
      </c>
      <c r="J145" s="60" t="n">
        <v>88.7</v>
      </c>
      <c r="K145" s="60" t="n">
        <v>713.69</v>
      </c>
      <c r="L145" s="60" t="n">
        <v>4.03</v>
      </c>
      <c r="M145" s="60" t="n">
        <f aca="false">L145+Answers!$C$14/100*M144</f>
        <v>30.8083463946982</v>
      </c>
      <c r="N145" s="60" t="n">
        <v>0</v>
      </c>
      <c r="O145" s="60" t="n">
        <v>0</v>
      </c>
      <c r="P145" s="60" t="n">
        <v>0</v>
      </c>
      <c r="Q145" s="60" t="n">
        <v>0</v>
      </c>
      <c r="R145" s="60" t="n">
        <v>0.05</v>
      </c>
      <c r="S145" s="60" t="n">
        <f aca="false">N145+Answers!$C$16/100*S144</f>
        <v>4.74242338276328</v>
      </c>
      <c r="T145" s="60" t="n">
        <f aca="false">O145+Answers!$C$17/100*T144</f>
        <v>11.3102132070714</v>
      </c>
      <c r="U145" s="60" t="n">
        <f aca="false">P145+Answers!$C$18/100*U144</f>
        <v>9.86831747012185</v>
      </c>
      <c r="V145" s="60" t="n">
        <f aca="false">Q145+Answers!$C$19/100*V144</f>
        <v>11.0153831173427</v>
      </c>
      <c r="W145" s="60" t="n">
        <f aca="false">R145+Answers!$C$20/100*W144</f>
        <v>79.7682364974542</v>
      </c>
      <c r="X145" s="60" t="n">
        <f aca="false">IF('Level 1'!$C$11="",0,'Level 1'!$C$11)*E145</f>
        <v>0</v>
      </c>
      <c r="Y145" s="60" t="n">
        <f aca="false">-IF('Level 2'!$C$11="",0,'Level 2'!$C$11)*F145</f>
        <v>-0</v>
      </c>
      <c r="Z145" s="60" t="n">
        <f aca="false">IF('Level 3'!$C$11="",0,'Level 3'!$C$11)*G145</f>
        <v>0</v>
      </c>
      <c r="AA145" s="60" t="n">
        <f aca="false">IF('Level 4'!$C$11="",0,'Level 4'!$C$11)*(1-'Level 4'!$C$12/100)*I145</f>
        <v>0</v>
      </c>
      <c r="AB145" s="60" t="n">
        <f aca="false">IF('Level 5'!$C$11="",0,'Level 5'!$C$11)*J145</f>
        <v>0</v>
      </c>
      <c r="AC145" s="60" t="n">
        <f aca="false">IF('Level 5'!$C$12="",0,'Level 5'!$C$12)*K145</f>
        <v>0</v>
      </c>
      <c r="AD145" s="60" t="n">
        <f aca="false">IF('Level 5'!$C$13="",0,'Level 5'!$C$13)*(1-Answers!$C$14/100)*M145</f>
        <v>0</v>
      </c>
      <c r="AE145" s="60" t="n">
        <f aca="false">IF('Level 6'!$C$11="",0,'Level 6'!$C$11)*(1-Answers!$C$16/100)*S145</f>
        <v>0</v>
      </c>
      <c r="AF145" s="60" t="n">
        <f aca="false">IF('Level 6'!$C$12="",0,'Level 6'!$C$12)*(1-Answers!$C$17/100)*T145</f>
        <v>0</v>
      </c>
      <c r="AG145" s="60" t="n">
        <f aca="false">IF('Level 6'!$C$13="",0,'Level 6'!$C$13)*(1-Answers!$C$18/100)*U145</f>
        <v>0</v>
      </c>
      <c r="AH145" s="60" t="n">
        <f aca="false">IF('Level 6'!$C$14="",0,'Level 6'!$C$14)*(1-Answers!$C$19/100)*V145</f>
        <v>0</v>
      </c>
      <c r="AI145" s="60" t="n">
        <f aca="false">IF('Level 6'!$C$15="",0,'Level 6'!$C$15)*(1-Answers!$C$20/100)*W145</f>
        <v>0</v>
      </c>
      <c r="AJ145" s="60" t="n">
        <f aca="false">X145</f>
        <v>0</v>
      </c>
      <c r="AK145" s="60" t="n">
        <f aca="false">X145+Y145</f>
        <v>0</v>
      </c>
      <c r="AL145" s="60" t="n">
        <f aca="false">AK145+Z145</f>
        <v>0</v>
      </c>
      <c r="AM145" s="60" t="n">
        <f aca="false">AL145+AA145</f>
        <v>0</v>
      </c>
      <c r="AN145" s="60" t="n">
        <f aca="false">AM145+AB145+AC145+AD145</f>
        <v>0</v>
      </c>
      <c r="AO145" s="60" t="n">
        <f aca="false">AL145+AE145+AF145+AG145+AH145+AI145+AB145+AC145+AD145</f>
        <v>0</v>
      </c>
      <c r="AP145" s="60" t="n">
        <f aca="false">IF(Answers!$C$22="Yes",AO145,AN145)</f>
        <v>0</v>
      </c>
      <c r="AQ145" s="60" t="n">
        <v>624</v>
      </c>
      <c r="AR145" s="60" t="n">
        <v>-979.3</v>
      </c>
      <c r="AS145" s="60" t="n">
        <v>0</v>
      </c>
      <c r="AT145" s="60" t="n">
        <v>765.2</v>
      </c>
      <c r="AU145" s="60" t="n">
        <v>281.9</v>
      </c>
      <c r="AV145" s="60" t="n">
        <v>1915.5</v>
      </c>
      <c r="AW145" s="60" t="n">
        <v>0</v>
      </c>
      <c r="AX145" s="60" t="n">
        <v>48.1</v>
      </c>
      <c r="AY145" s="60" t="n">
        <v>82</v>
      </c>
      <c r="AZ145" s="60" t="n">
        <v>72.2</v>
      </c>
      <c r="BA145" s="60" t="n">
        <v>24.2</v>
      </c>
      <c r="BB145" s="60" t="n">
        <v>538.6</v>
      </c>
      <c r="BC145" s="60" t="n">
        <f aca="false">AQ145+AR145+AS145+AT145+AU145+AV145+AW145</f>
        <v>2607.3</v>
      </c>
      <c r="BD145" s="60" t="n">
        <f aca="false">AQ145</f>
        <v>624</v>
      </c>
      <c r="BE145" s="60" t="n">
        <f aca="false">AQ145+AR145</f>
        <v>-355.3</v>
      </c>
      <c r="BF145" s="60" t="n">
        <f aca="false">BE145+AS145</f>
        <v>-355.3</v>
      </c>
      <c r="BG145" s="60" t="n">
        <f aca="false">BF145+AT145</f>
        <v>409.9</v>
      </c>
      <c r="BH145" s="60" t="n">
        <f aca="false">BG145+AU145+AV145+AW145</f>
        <v>2607.3</v>
      </c>
      <c r="BI145" s="60" t="n">
        <f aca="false">BC145</f>
        <v>2607.3</v>
      </c>
      <c r="BJ145" s="60" t="n">
        <f aca="false">IF('Level 1'!$C$31="Yes",BD145,AJ145)</f>
        <v>0</v>
      </c>
      <c r="BK145" s="60" t="n">
        <f aca="false">IF('Level 2'!$C$31="Yes",BE145,AK145)</f>
        <v>0</v>
      </c>
      <c r="BL145" s="60" t="n">
        <f aca="false">IF('Level 3'!$C$31="Yes",BF145,AL145)</f>
        <v>0</v>
      </c>
      <c r="BM145" s="60" t="n">
        <f aca="false">IF('Level 4'!$C$31="Yes",BG145,AM145)</f>
        <v>0</v>
      </c>
      <c r="BN145" s="60" t="n">
        <f aca="false">IF('Level 5'!$C$31="Yes",BH145,AN145)</f>
        <v>0</v>
      </c>
      <c r="BO145" s="60" t="n">
        <f aca="false">IF('Level 6'!$C$31="Yes",BI145,AO145)</f>
        <v>0</v>
      </c>
      <c r="BP145" s="60" t="n">
        <f aca="false">IF('Level 7'!$C$31="Yes",BC145,AP145)</f>
        <v>0</v>
      </c>
      <c r="BQ145" s="60" t="n">
        <f aca="false">D145-AP145</f>
        <v>350</v>
      </c>
      <c r="BR145" s="60" t="n">
        <f aca="false">BQ145^2</f>
        <v>122500</v>
      </c>
      <c r="BS145" s="60" t="n">
        <f aca="false">(BQ145-BQ144)^2</f>
        <v>16641</v>
      </c>
      <c r="BT145" s="60" t="str">
        <f aca="false">IF(D145&gt;2000,ABS(BQ145)/D145,"")</f>
        <v/>
      </c>
      <c r="BU145" s="60" t="n">
        <v>95</v>
      </c>
      <c r="BV145" s="62" t="n">
        <v>0.5438</v>
      </c>
      <c r="BW145" s="60" t="n">
        <v>976.2</v>
      </c>
      <c r="BX145" s="60" t="n">
        <f aca="false">AA145</f>
        <v>0</v>
      </c>
      <c r="BY145" s="60" t="n">
        <f aca="false">H145</f>
        <v>0.4</v>
      </c>
      <c r="BZ145" s="60" t="n">
        <f aca="false">Z145</f>
        <v>0</v>
      </c>
      <c r="CA145" s="60" t="n">
        <f aca="false">AB145+AC145+AD145</f>
        <v>0</v>
      </c>
      <c r="CB145" s="60" t="n">
        <f aca="false">AE145+AF145+AG145+AH145+AI145</f>
        <v>0</v>
      </c>
    </row>
    <row r="146" customFormat="false" ht="15" hidden="false" customHeight="false" outlineLevel="0" collapsed="false">
      <c r="A146" s="58" t="n">
        <v>45914</v>
      </c>
      <c r="B146" s="59" t="n">
        <f aca="false">YEAR(A146)</f>
        <v>2025</v>
      </c>
      <c r="C146" s="59" t="n">
        <f aca="false">MONTH(A146)</f>
        <v>9</v>
      </c>
      <c r="D146" s="60" t="n">
        <v>362</v>
      </c>
      <c r="E146" s="61" t="n">
        <v>0.6703</v>
      </c>
      <c r="F146" s="61" t="n">
        <v>1.0282</v>
      </c>
      <c r="G146" s="61" t="n">
        <v>0</v>
      </c>
      <c r="H146" s="60" t="n">
        <v>0.41</v>
      </c>
      <c r="I146" s="60" t="n">
        <f aca="false">H146+'Level 4'!$C$12/100*I145</f>
        <v>0.41</v>
      </c>
      <c r="J146" s="60" t="n">
        <v>91.85</v>
      </c>
      <c r="K146" s="60" t="n">
        <v>694.14</v>
      </c>
      <c r="L146" s="60" t="n">
        <v>4.04</v>
      </c>
      <c r="M146" s="60" t="n">
        <f aca="false">L146+Answers!$C$14/100*M145</f>
        <v>22.5250078368189</v>
      </c>
      <c r="N146" s="60" t="n">
        <v>0</v>
      </c>
      <c r="O146" s="60" t="n">
        <v>0</v>
      </c>
      <c r="P146" s="60" t="n">
        <v>0</v>
      </c>
      <c r="Q146" s="60" t="n">
        <v>0</v>
      </c>
      <c r="R146" s="60" t="n">
        <v>0.05</v>
      </c>
      <c r="S146" s="60" t="n">
        <f aca="false">N146+Answers!$C$16/100*S145</f>
        <v>3.79393870621063</v>
      </c>
      <c r="T146" s="60" t="n">
        <f aca="false">O146+Answers!$C$17/100*T145</f>
        <v>9.0481705656571</v>
      </c>
      <c r="U146" s="60" t="n">
        <f aca="false">P146+Answers!$C$18/100*U145</f>
        <v>7.89465397609748</v>
      </c>
      <c r="V146" s="60" t="n">
        <f aca="false">Q146+Answers!$C$19/100*V145</f>
        <v>8.81230649387412</v>
      </c>
      <c r="W146" s="60" t="n">
        <f aca="false">R146+Answers!$C$20/100*W145</f>
        <v>63.8645891979633</v>
      </c>
      <c r="X146" s="60" t="n">
        <f aca="false">IF('Level 1'!$C$11="",0,'Level 1'!$C$11)*E146</f>
        <v>0</v>
      </c>
      <c r="Y146" s="60" t="n">
        <f aca="false">-IF('Level 2'!$C$11="",0,'Level 2'!$C$11)*F146</f>
        <v>-0</v>
      </c>
      <c r="Z146" s="60" t="n">
        <f aca="false">IF('Level 3'!$C$11="",0,'Level 3'!$C$11)*G146</f>
        <v>0</v>
      </c>
      <c r="AA146" s="60" t="n">
        <f aca="false">IF('Level 4'!$C$11="",0,'Level 4'!$C$11)*(1-'Level 4'!$C$12/100)*I146</f>
        <v>0</v>
      </c>
      <c r="AB146" s="60" t="n">
        <f aca="false">IF('Level 5'!$C$11="",0,'Level 5'!$C$11)*J146</f>
        <v>0</v>
      </c>
      <c r="AC146" s="60" t="n">
        <f aca="false">IF('Level 5'!$C$12="",0,'Level 5'!$C$12)*K146</f>
        <v>0</v>
      </c>
      <c r="AD146" s="60" t="n">
        <f aca="false">IF('Level 5'!$C$13="",0,'Level 5'!$C$13)*(1-Answers!$C$14/100)*M146</f>
        <v>0</v>
      </c>
      <c r="AE146" s="60" t="n">
        <f aca="false">IF('Level 6'!$C$11="",0,'Level 6'!$C$11)*(1-Answers!$C$16/100)*S146</f>
        <v>0</v>
      </c>
      <c r="AF146" s="60" t="n">
        <f aca="false">IF('Level 6'!$C$12="",0,'Level 6'!$C$12)*(1-Answers!$C$17/100)*T146</f>
        <v>0</v>
      </c>
      <c r="AG146" s="60" t="n">
        <f aca="false">IF('Level 6'!$C$13="",0,'Level 6'!$C$13)*(1-Answers!$C$18/100)*U146</f>
        <v>0</v>
      </c>
      <c r="AH146" s="60" t="n">
        <f aca="false">IF('Level 6'!$C$14="",0,'Level 6'!$C$14)*(1-Answers!$C$19/100)*V146</f>
        <v>0</v>
      </c>
      <c r="AI146" s="60" t="n">
        <f aca="false">IF('Level 6'!$C$15="",0,'Level 6'!$C$15)*(1-Answers!$C$20/100)*W146</f>
        <v>0</v>
      </c>
      <c r="AJ146" s="60" t="n">
        <f aca="false">X146</f>
        <v>0</v>
      </c>
      <c r="AK146" s="60" t="n">
        <f aca="false">X146+Y146</f>
        <v>0</v>
      </c>
      <c r="AL146" s="60" t="n">
        <f aca="false">AK146+Z146</f>
        <v>0</v>
      </c>
      <c r="AM146" s="60" t="n">
        <f aca="false">AL146+AA146</f>
        <v>0</v>
      </c>
      <c r="AN146" s="60" t="n">
        <f aca="false">AM146+AB146+AC146+AD146</f>
        <v>0</v>
      </c>
      <c r="AO146" s="60" t="n">
        <f aca="false">AL146+AE146+AF146+AG146+AH146+AI146+AB146+AC146+AD146</f>
        <v>0</v>
      </c>
      <c r="AP146" s="60" t="n">
        <f aca="false">IF(Answers!$C$22="Yes",AO146,AN146)</f>
        <v>0</v>
      </c>
      <c r="AQ146" s="60" t="n">
        <v>586.9</v>
      </c>
      <c r="AR146" s="60" t="n">
        <v>-979.3</v>
      </c>
      <c r="AS146" s="60" t="n">
        <v>0</v>
      </c>
      <c r="AT146" s="60" t="n">
        <v>673</v>
      </c>
      <c r="AU146" s="60" t="n">
        <v>295.3</v>
      </c>
      <c r="AV146" s="60" t="n">
        <v>1863.1</v>
      </c>
      <c r="AW146" s="60" t="n">
        <v>0</v>
      </c>
      <c r="AX146" s="60" t="n">
        <v>40.9</v>
      </c>
      <c r="AY146" s="60" t="n">
        <v>69.7</v>
      </c>
      <c r="AZ146" s="60" t="n">
        <v>61.4</v>
      </c>
      <c r="BA146" s="60" t="n">
        <v>20.6</v>
      </c>
      <c r="BB146" s="60" t="n">
        <v>480.4</v>
      </c>
      <c r="BC146" s="60" t="n">
        <f aca="false">AQ146+AR146+AS146+AT146+AU146+AV146+AW146</f>
        <v>2439</v>
      </c>
      <c r="BD146" s="60" t="n">
        <f aca="false">AQ146</f>
        <v>586.9</v>
      </c>
      <c r="BE146" s="60" t="n">
        <f aca="false">AQ146+AR146</f>
        <v>-392.4</v>
      </c>
      <c r="BF146" s="60" t="n">
        <f aca="false">BE146+AS146</f>
        <v>-392.4</v>
      </c>
      <c r="BG146" s="60" t="n">
        <f aca="false">BF146+AT146</f>
        <v>280.6</v>
      </c>
      <c r="BH146" s="60" t="n">
        <f aca="false">BG146+AU146+AV146+AW146</f>
        <v>2439</v>
      </c>
      <c r="BI146" s="60" t="n">
        <f aca="false">BC146</f>
        <v>2439</v>
      </c>
      <c r="BJ146" s="60" t="n">
        <f aca="false">IF('Level 1'!$C$31="Yes",BD146,AJ146)</f>
        <v>0</v>
      </c>
      <c r="BK146" s="60" t="n">
        <f aca="false">IF('Level 2'!$C$31="Yes",BE146,AK146)</f>
        <v>0</v>
      </c>
      <c r="BL146" s="60" t="n">
        <f aca="false">IF('Level 3'!$C$31="Yes",BF146,AL146)</f>
        <v>0</v>
      </c>
      <c r="BM146" s="60" t="n">
        <f aca="false">IF('Level 4'!$C$31="Yes",BG146,AM146)</f>
        <v>0</v>
      </c>
      <c r="BN146" s="60" t="n">
        <f aca="false">IF('Level 5'!$C$31="Yes",BH146,AN146)</f>
        <v>0</v>
      </c>
      <c r="BO146" s="60" t="n">
        <f aca="false">IF('Level 6'!$C$31="Yes",BI146,AO146)</f>
        <v>0</v>
      </c>
      <c r="BP146" s="60" t="n">
        <f aca="false">IF('Level 7'!$C$31="Yes",BC146,AP146)</f>
        <v>0</v>
      </c>
      <c r="BQ146" s="60" t="n">
        <f aca="false">D146-AP146</f>
        <v>362</v>
      </c>
      <c r="BR146" s="60" t="n">
        <f aca="false">BQ146^2</f>
        <v>131044</v>
      </c>
      <c r="BS146" s="60" t="n">
        <f aca="false">(BQ146-BQ145)^2</f>
        <v>144</v>
      </c>
      <c r="BT146" s="60" t="str">
        <f aca="false">IF(D146&gt;2000,ABS(BQ146)/D146,"")</f>
        <v/>
      </c>
      <c r="BU146" s="60" t="n">
        <v>126</v>
      </c>
      <c r="BV146" s="62" t="n">
        <v>0.5438</v>
      </c>
      <c r="BW146" s="60" t="n">
        <v>1012.9</v>
      </c>
      <c r="BX146" s="60" t="n">
        <f aca="false">AA146</f>
        <v>0</v>
      </c>
      <c r="BY146" s="60" t="n">
        <f aca="false">H146</f>
        <v>0.41</v>
      </c>
      <c r="BZ146" s="60" t="n">
        <f aca="false">Z146</f>
        <v>0</v>
      </c>
      <c r="CA146" s="60" t="n">
        <f aca="false">AB146+AC146+AD146</f>
        <v>0</v>
      </c>
      <c r="CB146" s="60" t="n">
        <f aca="false">AE146+AF146+AG146+AH146+AI146</f>
        <v>0</v>
      </c>
    </row>
    <row r="147" customFormat="false" ht="15" hidden="false" customHeight="false" outlineLevel="0" collapsed="false">
      <c r="A147" s="58" t="n">
        <v>45921</v>
      </c>
      <c r="B147" s="59" t="n">
        <f aca="false">YEAR(A147)</f>
        <v>2025</v>
      </c>
      <c r="C147" s="59" t="n">
        <f aca="false">MONTH(A147)</f>
        <v>9</v>
      </c>
      <c r="D147" s="60" t="n">
        <v>353</v>
      </c>
      <c r="E147" s="61" t="n">
        <v>0.6674</v>
      </c>
      <c r="F147" s="61" t="n">
        <v>1.0282</v>
      </c>
      <c r="G147" s="61" t="n">
        <v>0</v>
      </c>
      <c r="H147" s="60" t="n">
        <v>0.4</v>
      </c>
      <c r="I147" s="60" t="n">
        <f aca="false">H147+'Level 4'!$C$12/100*I146</f>
        <v>0.4</v>
      </c>
      <c r="J147" s="60" t="n">
        <v>95.47</v>
      </c>
      <c r="K147" s="60" t="n">
        <v>92.89</v>
      </c>
      <c r="L147" s="60" t="n">
        <v>4</v>
      </c>
      <c r="M147" s="60" t="n">
        <f aca="false">L147+Answers!$C$14/100*M146</f>
        <v>17.5150047020914</v>
      </c>
      <c r="N147" s="60" t="n">
        <v>0</v>
      </c>
      <c r="O147" s="60" t="n">
        <v>0</v>
      </c>
      <c r="P147" s="60" t="n">
        <v>0</v>
      </c>
      <c r="Q147" s="60" t="n">
        <v>0</v>
      </c>
      <c r="R147" s="60" t="n">
        <v>0.05</v>
      </c>
      <c r="S147" s="60" t="n">
        <f aca="false">N147+Answers!$C$16/100*S146</f>
        <v>3.0351509649685</v>
      </c>
      <c r="T147" s="60" t="n">
        <f aca="false">O147+Answers!$C$17/100*T146</f>
        <v>7.23853645252568</v>
      </c>
      <c r="U147" s="60" t="n">
        <f aca="false">P147+Answers!$C$18/100*U146</f>
        <v>6.31572318087798</v>
      </c>
      <c r="V147" s="60" t="n">
        <f aca="false">Q147+Answers!$C$19/100*V146</f>
        <v>7.0498451950993</v>
      </c>
      <c r="W147" s="60" t="n">
        <f aca="false">R147+Answers!$C$20/100*W146</f>
        <v>51.1416713583707</v>
      </c>
      <c r="X147" s="60" t="n">
        <f aca="false">IF('Level 1'!$C$11="",0,'Level 1'!$C$11)*E147</f>
        <v>0</v>
      </c>
      <c r="Y147" s="60" t="n">
        <f aca="false">-IF('Level 2'!$C$11="",0,'Level 2'!$C$11)*F147</f>
        <v>-0</v>
      </c>
      <c r="Z147" s="60" t="n">
        <f aca="false">IF('Level 3'!$C$11="",0,'Level 3'!$C$11)*G147</f>
        <v>0</v>
      </c>
      <c r="AA147" s="60" t="n">
        <f aca="false">IF('Level 4'!$C$11="",0,'Level 4'!$C$11)*(1-'Level 4'!$C$12/100)*I147</f>
        <v>0</v>
      </c>
      <c r="AB147" s="60" t="n">
        <f aca="false">IF('Level 5'!$C$11="",0,'Level 5'!$C$11)*J147</f>
        <v>0</v>
      </c>
      <c r="AC147" s="60" t="n">
        <f aca="false">IF('Level 5'!$C$12="",0,'Level 5'!$C$12)*K147</f>
        <v>0</v>
      </c>
      <c r="AD147" s="60" t="n">
        <f aca="false">IF('Level 5'!$C$13="",0,'Level 5'!$C$13)*(1-Answers!$C$14/100)*M147</f>
        <v>0</v>
      </c>
      <c r="AE147" s="60" t="n">
        <f aca="false">IF('Level 6'!$C$11="",0,'Level 6'!$C$11)*(1-Answers!$C$16/100)*S147</f>
        <v>0</v>
      </c>
      <c r="AF147" s="60" t="n">
        <f aca="false">IF('Level 6'!$C$12="",0,'Level 6'!$C$12)*(1-Answers!$C$17/100)*T147</f>
        <v>0</v>
      </c>
      <c r="AG147" s="60" t="n">
        <f aca="false">IF('Level 6'!$C$13="",0,'Level 6'!$C$13)*(1-Answers!$C$18/100)*U147</f>
        <v>0</v>
      </c>
      <c r="AH147" s="60" t="n">
        <f aca="false">IF('Level 6'!$C$14="",0,'Level 6'!$C$14)*(1-Answers!$C$19/100)*V147</f>
        <v>0</v>
      </c>
      <c r="AI147" s="60" t="n">
        <f aca="false">IF('Level 6'!$C$15="",0,'Level 6'!$C$15)*(1-Answers!$C$20/100)*W147</f>
        <v>0</v>
      </c>
      <c r="AJ147" s="60" t="n">
        <f aca="false">X147</f>
        <v>0</v>
      </c>
      <c r="AK147" s="60" t="n">
        <f aca="false">X147+Y147</f>
        <v>0</v>
      </c>
      <c r="AL147" s="60" t="n">
        <f aca="false">AK147+Z147</f>
        <v>0</v>
      </c>
      <c r="AM147" s="60" t="n">
        <f aca="false">AL147+AA147</f>
        <v>0</v>
      </c>
      <c r="AN147" s="60" t="n">
        <f aca="false">AM147+AB147+AC147+AD147</f>
        <v>0</v>
      </c>
      <c r="AO147" s="60" t="n">
        <f aca="false">AL147+AE147+AF147+AG147+AH147+AI147+AB147+AC147+AD147</f>
        <v>0</v>
      </c>
      <c r="AP147" s="60" t="n">
        <f aca="false">IF(Answers!$C$22="Yes",AO147,AN147)</f>
        <v>0</v>
      </c>
      <c r="AQ147" s="60" t="n">
        <v>584.4</v>
      </c>
      <c r="AR147" s="60" t="n">
        <v>-979.3</v>
      </c>
      <c r="AS147" s="60" t="n">
        <v>0</v>
      </c>
      <c r="AT147" s="60" t="n">
        <v>599.2</v>
      </c>
      <c r="AU147" s="60" t="n">
        <v>298</v>
      </c>
      <c r="AV147" s="60" t="n">
        <v>249.3</v>
      </c>
      <c r="AW147" s="60" t="n">
        <v>0</v>
      </c>
      <c r="AX147" s="60" t="n">
        <v>34.8</v>
      </c>
      <c r="AY147" s="60" t="n">
        <v>59.3</v>
      </c>
      <c r="AZ147" s="60" t="n">
        <v>52.2</v>
      </c>
      <c r="BA147" s="60" t="n">
        <v>17.5</v>
      </c>
      <c r="BB147" s="60" t="n">
        <v>435.5</v>
      </c>
      <c r="BC147" s="60" t="n">
        <f aca="false">AQ147+AR147+AS147+AT147+AU147+AV147+AW147</f>
        <v>751.6</v>
      </c>
      <c r="BD147" s="60" t="n">
        <f aca="false">AQ147</f>
        <v>584.4</v>
      </c>
      <c r="BE147" s="60" t="n">
        <f aca="false">AQ147+AR147</f>
        <v>-394.9</v>
      </c>
      <c r="BF147" s="60" t="n">
        <f aca="false">BE147+AS147</f>
        <v>-394.9</v>
      </c>
      <c r="BG147" s="60" t="n">
        <f aca="false">BF147+AT147</f>
        <v>204.3</v>
      </c>
      <c r="BH147" s="60" t="n">
        <f aca="false">BG147+AU147+AV147+AW147</f>
        <v>751.6</v>
      </c>
      <c r="BI147" s="60" t="n">
        <f aca="false">BC147</f>
        <v>751.6</v>
      </c>
      <c r="BJ147" s="60" t="n">
        <f aca="false">IF('Level 1'!$C$31="Yes",BD147,AJ147)</f>
        <v>0</v>
      </c>
      <c r="BK147" s="60" t="n">
        <f aca="false">IF('Level 2'!$C$31="Yes",BE147,AK147)</f>
        <v>0</v>
      </c>
      <c r="BL147" s="60" t="n">
        <f aca="false">IF('Level 3'!$C$31="Yes",BF147,AL147)</f>
        <v>0</v>
      </c>
      <c r="BM147" s="60" t="n">
        <f aca="false">IF('Level 4'!$C$31="Yes",BG147,AM147)</f>
        <v>0</v>
      </c>
      <c r="BN147" s="60" t="n">
        <f aca="false">IF('Level 5'!$C$31="Yes",BH147,AN147)</f>
        <v>0</v>
      </c>
      <c r="BO147" s="60" t="n">
        <f aca="false">IF('Level 6'!$C$31="Yes",BI147,AO147)</f>
        <v>0</v>
      </c>
      <c r="BP147" s="60" t="n">
        <f aca="false">IF('Level 7'!$C$31="Yes",BC147,AP147)</f>
        <v>0</v>
      </c>
      <c r="BQ147" s="60" t="n">
        <f aca="false">D147-AP147</f>
        <v>353</v>
      </c>
      <c r="BR147" s="60" t="n">
        <f aca="false">BQ147^2</f>
        <v>124609</v>
      </c>
      <c r="BS147" s="60" t="n">
        <f aca="false">(BQ147-BQ146)^2</f>
        <v>81</v>
      </c>
      <c r="BT147" s="60" t="str">
        <f aca="false">IF(D147&gt;2000,ABS(BQ147)/D147,"")</f>
        <v/>
      </c>
      <c r="BU147" s="60" t="n">
        <v>151</v>
      </c>
      <c r="BV147" s="62" t="n">
        <v>0.5438</v>
      </c>
      <c r="BW147" s="60" t="n">
        <v>340.9</v>
      </c>
      <c r="BX147" s="60" t="n">
        <f aca="false">AA147</f>
        <v>0</v>
      </c>
      <c r="BY147" s="60" t="n">
        <f aca="false">H147</f>
        <v>0.4</v>
      </c>
      <c r="BZ147" s="60" t="n">
        <f aca="false">Z147</f>
        <v>0</v>
      </c>
      <c r="CA147" s="60" t="n">
        <f aca="false">AB147+AC147+AD147</f>
        <v>0</v>
      </c>
      <c r="CB147" s="60" t="n">
        <f aca="false">AE147+AF147+AG147+AH147+AI147</f>
        <v>0</v>
      </c>
    </row>
    <row r="148" customFormat="false" ht="15" hidden="false" customHeight="false" outlineLevel="0" collapsed="false">
      <c r="A148" s="58" t="n">
        <v>45928</v>
      </c>
      <c r="B148" s="59" t="n">
        <f aca="false">YEAR(A148)</f>
        <v>2025</v>
      </c>
      <c r="C148" s="59" t="n">
        <f aca="false">MONTH(A148)</f>
        <v>9</v>
      </c>
      <c r="D148" s="60" t="n">
        <v>348</v>
      </c>
      <c r="E148" s="61" t="n">
        <v>0.6626</v>
      </c>
      <c r="F148" s="61" t="n">
        <v>1.0282</v>
      </c>
      <c r="G148" s="61" t="n">
        <v>0</v>
      </c>
      <c r="H148" s="60" t="n">
        <v>0.4</v>
      </c>
      <c r="I148" s="60" t="n">
        <f aca="false">H148+'Level 4'!$C$12/100*I147</f>
        <v>0.4</v>
      </c>
      <c r="J148" s="60" t="n">
        <v>86.89</v>
      </c>
      <c r="K148" s="60" t="n">
        <v>80.83</v>
      </c>
      <c r="L148" s="60" t="n">
        <v>4</v>
      </c>
      <c r="M148" s="60" t="n">
        <f aca="false">L148+Answers!$C$14/100*M147</f>
        <v>14.5090028212548</v>
      </c>
      <c r="N148" s="60" t="n">
        <v>0</v>
      </c>
      <c r="O148" s="60" t="n">
        <v>0</v>
      </c>
      <c r="P148" s="60" t="n">
        <v>0</v>
      </c>
      <c r="Q148" s="60" t="n">
        <v>0</v>
      </c>
      <c r="R148" s="60" t="n">
        <v>0.05</v>
      </c>
      <c r="S148" s="60" t="n">
        <f aca="false">N148+Answers!$C$16/100*S147</f>
        <v>2.4281207719748</v>
      </c>
      <c r="T148" s="60" t="n">
        <f aca="false">O148+Answers!$C$17/100*T147</f>
        <v>5.79082916202054</v>
      </c>
      <c r="U148" s="60" t="n">
        <f aca="false">P148+Answers!$C$18/100*U147</f>
        <v>5.05257854470239</v>
      </c>
      <c r="V148" s="60" t="n">
        <f aca="false">Q148+Answers!$C$19/100*V147</f>
        <v>5.63987615607944</v>
      </c>
      <c r="W148" s="60" t="n">
        <f aca="false">R148+Answers!$C$20/100*W147</f>
        <v>40.9633370866965</v>
      </c>
      <c r="X148" s="60" t="n">
        <f aca="false">IF('Level 1'!$C$11="",0,'Level 1'!$C$11)*E148</f>
        <v>0</v>
      </c>
      <c r="Y148" s="60" t="n">
        <f aca="false">-IF('Level 2'!$C$11="",0,'Level 2'!$C$11)*F148</f>
        <v>-0</v>
      </c>
      <c r="Z148" s="60" t="n">
        <f aca="false">IF('Level 3'!$C$11="",0,'Level 3'!$C$11)*G148</f>
        <v>0</v>
      </c>
      <c r="AA148" s="60" t="n">
        <f aca="false">IF('Level 4'!$C$11="",0,'Level 4'!$C$11)*(1-'Level 4'!$C$12/100)*I148</f>
        <v>0</v>
      </c>
      <c r="AB148" s="60" t="n">
        <f aca="false">IF('Level 5'!$C$11="",0,'Level 5'!$C$11)*J148</f>
        <v>0</v>
      </c>
      <c r="AC148" s="60" t="n">
        <f aca="false">IF('Level 5'!$C$12="",0,'Level 5'!$C$12)*K148</f>
        <v>0</v>
      </c>
      <c r="AD148" s="60" t="n">
        <f aca="false">IF('Level 5'!$C$13="",0,'Level 5'!$C$13)*(1-Answers!$C$14/100)*M148</f>
        <v>0</v>
      </c>
      <c r="AE148" s="60" t="n">
        <f aca="false">IF('Level 6'!$C$11="",0,'Level 6'!$C$11)*(1-Answers!$C$16/100)*S148</f>
        <v>0</v>
      </c>
      <c r="AF148" s="60" t="n">
        <f aca="false">IF('Level 6'!$C$12="",0,'Level 6'!$C$12)*(1-Answers!$C$17/100)*T148</f>
        <v>0</v>
      </c>
      <c r="AG148" s="60" t="n">
        <f aca="false">IF('Level 6'!$C$13="",0,'Level 6'!$C$13)*(1-Answers!$C$18/100)*U148</f>
        <v>0</v>
      </c>
      <c r="AH148" s="60" t="n">
        <f aca="false">IF('Level 6'!$C$14="",0,'Level 6'!$C$14)*(1-Answers!$C$19/100)*V148</f>
        <v>0</v>
      </c>
      <c r="AI148" s="60" t="n">
        <f aca="false">IF('Level 6'!$C$15="",0,'Level 6'!$C$15)*(1-Answers!$C$20/100)*W148</f>
        <v>0</v>
      </c>
      <c r="AJ148" s="60" t="n">
        <f aca="false">X148</f>
        <v>0</v>
      </c>
      <c r="AK148" s="60" t="n">
        <f aca="false">X148+Y148</f>
        <v>0</v>
      </c>
      <c r="AL148" s="60" t="n">
        <f aca="false">AK148+Z148</f>
        <v>0</v>
      </c>
      <c r="AM148" s="60" t="n">
        <f aca="false">AL148+AA148</f>
        <v>0</v>
      </c>
      <c r="AN148" s="60" t="n">
        <f aca="false">AM148+AB148+AC148+AD148</f>
        <v>0</v>
      </c>
      <c r="AO148" s="60" t="n">
        <f aca="false">AL148+AE148+AF148+AG148+AH148+AI148+AB148+AC148+AD148</f>
        <v>0</v>
      </c>
      <c r="AP148" s="60" t="n">
        <f aca="false">IF(Answers!$C$22="Yes",AO148,AN148)</f>
        <v>0</v>
      </c>
      <c r="AQ148" s="60" t="n">
        <v>580.2</v>
      </c>
      <c r="AR148" s="60" t="n">
        <v>-979.3</v>
      </c>
      <c r="AS148" s="60" t="n">
        <v>0</v>
      </c>
      <c r="AT148" s="60" t="n">
        <v>536.7</v>
      </c>
      <c r="AU148" s="60" t="n">
        <v>245.7</v>
      </c>
      <c r="AV148" s="60" t="n">
        <v>216.9</v>
      </c>
      <c r="AW148" s="60" t="n">
        <v>0</v>
      </c>
      <c r="AX148" s="60" t="n">
        <v>29.6</v>
      </c>
      <c r="AY148" s="60" t="n">
        <v>50.4</v>
      </c>
      <c r="AZ148" s="60" t="n">
        <v>44.3</v>
      </c>
      <c r="BA148" s="60" t="n">
        <v>14.9</v>
      </c>
      <c r="BB148" s="60" t="n">
        <v>397.6</v>
      </c>
      <c r="BC148" s="60" t="n">
        <f aca="false">AQ148+AR148+AS148+AT148+AU148+AV148+AW148</f>
        <v>600.2</v>
      </c>
      <c r="BD148" s="60" t="n">
        <f aca="false">AQ148</f>
        <v>580.2</v>
      </c>
      <c r="BE148" s="60" t="n">
        <f aca="false">AQ148+AR148</f>
        <v>-399.1</v>
      </c>
      <c r="BF148" s="60" t="n">
        <f aca="false">BE148+AS148</f>
        <v>-399.1</v>
      </c>
      <c r="BG148" s="60" t="n">
        <f aca="false">BF148+AT148</f>
        <v>137.6</v>
      </c>
      <c r="BH148" s="60" t="n">
        <f aca="false">BG148+AU148+AV148+AW148</f>
        <v>600.2</v>
      </c>
      <c r="BI148" s="60" t="n">
        <f aca="false">BC148</f>
        <v>600.2</v>
      </c>
      <c r="BJ148" s="60" t="n">
        <f aca="false">IF('Level 1'!$C$31="Yes",BD148,AJ148)</f>
        <v>0</v>
      </c>
      <c r="BK148" s="60" t="n">
        <f aca="false">IF('Level 2'!$C$31="Yes",BE148,AK148)</f>
        <v>0</v>
      </c>
      <c r="BL148" s="60" t="n">
        <f aca="false">IF('Level 3'!$C$31="Yes",BF148,AL148)</f>
        <v>0</v>
      </c>
      <c r="BM148" s="60" t="n">
        <f aca="false">IF('Level 4'!$C$31="Yes",BG148,AM148)</f>
        <v>0</v>
      </c>
      <c r="BN148" s="60" t="n">
        <f aca="false">IF('Level 5'!$C$31="Yes",BH148,AN148)</f>
        <v>0</v>
      </c>
      <c r="BO148" s="60" t="n">
        <f aca="false">IF('Level 6'!$C$31="Yes",BI148,AO148)</f>
        <v>0</v>
      </c>
      <c r="BP148" s="60" t="n">
        <f aca="false">IF('Level 7'!$C$31="Yes",BC148,AP148)</f>
        <v>0</v>
      </c>
      <c r="BQ148" s="60" t="n">
        <f aca="false">D148-AP148</f>
        <v>348</v>
      </c>
      <c r="BR148" s="60" t="n">
        <f aca="false">BQ148^2</f>
        <v>121104</v>
      </c>
      <c r="BS148" s="60" t="n">
        <f aca="false">(BQ148-BQ147)^2</f>
        <v>25</v>
      </c>
      <c r="BT148" s="60" t="str">
        <f aca="false">IF(D148&gt;2000,ABS(BQ148)/D148,"")</f>
        <v/>
      </c>
      <c r="BU148" s="60" t="n">
        <v>158</v>
      </c>
      <c r="BV148" s="62" t="n">
        <v>0.5564</v>
      </c>
      <c r="BW148" s="60" t="n">
        <v>337.5</v>
      </c>
      <c r="BX148" s="60" t="n">
        <f aca="false">AA148</f>
        <v>0</v>
      </c>
      <c r="BY148" s="60" t="n">
        <f aca="false">H148</f>
        <v>0.4</v>
      </c>
      <c r="BZ148" s="60" t="n">
        <f aca="false">Z148</f>
        <v>0</v>
      </c>
      <c r="CA148" s="60" t="n">
        <f aca="false">AB148+AC148+AD148</f>
        <v>0</v>
      </c>
      <c r="CB148" s="60" t="n">
        <f aca="false">AE148+AF148+AG148+AH148+AI148</f>
        <v>0</v>
      </c>
    </row>
    <row r="149" customFormat="false" ht="15" hidden="false" customHeight="false" outlineLevel="0" collapsed="false">
      <c r="A149" s="58" t="n">
        <v>45935</v>
      </c>
      <c r="B149" s="59" t="n">
        <f aca="false">YEAR(A149)</f>
        <v>2025</v>
      </c>
      <c r="C149" s="59" t="n">
        <f aca="false">MONTH(A149)</f>
        <v>10</v>
      </c>
      <c r="D149" s="60" t="n">
        <v>515</v>
      </c>
      <c r="E149" s="61" t="n">
        <v>0.668</v>
      </c>
      <c r="F149" s="61" t="n">
        <v>1.0282</v>
      </c>
      <c r="G149" s="61" t="n">
        <v>0</v>
      </c>
      <c r="H149" s="60" t="n">
        <v>0.53</v>
      </c>
      <c r="I149" s="60" t="n">
        <f aca="false">H149+'Level 4'!$C$12/100*I148</f>
        <v>0.53</v>
      </c>
      <c r="J149" s="60" t="n">
        <v>92.46</v>
      </c>
      <c r="K149" s="60" t="n">
        <v>214.82</v>
      </c>
      <c r="L149" s="60" t="n">
        <v>3.82</v>
      </c>
      <c r="M149" s="60" t="n">
        <f aca="false">L149+Answers!$C$14/100*M148</f>
        <v>12.5254016927529</v>
      </c>
      <c r="N149" s="60" t="n">
        <v>0</v>
      </c>
      <c r="O149" s="60" t="n">
        <v>0</v>
      </c>
      <c r="P149" s="60" t="n">
        <v>0</v>
      </c>
      <c r="Q149" s="60" t="n">
        <v>0</v>
      </c>
      <c r="R149" s="60" t="n">
        <v>0.01</v>
      </c>
      <c r="S149" s="60" t="n">
        <f aca="false">N149+Answers!$C$16/100*S148</f>
        <v>1.94249661757984</v>
      </c>
      <c r="T149" s="60" t="n">
        <f aca="false">O149+Answers!$C$17/100*T148</f>
        <v>4.63266332961643</v>
      </c>
      <c r="U149" s="60" t="n">
        <f aca="false">P149+Answers!$C$18/100*U148</f>
        <v>4.04206283576191</v>
      </c>
      <c r="V149" s="60" t="n">
        <f aca="false">Q149+Answers!$C$19/100*V148</f>
        <v>4.51190092486355</v>
      </c>
      <c r="W149" s="60" t="n">
        <f aca="false">R149+Answers!$C$20/100*W148</f>
        <v>32.7806696693572</v>
      </c>
      <c r="X149" s="60" t="n">
        <f aca="false">IF('Level 1'!$C$11="",0,'Level 1'!$C$11)*E149</f>
        <v>0</v>
      </c>
      <c r="Y149" s="60" t="n">
        <f aca="false">-IF('Level 2'!$C$11="",0,'Level 2'!$C$11)*F149</f>
        <v>-0</v>
      </c>
      <c r="Z149" s="60" t="n">
        <f aca="false">IF('Level 3'!$C$11="",0,'Level 3'!$C$11)*G149</f>
        <v>0</v>
      </c>
      <c r="AA149" s="60" t="n">
        <f aca="false">IF('Level 4'!$C$11="",0,'Level 4'!$C$11)*(1-'Level 4'!$C$12/100)*I149</f>
        <v>0</v>
      </c>
      <c r="AB149" s="60" t="n">
        <f aca="false">IF('Level 5'!$C$11="",0,'Level 5'!$C$11)*J149</f>
        <v>0</v>
      </c>
      <c r="AC149" s="60" t="n">
        <f aca="false">IF('Level 5'!$C$12="",0,'Level 5'!$C$12)*K149</f>
        <v>0</v>
      </c>
      <c r="AD149" s="60" t="n">
        <f aca="false">IF('Level 5'!$C$13="",0,'Level 5'!$C$13)*(1-Answers!$C$14/100)*M149</f>
        <v>0</v>
      </c>
      <c r="AE149" s="60" t="n">
        <f aca="false">IF('Level 6'!$C$11="",0,'Level 6'!$C$11)*(1-Answers!$C$16/100)*S149</f>
        <v>0</v>
      </c>
      <c r="AF149" s="60" t="n">
        <f aca="false">IF('Level 6'!$C$12="",0,'Level 6'!$C$12)*(1-Answers!$C$17/100)*T149</f>
        <v>0</v>
      </c>
      <c r="AG149" s="60" t="n">
        <f aca="false">IF('Level 6'!$C$13="",0,'Level 6'!$C$13)*(1-Answers!$C$18/100)*U149</f>
        <v>0</v>
      </c>
      <c r="AH149" s="60" t="n">
        <f aca="false">IF('Level 6'!$C$14="",0,'Level 6'!$C$14)*(1-Answers!$C$19/100)*V149</f>
        <v>0</v>
      </c>
      <c r="AI149" s="60" t="n">
        <f aca="false">IF('Level 6'!$C$15="",0,'Level 6'!$C$15)*(1-Answers!$C$20/100)*W149</f>
        <v>0</v>
      </c>
      <c r="AJ149" s="60" t="n">
        <f aca="false">X149</f>
        <v>0</v>
      </c>
      <c r="AK149" s="60" t="n">
        <f aca="false">X149+Y149</f>
        <v>0</v>
      </c>
      <c r="AL149" s="60" t="n">
        <f aca="false">AK149+Z149</f>
        <v>0</v>
      </c>
      <c r="AM149" s="60" t="n">
        <f aca="false">AL149+AA149</f>
        <v>0</v>
      </c>
      <c r="AN149" s="60" t="n">
        <f aca="false">AM149+AB149+AC149+AD149</f>
        <v>0</v>
      </c>
      <c r="AO149" s="60" t="n">
        <f aca="false">AL149+AE149+AF149+AG149+AH149+AI149+AB149+AC149+AD149</f>
        <v>0</v>
      </c>
      <c r="AP149" s="60" t="n">
        <f aca="false">IF(Answers!$C$22="Yes",AO149,AN149)</f>
        <v>0</v>
      </c>
      <c r="AQ149" s="60" t="n">
        <v>584.9</v>
      </c>
      <c r="AR149" s="60" t="n">
        <v>-979.3</v>
      </c>
      <c r="AS149" s="60" t="n">
        <v>0</v>
      </c>
      <c r="AT149" s="60" t="n">
        <v>472.5</v>
      </c>
      <c r="AU149" s="60" t="n">
        <v>275.5</v>
      </c>
      <c r="AV149" s="60" t="n">
        <v>576.6</v>
      </c>
      <c r="AW149" s="60" t="n">
        <v>0</v>
      </c>
      <c r="AX149" s="60" t="n">
        <v>25.1</v>
      </c>
      <c r="AY149" s="60" t="n">
        <v>42.8</v>
      </c>
      <c r="AZ149" s="60" t="n">
        <v>37.7</v>
      </c>
      <c r="BA149" s="60" t="n">
        <v>12.6</v>
      </c>
      <c r="BB149" s="60" t="n">
        <v>354.2</v>
      </c>
      <c r="BC149" s="60" t="n">
        <f aca="false">AQ149+AR149+AS149+AT149+AU149+AV149+AW149</f>
        <v>930.2</v>
      </c>
      <c r="BD149" s="60" t="n">
        <f aca="false">AQ149</f>
        <v>584.9</v>
      </c>
      <c r="BE149" s="60" t="n">
        <f aca="false">AQ149+AR149</f>
        <v>-394.4</v>
      </c>
      <c r="BF149" s="60" t="n">
        <f aca="false">BE149+AS149</f>
        <v>-394.4</v>
      </c>
      <c r="BG149" s="60" t="n">
        <f aca="false">BF149+AT149</f>
        <v>78.1</v>
      </c>
      <c r="BH149" s="60" t="n">
        <f aca="false">BG149+AU149+AV149+AW149</f>
        <v>930.2</v>
      </c>
      <c r="BI149" s="60" t="n">
        <f aca="false">BC149</f>
        <v>930.2</v>
      </c>
      <c r="BJ149" s="60" t="n">
        <f aca="false">IF('Level 1'!$C$31="Yes",BD149,AJ149)</f>
        <v>0</v>
      </c>
      <c r="BK149" s="60" t="n">
        <f aca="false">IF('Level 2'!$C$31="Yes",BE149,AK149)</f>
        <v>0</v>
      </c>
      <c r="BL149" s="60" t="n">
        <f aca="false">IF('Level 3'!$C$31="Yes",BF149,AL149)</f>
        <v>0</v>
      </c>
      <c r="BM149" s="60" t="n">
        <f aca="false">IF('Level 4'!$C$31="Yes",BG149,AM149)</f>
        <v>0</v>
      </c>
      <c r="BN149" s="60" t="n">
        <f aca="false">IF('Level 5'!$C$31="Yes",BH149,AN149)</f>
        <v>0</v>
      </c>
      <c r="BO149" s="60" t="n">
        <f aca="false">IF('Level 6'!$C$31="Yes",BI149,AO149)</f>
        <v>0</v>
      </c>
      <c r="BP149" s="60" t="n">
        <f aca="false">IF('Level 7'!$C$31="Yes",BC149,AP149)</f>
        <v>0</v>
      </c>
      <c r="BQ149" s="60" t="n">
        <f aca="false">D149-AP149</f>
        <v>515</v>
      </c>
      <c r="BR149" s="60" t="n">
        <f aca="false">BQ149^2</f>
        <v>265225</v>
      </c>
      <c r="BS149" s="60" t="n">
        <f aca="false">(BQ149-BQ148)^2</f>
        <v>27889</v>
      </c>
      <c r="BT149" s="60" t="str">
        <f aca="false">IF(D149&gt;2000,ABS(BQ149)/D149,"")</f>
        <v/>
      </c>
      <c r="BU149" s="60" t="n">
        <v>159</v>
      </c>
      <c r="BV149" s="62" t="n">
        <v>0.5615</v>
      </c>
      <c r="BW149" s="60" t="n">
        <v>440.9</v>
      </c>
      <c r="BX149" s="60" t="n">
        <f aca="false">AA149</f>
        <v>0</v>
      </c>
      <c r="BY149" s="60" t="n">
        <f aca="false">H149</f>
        <v>0.53</v>
      </c>
      <c r="BZ149" s="60" t="n">
        <f aca="false">Z149</f>
        <v>0</v>
      </c>
      <c r="CA149" s="60" t="n">
        <f aca="false">AB149+AC149+AD149</f>
        <v>0</v>
      </c>
      <c r="CB149" s="60" t="n">
        <f aca="false">AE149+AF149+AG149+AH149+AI149</f>
        <v>0</v>
      </c>
    </row>
    <row r="150" customFormat="false" ht="15" hidden="false" customHeight="false" outlineLevel="0" collapsed="false">
      <c r="A150" s="58" t="n">
        <v>45942</v>
      </c>
      <c r="B150" s="59" t="n">
        <f aca="false">YEAR(A150)</f>
        <v>2025</v>
      </c>
      <c r="C150" s="59" t="n">
        <f aca="false">MONTH(A150)</f>
        <v>10</v>
      </c>
      <c r="D150" s="60" t="n">
        <v>506</v>
      </c>
      <c r="E150" s="61" t="n">
        <v>0.6733</v>
      </c>
      <c r="F150" s="61" t="n">
        <v>1.0282</v>
      </c>
      <c r="G150" s="61" t="n">
        <v>0</v>
      </c>
      <c r="H150" s="60" t="n">
        <v>0.51</v>
      </c>
      <c r="I150" s="60" t="n">
        <f aca="false">H150+'Level 4'!$C$12/100*I149</f>
        <v>0.51</v>
      </c>
      <c r="J150" s="60" t="n">
        <v>113.1</v>
      </c>
      <c r="K150" s="60" t="n">
        <v>100.64</v>
      </c>
      <c r="L150" s="60" t="n">
        <v>4.33</v>
      </c>
      <c r="M150" s="60" t="n">
        <f aca="false">L150+Answers!$C$14/100*M149</f>
        <v>11.8452410156517</v>
      </c>
      <c r="N150" s="60" t="n">
        <v>0</v>
      </c>
      <c r="O150" s="60" t="n">
        <v>0</v>
      </c>
      <c r="P150" s="60" t="n">
        <v>0</v>
      </c>
      <c r="Q150" s="60" t="n">
        <v>0</v>
      </c>
      <c r="R150" s="60" t="n">
        <v>0</v>
      </c>
      <c r="S150" s="60" t="n">
        <f aca="false">N150+Answers!$C$16/100*S149</f>
        <v>1.55399729406387</v>
      </c>
      <c r="T150" s="60" t="n">
        <f aca="false">O150+Answers!$C$17/100*T149</f>
        <v>3.70613066369315</v>
      </c>
      <c r="U150" s="60" t="n">
        <f aca="false">P150+Answers!$C$18/100*U149</f>
        <v>3.23365026860953</v>
      </c>
      <c r="V150" s="60" t="n">
        <f aca="false">Q150+Answers!$C$19/100*V149</f>
        <v>3.60952073989084</v>
      </c>
      <c r="W150" s="60" t="n">
        <f aca="false">R150+Answers!$C$20/100*W149</f>
        <v>26.2245357354858</v>
      </c>
      <c r="X150" s="60" t="n">
        <f aca="false">IF('Level 1'!$C$11="",0,'Level 1'!$C$11)*E150</f>
        <v>0</v>
      </c>
      <c r="Y150" s="60" t="n">
        <f aca="false">-IF('Level 2'!$C$11="",0,'Level 2'!$C$11)*F150</f>
        <v>-0</v>
      </c>
      <c r="Z150" s="60" t="n">
        <f aca="false">IF('Level 3'!$C$11="",0,'Level 3'!$C$11)*G150</f>
        <v>0</v>
      </c>
      <c r="AA150" s="60" t="n">
        <f aca="false">IF('Level 4'!$C$11="",0,'Level 4'!$C$11)*(1-'Level 4'!$C$12/100)*I150</f>
        <v>0</v>
      </c>
      <c r="AB150" s="60" t="n">
        <f aca="false">IF('Level 5'!$C$11="",0,'Level 5'!$C$11)*J150</f>
        <v>0</v>
      </c>
      <c r="AC150" s="60" t="n">
        <f aca="false">IF('Level 5'!$C$12="",0,'Level 5'!$C$12)*K150</f>
        <v>0</v>
      </c>
      <c r="AD150" s="60" t="n">
        <f aca="false">IF('Level 5'!$C$13="",0,'Level 5'!$C$13)*(1-Answers!$C$14/100)*M150</f>
        <v>0</v>
      </c>
      <c r="AE150" s="60" t="n">
        <f aca="false">IF('Level 6'!$C$11="",0,'Level 6'!$C$11)*(1-Answers!$C$16/100)*S150</f>
        <v>0</v>
      </c>
      <c r="AF150" s="60" t="n">
        <f aca="false">IF('Level 6'!$C$12="",0,'Level 6'!$C$12)*(1-Answers!$C$17/100)*T150</f>
        <v>0</v>
      </c>
      <c r="AG150" s="60" t="n">
        <f aca="false">IF('Level 6'!$C$13="",0,'Level 6'!$C$13)*(1-Answers!$C$18/100)*U150</f>
        <v>0</v>
      </c>
      <c r="AH150" s="60" t="n">
        <f aca="false">IF('Level 6'!$C$14="",0,'Level 6'!$C$14)*(1-Answers!$C$19/100)*V150</f>
        <v>0</v>
      </c>
      <c r="AI150" s="60" t="n">
        <f aca="false">IF('Level 6'!$C$15="",0,'Level 6'!$C$15)*(1-Answers!$C$20/100)*W150</f>
        <v>0</v>
      </c>
      <c r="AJ150" s="60" t="n">
        <f aca="false">X150</f>
        <v>0</v>
      </c>
      <c r="AK150" s="60" t="n">
        <f aca="false">X150+Y150</f>
        <v>0</v>
      </c>
      <c r="AL150" s="60" t="n">
        <f aca="false">AK150+Z150</f>
        <v>0</v>
      </c>
      <c r="AM150" s="60" t="n">
        <f aca="false">AL150+AA150</f>
        <v>0</v>
      </c>
      <c r="AN150" s="60" t="n">
        <f aca="false">AM150+AB150+AC150+AD150</f>
        <v>0</v>
      </c>
      <c r="AO150" s="60" t="n">
        <f aca="false">AL150+AE150+AF150+AG150+AH150+AI150+AB150+AC150+AD150</f>
        <v>0</v>
      </c>
      <c r="AP150" s="60" t="n">
        <f aca="false">IF(Answers!$C$22="Yes",AO150,AN150)</f>
        <v>0</v>
      </c>
      <c r="AQ150" s="60" t="n">
        <v>589.6</v>
      </c>
      <c r="AR150" s="60" t="n">
        <v>-979.3</v>
      </c>
      <c r="AS150" s="60" t="n">
        <v>0</v>
      </c>
      <c r="AT150" s="60" t="n">
        <v>418.1</v>
      </c>
      <c r="AU150" s="60" t="n">
        <v>222.7</v>
      </c>
      <c r="AV150" s="60" t="n">
        <v>270.1</v>
      </c>
      <c r="AW150" s="60" t="n">
        <v>0</v>
      </c>
      <c r="AX150" s="60" t="n">
        <v>21.4</v>
      </c>
      <c r="AY150" s="60" t="n">
        <v>36.4</v>
      </c>
      <c r="AZ150" s="60" t="n">
        <v>32</v>
      </c>
      <c r="BA150" s="60" t="n">
        <v>10.7</v>
      </c>
      <c r="BB150" s="60" t="n">
        <v>317.5</v>
      </c>
      <c r="BC150" s="60" t="n">
        <f aca="false">AQ150+AR150+AS150+AT150+AU150+AV150+AW150</f>
        <v>521.2</v>
      </c>
      <c r="BD150" s="60" t="n">
        <f aca="false">AQ150</f>
        <v>589.6</v>
      </c>
      <c r="BE150" s="60" t="n">
        <f aca="false">AQ150+AR150</f>
        <v>-389.7</v>
      </c>
      <c r="BF150" s="60" t="n">
        <f aca="false">BE150+AS150</f>
        <v>-389.7</v>
      </c>
      <c r="BG150" s="60" t="n">
        <f aca="false">BF150+AT150</f>
        <v>28.4000000000001</v>
      </c>
      <c r="BH150" s="60" t="n">
        <f aca="false">BG150+AU150+AV150+AW150</f>
        <v>521.2</v>
      </c>
      <c r="BI150" s="60" t="n">
        <f aca="false">BC150</f>
        <v>521.2</v>
      </c>
      <c r="BJ150" s="60" t="n">
        <f aca="false">IF('Level 1'!$C$31="Yes",BD150,AJ150)</f>
        <v>0</v>
      </c>
      <c r="BK150" s="60" t="n">
        <f aca="false">IF('Level 2'!$C$31="Yes",BE150,AK150)</f>
        <v>0</v>
      </c>
      <c r="BL150" s="60" t="n">
        <f aca="false">IF('Level 3'!$C$31="Yes",BF150,AL150)</f>
        <v>0</v>
      </c>
      <c r="BM150" s="60" t="n">
        <f aca="false">IF('Level 4'!$C$31="Yes",BG150,AM150)</f>
        <v>0</v>
      </c>
      <c r="BN150" s="60" t="n">
        <f aca="false">IF('Level 5'!$C$31="Yes",BH150,AN150)</f>
        <v>0</v>
      </c>
      <c r="BO150" s="60" t="n">
        <f aca="false">IF('Level 6'!$C$31="Yes",BI150,AO150)</f>
        <v>0</v>
      </c>
      <c r="BP150" s="60" t="n">
        <f aca="false">IF('Level 7'!$C$31="Yes",BC150,AP150)</f>
        <v>0</v>
      </c>
      <c r="BQ150" s="60" t="n">
        <f aca="false">D150-AP150</f>
        <v>506</v>
      </c>
      <c r="BR150" s="60" t="n">
        <f aca="false">BQ150^2</f>
        <v>256036</v>
      </c>
      <c r="BS150" s="60" t="n">
        <f aca="false">(BQ150-BQ149)^2</f>
        <v>81</v>
      </c>
      <c r="BT150" s="60" t="str">
        <f aca="false">IF(D150&gt;2000,ABS(BQ150)/D150,"")</f>
        <v/>
      </c>
      <c r="BU150" s="60" t="n">
        <v>162</v>
      </c>
      <c r="BV150" s="62" t="n">
        <v>0.5615</v>
      </c>
      <c r="BW150" s="60" t="n">
        <v>371.9</v>
      </c>
      <c r="BX150" s="60" t="n">
        <f aca="false">AA150</f>
        <v>0</v>
      </c>
      <c r="BY150" s="60" t="n">
        <f aca="false">H150</f>
        <v>0.51</v>
      </c>
      <c r="BZ150" s="60" t="n">
        <f aca="false">Z150</f>
        <v>0</v>
      </c>
      <c r="CA150" s="60" t="n">
        <f aca="false">AB150+AC150+AD150</f>
        <v>0</v>
      </c>
      <c r="CB150" s="60" t="n">
        <f aca="false">AE150+AF150+AG150+AH150+AI150</f>
        <v>0</v>
      </c>
    </row>
    <row r="151" customFormat="false" ht="15" hidden="false" customHeight="false" outlineLevel="0" collapsed="false">
      <c r="A151" s="58" t="n">
        <v>45949</v>
      </c>
      <c r="B151" s="59" t="n">
        <f aca="false">YEAR(A151)</f>
        <v>2025</v>
      </c>
      <c r="C151" s="59" t="n">
        <f aca="false">MONTH(A151)</f>
        <v>10</v>
      </c>
      <c r="D151" s="60" t="n">
        <v>488</v>
      </c>
      <c r="E151" s="61" t="n">
        <v>0.6748</v>
      </c>
      <c r="F151" s="61" t="n">
        <v>1.0282</v>
      </c>
      <c r="G151" s="61" t="n">
        <v>0</v>
      </c>
      <c r="H151" s="60" t="n">
        <v>0.49</v>
      </c>
      <c r="I151" s="60" t="n">
        <f aca="false">H151+'Level 4'!$C$12/100*I150</f>
        <v>0.49</v>
      </c>
      <c r="J151" s="60" t="n">
        <v>93.92</v>
      </c>
      <c r="K151" s="60" t="n">
        <v>201.2</v>
      </c>
      <c r="L151" s="60" t="n">
        <v>734.15</v>
      </c>
      <c r="M151" s="60" t="n">
        <f aca="false">L151+Answers!$C$14/100*M150</f>
        <v>741.257144609391</v>
      </c>
      <c r="N151" s="60" t="n">
        <v>0</v>
      </c>
      <c r="O151" s="60" t="n">
        <v>0</v>
      </c>
      <c r="P151" s="60" t="n">
        <v>0</v>
      </c>
      <c r="Q151" s="60" t="n">
        <v>0</v>
      </c>
      <c r="R151" s="60" t="n">
        <v>0</v>
      </c>
      <c r="S151" s="60" t="n">
        <f aca="false">N151+Answers!$C$16/100*S150</f>
        <v>1.2431978352511</v>
      </c>
      <c r="T151" s="60" t="n">
        <f aca="false">O151+Answers!$C$17/100*T150</f>
        <v>2.96490453095452</v>
      </c>
      <c r="U151" s="60" t="n">
        <f aca="false">P151+Answers!$C$18/100*U150</f>
        <v>2.58692021488762</v>
      </c>
      <c r="V151" s="60" t="n">
        <f aca="false">Q151+Answers!$C$19/100*V150</f>
        <v>2.88761659191267</v>
      </c>
      <c r="W151" s="60" t="n">
        <f aca="false">R151+Answers!$C$20/100*W150</f>
        <v>20.9796285883886</v>
      </c>
      <c r="X151" s="60" t="n">
        <f aca="false">IF('Level 1'!$C$11="",0,'Level 1'!$C$11)*E151</f>
        <v>0</v>
      </c>
      <c r="Y151" s="60" t="n">
        <f aca="false">-IF('Level 2'!$C$11="",0,'Level 2'!$C$11)*F151</f>
        <v>-0</v>
      </c>
      <c r="Z151" s="60" t="n">
        <f aca="false">IF('Level 3'!$C$11="",0,'Level 3'!$C$11)*G151</f>
        <v>0</v>
      </c>
      <c r="AA151" s="60" t="n">
        <f aca="false">IF('Level 4'!$C$11="",0,'Level 4'!$C$11)*(1-'Level 4'!$C$12/100)*I151</f>
        <v>0</v>
      </c>
      <c r="AB151" s="60" t="n">
        <f aca="false">IF('Level 5'!$C$11="",0,'Level 5'!$C$11)*J151</f>
        <v>0</v>
      </c>
      <c r="AC151" s="60" t="n">
        <f aca="false">IF('Level 5'!$C$12="",0,'Level 5'!$C$12)*K151</f>
        <v>0</v>
      </c>
      <c r="AD151" s="60" t="n">
        <f aca="false">IF('Level 5'!$C$13="",0,'Level 5'!$C$13)*(1-Answers!$C$14/100)*M151</f>
        <v>0</v>
      </c>
      <c r="AE151" s="60" t="n">
        <f aca="false">IF('Level 6'!$C$11="",0,'Level 6'!$C$11)*(1-Answers!$C$16/100)*S151</f>
        <v>0</v>
      </c>
      <c r="AF151" s="60" t="n">
        <f aca="false">IF('Level 6'!$C$12="",0,'Level 6'!$C$12)*(1-Answers!$C$17/100)*T151</f>
        <v>0</v>
      </c>
      <c r="AG151" s="60" t="n">
        <f aca="false">IF('Level 6'!$C$13="",0,'Level 6'!$C$13)*(1-Answers!$C$18/100)*U151</f>
        <v>0</v>
      </c>
      <c r="AH151" s="60" t="n">
        <f aca="false">IF('Level 6'!$C$14="",0,'Level 6'!$C$14)*(1-Answers!$C$19/100)*V151</f>
        <v>0</v>
      </c>
      <c r="AI151" s="60" t="n">
        <f aca="false">IF('Level 6'!$C$15="",0,'Level 6'!$C$15)*(1-Answers!$C$20/100)*W151</f>
        <v>0</v>
      </c>
      <c r="AJ151" s="60" t="n">
        <f aca="false">X151</f>
        <v>0</v>
      </c>
      <c r="AK151" s="60" t="n">
        <f aca="false">X151+Y151</f>
        <v>0</v>
      </c>
      <c r="AL151" s="60" t="n">
        <f aca="false">AK151+Z151</f>
        <v>0</v>
      </c>
      <c r="AM151" s="60" t="n">
        <f aca="false">AL151+AA151</f>
        <v>0</v>
      </c>
      <c r="AN151" s="60" t="n">
        <f aca="false">AM151+AB151+AC151+AD151</f>
        <v>0</v>
      </c>
      <c r="AO151" s="60" t="n">
        <f aca="false">AL151+AE151+AF151+AG151+AH151+AI151+AB151+AC151+AD151</f>
        <v>0</v>
      </c>
      <c r="AP151" s="60" t="n">
        <f aca="false">IF(Answers!$C$22="Yes",AO151,AN151)</f>
        <v>0</v>
      </c>
      <c r="AQ151" s="60" t="n">
        <v>590.9</v>
      </c>
      <c r="AR151" s="60" t="n">
        <v>-979.3</v>
      </c>
      <c r="AS151" s="60" t="n">
        <v>0</v>
      </c>
      <c r="AT151" s="60" t="n">
        <v>374.4</v>
      </c>
      <c r="AU151" s="60" t="n">
        <v>284.8</v>
      </c>
      <c r="AV151" s="60" t="n">
        <v>540</v>
      </c>
      <c r="AW151" s="60" t="n">
        <v>0</v>
      </c>
      <c r="AX151" s="60" t="n">
        <v>18.2</v>
      </c>
      <c r="AY151" s="60" t="n">
        <v>30.9</v>
      </c>
      <c r="AZ151" s="60" t="n">
        <v>27.2</v>
      </c>
      <c r="BA151" s="60" t="n">
        <v>9.1</v>
      </c>
      <c r="BB151" s="60" t="n">
        <v>289</v>
      </c>
      <c r="BC151" s="60" t="n">
        <f aca="false">AQ151+AR151+AS151+AT151+AU151+AV151+AW151</f>
        <v>810.8</v>
      </c>
      <c r="BD151" s="60" t="n">
        <f aca="false">AQ151</f>
        <v>590.9</v>
      </c>
      <c r="BE151" s="60" t="n">
        <f aca="false">AQ151+AR151</f>
        <v>-388.4</v>
      </c>
      <c r="BF151" s="60" t="n">
        <f aca="false">BE151+AS151</f>
        <v>-388.4</v>
      </c>
      <c r="BG151" s="60" t="n">
        <f aca="false">BF151+AT151</f>
        <v>-14</v>
      </c>
      <c r="BH151" s="60" t="n">
        <f aca="false">BG151+AU151+AV151+AW151</f>
        <v>810.8</v>
      </c>
      <c r="BI151" s="60" t="n">
        <f aca="false">BC151</f>
        <v>810.8</v>
      </c>
      <c r="BJ151" s="60" t="n">
        <f aca="false">IF('Level 1'!$C$31="Yes",BD151,AJ151)</f>
        <v>0</v>
      </c>
      <c r="BK151" s="60" t="n">
        <f aca="false">IF('Level 2'!$C$31="Yes",BE151,AK151)</f>
        <v>0</v>
      </c>
      <c r="BL151" s="60" t="n">
        <f aca="false">IF('Level 3'!$C$31="Yes",BF151,AL151)</f>
        <v>0</v>
      </c>
      <c r="BM151" s="60" t="n">
        <f aca="false">IF('Level 4'!$C$31="Yes",BG151,AM151)</f>
        <v>0</v>
      </c>
      <c r="BN151" s="60" t="n">
        <f aca="false">IF('Level 5'!$C$31="Yes",BH151,AN151)</f>
        <v>0</v>
      </c>
      <c r="BO151" s="60" t="n">
        <f aca="false">IF('Level 6'!$C$31="Yes",BI151,AO151)</f>
        <v>0</v>
      </c>
      <c r="BP151" s="60" t="n">
        <f aca="false">IF('Level 7'!$C$31="Yes",BC151,AP151)</f>
        <v>0</v>
      </c>
      <c r="BQ151" s="60" t="n">
        <f aca="false">D151-AP151</f>
        <v>488</v>
      </c>
      <c r="BR151" s="60" t="n">
        <f aca="false">BQ151^2</f>
        <v>238144</v>
      </c>
      <c r="BS151" s="60" t="n">
        <f aca="false">(BQ151-BQ150)^2</f>
        <v>324</v>
      </c>
      <c r="BT151" s="60" t="str">
        <f aca="false">IF(D151&gt;2000,ABS(BQ151)/D151,"")</f>
        <v/>
      </c>
      <c r="BU151" s="60" t="n">
        <v>158</v>
      </c>
      <c r="BV151" s="62" t="n">
        <v>0.5615</v>
      </c>
      <c r="BW151" s="60" t="n">
        <v>1168.2</v>
      </c>
      <c r="BX151" s="60" t="n">
        <f aca="false">AA151</f>
        <v>0</v>
      </c>
      <c r="BY151" s="60" t="n">
        <f aca="false">H151</f>
        <v>0.49</v>
      </c>
      <c r="BZ151" s="60" t="n">
        <f aca="false">Z151</f>
        <v>0</v>
      </c>
      <c r="CA151" s="60" t="n">
        <f aca="false">AB151+AC151+AD151</f>
        <v>0</v>
      </c>
      <c r="CB151" s="60" t="n">
        <f aca="false">AE151+AF151+AG151+AH151+AI151</f>
        <v>0</v>
      </c>
    </row>
    <row r="152" customFormat="false" ht="15" hidden="false" customHeight="false" outlineLevel="0" collapsed="false">
      <c r="A152" s="58" t="n">
        <v>45956</v>
      </c>
      <c r="B152" s="59" t="n">
        <f aca="false">YEAR(A152)</f>
        <v>2025</v>
      </c>
      <c r="C152" s="59" t="n">
        <f aca="false">MONTH(A152)</f>
        <v>10</v>
      </c>
      <c r="D152" s="60" t="n">
        <v>583</v>
      </c>
      <c r="E152" s="61" t="n">
        <v>0.696</v>
      </c>
      <c r="F152" s="61" t="n">
        <v>1.0282</v>
      </c>
      <c r="G152" s="61" t="n">
        <v>0</v>
      </c>
      <c r="H152" s="60" t="n">
        <v>56.32</v>
      </c>
      <c r="I152" s="60" t="n">
        <f aca="false">H152+'Level 4'!$C$12/100*I151</f>
        <v>56.32</v>
      </c>
      <c r="J152" s="60" t="n">
        <v>88.58</v>
      </c>
      <c r="K152" s="60" t="n">
        <v>116.89</v>
      </c>
      <c r="L152" s="60" t="n">
        <v>657.82</v>
      </c>
      <c r="M152" s="60" t="n">
        <f aca="false">L152+Answers!$C$14/100*M151</f>
        <v>1102.57428676563</v>
      </c>
      <c r="N152" s="60" t="n">
        <v>54.28</v>
      </c>
      <c r="O152" s="60" t="n">
        <v>0</v>
      </c>
      <c r="P152" s="60" t="n">
        <v>0</v>
      </c>
      <c r="Q152" s="60" t="n">
        <v>0</v>
      </c>
      <c r="R152" s="60" t="n">
        <v>1.46</v>
      </c>
      <c r="S152" s="60" t="n">
        <f aca="false">N152+Answers!$C$16/100*S151</f>
        <v>55.2745582682009</v>
      </c>
      <c r="T152" s="60" t="n">
        <f aca="false">O152+Answers!$C$17/100*T151</f>
        <v>2.37192362476361</v>
      </c>
      <c r="U152" s="60" t="n">
        <f aca="false">P152+Answers!$C$18/100*U151</f>
        <v>2.0695361719101</v>
      </c>
      <c r="V152" s="60" t="n">
        <f aca="false">Q152+Answers!$C$19/100*V151</f>
        <v>2.31009327353014</v>
      </c>
      <c r="W152" s="60" t="n">
        <f aca="false">R152+Answers!$C$20/100*W151</f>
        <v>18.2437028707109</v>
      </c>
      <c r="X152" s="60" t="n">
        <f aca="false">IF('Level 1'!$C$11="",0,'Level 1'!$C$11)*E152</f>
        <v>0</v>
      </c>
      <c r="Y152" s="60" t="n">
        <f aca="false">-IF('Level 2'!$C$11="",0,'Level 2'!$C$11)*F152</f>
        <v>-0</v>
      </c>
      <c r="Z152" s="60" t="n">
        <f aca="false">IF('Level 3'!$C$11="",0,'Level 3'!$C$11)*G152</f>
        <v>0</v>
      </c>
      <c r="AA152" s="60" t="n">
        <f aca="false">IF('Level 4'!$C$11="",0,'Level 4'!$C$11)*(1-'Level 4'!$C$12/100)*I152</f>
        <v>0</v>
      </c>
      <c r="AB152" s="60" t="n">
        <f aca="false">IF('Level 5'!$C$11="",0,'Level 5'!$C$11)*J152</f>
        <v>0</v>
      </c>
      <c r="AC152" s="60" t="n">
        <f aca="false">IF('Level 5'!$C$12="",0,'Level 5'!$C$12)*K152</f>
        <v>0</v>
      </c>
      <c r="AD152" s="60" t="n">
        <f aca="false">IF('Level 5'!$C$13="",0,'Level 5'!$C$13)*(1-Answers!$C$14/100)*M152</f>
        <v>0</v>
      </c>
      <c r="AE152" s="60" t="n">
        <f aca="false">IF('Level 6'!$C$11="",0,'Level 6'!$C$11)*(1-Answers!$C$16/100)*S152</f>
        <v>0</v>
      </c>
      <c r="AF152" s="60" t="n">
        <f aca="false">IF('Level 6'!$C$12="",0,'Level 6'!$C$12)*(1-Answers!$C$17/100)*T152</f>
        <v>0</v>
      </c>
      <c r="AG152" s="60" t="n">
        <f aca="false">IF('Level 6'!$C$13="",0,'Level 6'!$C$13)*(1-Answers!$C$18/100)*U152</f>
        <v>0</v>
      </c>
      <c r="AH152" s="60" t="n">
        <f aca="false">IF('Level 6'!$C$14="",0,'Level 6'!$C$14)*(1-Answers!$C$19/100)*V152</f>
        <v>0</v>
      </c>
      <c r="AI152" s="60" t="n">
        <f aca="false">IF('Level 6'!$C$15="",0,'Level 6'!$C$15)*(1-Answers!$C$20/100)*W152</f>
        <v>0</v>
      </c>
      <c r="AJ152" s="60" t="n">
        <f aca="false">X152</f>
        <v>0</v>
      </c>
      <c r="AK152" s="60" t="n">
        <f aca="false">X152+Y152</f>
        <v>0</v>
      </c>
      <c r="AL152" s="60" t="n">
        <f aca="false">AK152+Z152</f>
        <v>0</v>
      </c>
      <c r="AM152" s="60" t="n">
        <f aca="false">AL152+AA152</f>
        <v>0</v>
      </c>
      <c r="AN152" s="60" t="n">
        <f aca="false">AM152+AB152+AC152+AD152</f>
        <v>0</v>
      </c>
      <c r="AO152" s="60" t="n">
        <f aca="false">AL152+AE152+AF152+AG152+AH152+AI152+AB152+AC152+AD152</f>
        <v>0</v>
      </c>
      <c r="AP152" s="60" t="n">
        <f aca="false">IF(Answers!$C$22="Yes",AO152,AN152)</f>
        <v>0</v>
      </c>
      <c r="AQ152" s="60" t="n">
        <v>609.4</v>
      </c>
      <c r="AR152" s="60" t="n">
        <v>-979.3</v>
      </c>
      <c r="AS152" s="60" t="n">
        <v>0</v>
      </c>
      <c r="AT152" s="60" t="n">
        <v>342.3</v>
      </c>
      <c r="AU152" s="60" t="n">
        <v>370.4</v>
      </c>
      <c r="AV152" s="60" t="n">
        <v>313.7</v>
      </c>
      <c r="AW152" s="60" t="n">
        <v>0</v>
      </c>
      <c r="AX152" s="60" t="n">
        <v>15.4</v>
      </c>
      <c r="AY152" s="60" t="n">
        <v>26.3</v>
      </c>
      <c r="AZ152" s="60" t="n">
        <v>23.1</v>
      </c>
      <c r="BA152" s="60" t="n">
        <v>7.8</v>
      </c>
      <c r="BB152" s="60" t="n">
        <v>269.6</v>
      </c>
      <c r="BC152" s="60" t="n">
        <f aca="false">AQ152+AR152+AS152+AT152+AU152+AV152+AW152</f>
        <v>656.5</v>
      </c>
      <c r="BD152" s="60" t="n">
        <f aca="false">AQ152</f>
        <v>609.4</v>
      </c>
      <c r="BE152" s="60" t="n">
        <f aca="false">AQ152+AR152</f>
        <v>-369.9</v>
      </c>
      <c r="BF152" s="60" t="n">
        <f aca="false">BE152+AS152</f>
        <v>-369.9</v>
      </c>
      <c r="BG152" s="60" t="n">
        <f aca="false">BF152+AT152</f>
        <v>-27.6</v>
      </c>
      <c r="BH152" s="60" t="n">
        <f aca="false">BG152+AU152+AV152+AW152</f>
        <v>656.5</v>
      </c>
      <c r="BI152" s="60" t="n">
        <f aca="false">BC152</f>
        <v>656.5</v>
      </c>
      <c r="BJ152" s="60" t="n">
        <f aca="false">IF('Level 1'!$C$31="Yes",BD152,AJ152)</f>
        <v>0</v>
      </c>
      <c r="BK152" s="60" t="n">
        <f aca="false">IF('Level 2'!$C$31="Yes",BE152,AK152)</f>
        <v>0</v>
      </c>
      <c r="BL152" s="60" t="n">
        <f aca="false">IF('Level 3'!$C$31="Yes",BF152,AL152)</f>
        <v>0</v>
      </c>
      <c r="BM152" s="60" t="n">
        <f aca="false">IF('Level 4'!$C$31="Yes",BG152,AM152)</f>
        <v>0</v>
      </c>
      <c r="BN152" s="60" t="n">
        <f aca="false">IF('Level 5'!$C$31="Yes",BH152,AN152)</f>
        <v>0</v>
      </c>
      <c r="BO152" s="60" t="n">
        <f aca="false">IF('Level 6'!$C$31="Yes",BI152,AO152)</f>
        <v>0</v>
      </c>
      <c r="BP152" s="60" t="n">
        <f aca="false">IF('Level 7'!$C$31="Yes",BC152,AP152)</f>
        <v>0</v>
      </c>
      <c r="BQ152" s="60" t="n">
        <f aca="false">D152-AP152</f>
        <v>583</v>
      </c>
      <c r="BR152" s="60" t="n">
        <f aca="false">BQ152^2</f>
        <v>339889</v>
      </c>
      <c r="BS152" s="60" t="n">
        <f aca="false">(BQ152-BQ151)^2</f>
        <v>9025</v>
      </c>
      <c r="BT152" s="60" t="str">
        <f aca="false">IF(D152&gt;2000,ABS(BQ152)/D152,"")</f>
        <v/>
      </c>
      <c r="BU152" s="60" t="n">
        <v>210</v>
      </c>
      <c r="BV152" s="62" t="n">
        <v>0.5615</v>
      </c>
      <c r="BW152" s="60" t="n">
        <v>1022.6</v>
      </c>
      <c r="BX152" s="60" t="n">
        <f aca="false">AA152</f>
        <v>0</v>
      </c>
      <c r="BY152" s="60" t="n">
        <f aca="false">H152</f>
        <v>56.32</v>
      </c>
      <c r="BZ152" s="60" t="n">
        <f aca="false">Z152</f>
        <v>0</v>
      </c>
      <c r="CA152" s="60" t="n">
        <f aca="false">AB152+AC152+AD152</f>
        <v>0</v>
      </c>
      <c r="CB152" s="60" t="n">
        <f aca="false">AE152+AF152+AG152+AH152+AI152</f>
        <v>0</v>
      </c>
    </row>
    <row r="153" customFormat="false" ht="15" hidden="false" customHeight="false" outlineLevel="0" collapsed="false">
      <c r="A153" s="58" t="n">
        <v>45963</v>
      </c>
      <c r="B153" s="59" t="n">
        <f aca="false">YEAR(A153)</f>
        <v>2025</v>
      </c>
      <c r="C153" s="59" t="n">
        <f aca="false">MONTH(A153)</f>
        <v>11</v>
      </c>
      <c r="D153" s="60" t="n">
        <v>958</v>
      </c>
      <c r="E153" s="61" t="n">
        <v>0.5062</v>
      </c>
      <c r="F153" s="61" t="n">
        <v>1.0282</v>
      </c>
      <c r="G153" s="61" t="n">
        <v>0</v>
      </c>
      <c r="H153" s="60" t="n">
        <v>78.49</v>
      </c>
      <c r="I153" s="60" t="n">
        <f aca="false">H153+'Level 4'!$C$12/100*I152</f>
        <v>78.49</v>
      </c>
      <c r="J153" s="60" t="n">
        <v>73.14</v>
      </c>
      <c r="K153" s="60" t="n">
        <v>78.74</v>
      </c>
      <c r="L153" s="60" t="n">
        <v>63.84</v>
      </c>
      <c r="M153" s="60" t="n">
        <f aca="false">L153+Answers!$C$14/100*M152</f>
        <v>725.384572059381</v>
      </c>
      <c r="N153" s="60" t="n">
        <v>40.5</v>
      </c>
      <c r="O153" s="60" t="n">
        <v>0</v>
      </c>
      <c r="P153" s="60" t="n">
        <v>0</v>
      </c>
      <c r="Q153" s="60" t="n">
        <v>0</v>
      </c>
      <c r="R153" s="60" t="n">
        <v>37.04</v>
      </c>
      <c r="S153" s="60" t="n">
        <f aca="false">N153+Answers!$C$16/100*S152</f>
        <v>84.7196466145607</v>
      </c>
      <c r="T153" s="60" t="n">
        <f aca="false">O153+Answers!$C$17/100*T152</f>
        <v>1.89753889981089</v>
      </c>
      <c r="U153" s="60" t="n">
        <f aca="false">P153+Answers!$C$18/100*U152</f>
        <v>1.65562893752808</v>
      </c>
      <c r="V153" s="60" t="n">
        <f aca="false">Q153+Answers!$C$19/100*V152</f>
        <v>1.84807461882411</v>
      </c>
      <c r="W153" s="60" t="n">
        <f aca="false">R153+Answers!$C$20/100*W152</f>
        <v>51.6349622965687</v>
      </c>
      <c r="X153" s="60" t="n">
        <f aca="false">IF('Level 1'!$C$11="",0,'Level 1'!$C$11)*E153</f>
        <v>0</v>
      </c>
      <c r="Y153" s="60" t="n">
        <f aca="false">-IF('Level 2'!$C$11="",0,'Level 2'!$C$11)*F153</f>
        <v>-0</v>
      </c>
      <c r="Z153" s="60" t="n">
        <f aca="false">IF('Level 3'!$C$11="",0,'Level 3'!$C$11)*G153</f>
        <v>0</v>
      </c>
      <c r="AA153" s="60" t="n">
        <f aca="false">IF('Level 4'!$C$11="",0,'Level 4'!$C$11)*(1-'Level 4'!$C$12/100)*I153</f>
        <v>0</v>
      </c>
      <c r="AB153" s="60" t="n">
        <f aca="false">IF('Level 5'!$C$11="",0,'Level 5'!$C$11)*J153</f>
        <v>0</v>
      </c>
      <c r="AC153" s="60" t="n">
        <f aca="false">IF('Level 5'!$C$12="",0,'Level 5'!$C$12)*K153</f>
        <v>0</v>
      </c>
      <c r="AD153" s="60" t="n">
        <f aca="false">IF('Level 5'!$C$13="",0,'Level 5'!$C$13)*(1-Answers!$C$14/100)*M153</f>
        <v>0</v>
      </c>
      <c r="AE153" s="60" t="n">
        <f aca="false">IF('Level 6'!$C$11="",0,'Level 6'!$C$11)*(1-Answers!$C$16/100)*S153</f>
        <v>0</v>
      </c>
      <c r="AF153" s="60" t="n">
        <f aca="false">IF('Level 6'!$C$12="",0,'Level 6'!$C$12)*(1-Answers!$C$17/100)*T153</f>
        <v>0</v>
      </c>
      <c r="AG153" s="60" t="n">
        <f aca="false">IF('Level 6'!$C$13="",0,'Level 6'!$C$13)*(1-Answers!$C$18/100)*U153</f>
        <v>0</v>
      </c>
      <c r="AH153" s="60" t="n">
        <f aca="false">IF('Level 6'!$C$14="",0,'Level 6'!$C$14)*(1-Answers!$C$19/100)*V153</f>
        <v>0</v>
      </c>
      <c r="AI153" s="60" t="n">
        <f aca="false">IF('Level 6'!$C$15="",0,'Level 6'!$C$15)*(1-Answers!$C$20/100)*W153</f>
        <v>0</v>
      </c>
      <c r="AJ153" s="60" t="n">
        <f aca="false">X153</f>
        <v>0</v>
      </c>
      <c r="AK153" s="60" t="n">
        <f aca="false">X153+Y153</f>
        <v>0</v>
      </c>
      <c r="AL153" s="60" t="n">
        <f aca="false">AK153+Z153</f>
        <v>0</v>
      </c>
      <c r="AM153" s="60" t="n">
        <f aca="false">AL153+AA153</f>
        <v>0</v>
      </c>
      <c r="AN153" s="60" t="n">
        <f aca="false">AM153+AB153+AC153+AD153</f>
        <v>0</v>
      </c>
      <c r="AO153" s="60" t="n">
        <f aca="false">AL153+AE153+AF153+AG153+AH153+AI153+AB153+AC153+AD153</f>
        <v>0</v>
      </c>
      <c r="AP153" s="60" t="n">
        <f aca="false">IF(Answers!$C$22="Yes",AO153,AN153)</f>
        <v>0</v>
      </c>
      <c r="AQ153" s="60" t="n">
        <v>443.3</v>
      </c>
      <c r="AR153" s="60" t="n">
        <v>-979.3</v>
      </c>
      <c r="AS153" s="60" t="n">
        <v>0</v>
      </c>
      <c r="AT153" s="60" t="n">
        <v>310.1</v>
      </c>
      <c r="AU153" s="60" t="n">
        <v>309.5</v>
      </c>
      <c r="AV153" s="60" t="n">
        <v>211.3</v>
      </c>
      <c r="AW153" s="60" t="n">
        <v>0</v>
      </c>
      <c r="AX153" s="60" t="n">
        <v>13.1</v>
      </c>
      <c r="AY153" s="60" t="n">
        <v>22.4</v>
      </c>
      <c r="AZ153" s="60" t="n">
        <v>19.7</v>
      </c>
      <c r="BA153" s="60" t="n">
        <v>6.6</v>
      </c>
      <c r="BB153" s="60" t="n">
        <v>248.3</v>
      </c>
      <c r="BC153" s="60" t="n">
        <f aca="false">AQ153+AR153+AS153+AT153+AU153+AV153+AW153</f>
        <v>294.9</v>
      </c>
      <c r="BD153" s="60" t="n">
        <f aca="false">AQ153</f>
        <v>443.3</v>
      </c>
      <c r="BE153" s="60" t="n">
        <f aca="false">AQ153+AR153</f>
        <v>-536</v>
      </c>
      <c r="BF153" s="60" t="n">
        <f aca="false">BE153+AS153</f>
        <v>-536</v>
      </c>
      <c r="BG153" s="60" t="n">
        <f aca="false">BF153+AT153</f>
        <v>-225.9</v>
      </c>
      <c r="BH153" s="60" t="n">
        <f aca="false">BG153+AU153+AV153+AW153</f>
        <v>294.9</v>
      </c>
      <c r="BI153" s="60" t="n">
        <f aca="false">BC153</f>
        <v>294.9</v>
      </c>
      <c r="BJ153" s="60" t="n">
        <f aca="false">IF('Level 1'!$C$31="Yes",BD153,AJ153)</f>
        <v>0</v>
      </c>
      <c r="BK153" s="60" t="n">
        <f aca="false">IF('Level 2'!$C$31="Yes",BE153,AK153)</f>
        <v>0</v>
      </c>
      <c r="BL153" s="60" t="n">
        <f aca="false">IF('Level 3'!$C$31="Yes",BF153,AL153)</f>
        <v>0</v>
      </c>
      <c r="BM153" s="60" t="n">
        <f aca="false">IF('Level 4'!$C$31="Yes",BG153,AM153)</f>
        <v>0</v>
      </c>
      <c r="BN153" s="60" t="n">
        <f aca="false">IF('Level 5'!$C$31="Yes",BH153,AN153)</f>
        <v>0</v>
      </c>
      <c r="BO153" s="60" t="n">
        <f aca="false">IF('Level 6'!$C$31="Yes",BI153,AO153)</f>
        <v>0</v>
      </c>
      <c r="BP153" s="60" t="n">
        <f aca="false">IF('Level 7'!$C$31="Yes",BC153,AP153)</f>
        <v>0</v>
      </c>
      <c r="BQ153" s="60" t="n">
        <f aca="false">D153-AP153</f>
        <v>958</v>
      </c>
      <c r="BR153" s="60" t="n">
        <f aca="false">BQ153^2</f>
        <v>917764</v>
      </c>
      <c r="BS153" s="60" t="n">
        <f aca="false">(BQ153-BQ152)^2</f>
        <v>140625</v>
      </c>
      <c r="BT153" s="60" t="str">
        <f aca="false">IF(D153&gt;2000,ABS(BQ153)/D153,"")</f>
        <v/>
      </c>
      <c r="BU153" s="60" t="n">
        <v>184</v>
      </c>
      <c r="BV153" s="62" t="n">
        <v>0.5615</v>
      </c>
      <c r="BW153" s="60" t="n">
        <v>319.6</v>
      </c>
      <c r="BX153" s="60" t="n">
        <f aca="false">AA153</f>
        <v>0</v>
      </c>
      <c r="BY153" s="60" t="n">
        <f aca="false">H153</f>
        <v>78.49</v>
      </c>
      <c r="BZ153" s="60" t="n">
        <f aca="false">Z153</f>
        <v>0</v>
      </c>
      <c r="CA153" s="60" t="n">
        <f aca="false">AB153+AC153+AD153</f>
        <v>0</v>
      </c>
      <c r="CB153" s="60" t="n">
        <f aca="false">AE153+AF153+AG153+AH153+AI153</f>
        <v>0</v>
      </c>
    </row>
  </sheetData>
  <mergeCells count="2">
    <mergeCell ref="A2:T2"/>
    <mergeCell ref="A3:T3"/>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8787"/>
    <pageSetUpPr fitToPage="true"/>
  </sheetPr>
  <dimension ref="B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0"/>
  </cols>
  <sheetData>
    <row r="1" customFormat="false" ht="30" hidden="false" customHeight="true" outlineLevel="0" collapsed="false">
      <c r="B1" s="1" t="s">
        <v>482</v>
      </c>
    </row>
    <row r="2" customFormat="false" ht="18" hidden="false" customHeight="true" outlineLevel="0" collapsed="false">
      <c r="B2" s="2" t="s">
        <v>483</v>
      </c>
      <c r="C2" s="2"/>
      <c r="D2" s="2"/>
      <c r="E2" s="2"/>
      <c r="F2" s="2"/>
      <c r="G2" s="2"/>
      <c r="H2" s="2"/>
      <c r="I2" s="2"/>
      <c r="J2" s="2"/>
      <c r="K2" s="2"/>
      <c r="L2" s="2"/>
      <c r="M2" s="2"/>
      <c r="N2" s="2"/>
    </row>
    <row r="4" customFormat="false" ht="19.5" hidden="false" customHeight="true" outlineLevel="0" collapsed="false">
      <c r="B4" s="3" t="s">
        <v>484</v>
      </c>
    </row>
    <row r="5" customFormat="false" ht="48.75" hidden="false" customHeight="true" outlineLevel="0" collapsed="false">
      <c r="B5" s="63" t="s">
        <v>485</v>
      </c>
      <c r="C5" s="5" t="s">
        <v>486</v>
      </c>
    </row>
    <row r="6" customFormat="false" ht="33.75" hidden="false" customHeight="true" outlineLevel="0" collapsed="false">
      <c r="B6" s="63" t="s">
        <v>487</v>
      </c>
      <c r="C6" s="5" t="s">
        <v>488</v>
      </c>
    </row>
    <row r="7" customFormat="false" ht="33.75" hidden="false" customHeight="true" outlineLevel="0" collapsed="false">
      <c r="B7" s="63" t="s">
        <v>489</v>
      </c>
      <c r="C7" s="5" t="s">
        <v>490</v>
      </c>
    </row>
    <row r="8" customFormat="false" ht="33.75" hidden="false" customHeight="true" outlineLevel="0" collapsed="false">
      <c r="B8" s="63" t="s">
        <v>491</v>
      </c>
      <c r="C8" s="5" t="s">
        <v>492</v>
      </c>
    </row>
    <row r="9" customFormat="false" ht="33.75" hidden="false" customHeight="true" outlineLevel="0" collapsed="false">
      <c r="B9" s="63" t="s">
        <v>493</v>
      </c>
      <c r="C9" s="5" t="s">
        <v>494</v>
      </c>
    </row>
    <row r="10" customFormat="false" ht="33.75" hidden="false" customHeight="true" outlineLevel="0" collapsed="false">
      <c r="B10" s="63" t="s">
        <v>495</v>
      </c>
      <c r="C10" s="5" t="s">
        <v>496</v>
      </c>
    </row>
    <row r="12" customFormat="false" ht="19.5" hidden="false" customHeight="true" outlineLevel="0" collapsed="false">
      <c r="B12" s="3" t="s">
        <v>497</v>
      </c>
    </row>
    <row r="13" customFormat="false" ht="18.75" hidden="false" customHeight="true" outlineLevel="0" collapsed="false">
      <c r="B13" s="41" t="s">
        <v>498</v>
      </c>
      <c r="C13" s="5" t="s">
        <v>499</v>
      </c>
    </row>
    <row r="14" customFormat="false" ht="18.75" hidden="false" customHeight="true" outlineLevel="0" collapsed="false">
      <c r="B14" s="41" t="s">
        <v>500</v>
      </c>
      <c r="C14" s="5" t="s">
        <v>501</v>
      </c>
    </row>
    <row r="15" customFormat="false" ht="33.75" hidden="false" customHeight="true" outlineLevel="0" collapsed="false">
      <c r="B15" s="41" t="s">
        <v>502</v>
      </c>
      <c r="C15" s="5" t="s">
        <v>503</v>
      </c>
    </row>
    <row r="16" customFormat="false" ht="18.75" hidden="false" customHeight="true" outlineLevel="0" collapsed="false">
      <c r="B16" s="41" t="s">
        <v>504</v>
      </c>
      <c r="C16" s="5" t="s">
        <v>505</v>
      </c>
    </row>
    <row r="17" customFormat="false" ht="18.75" hidden="false" customHeight="true" outlineLevel="0" collapsed="false">
      <c r="B17" s="41" t="s">
        <v>506</v>
      </c>
      <c r="C17" s="5" t="s">
        <v>507</v>
      </c>
    </row>
    <row r="18" customFormat="false" ht="33.75" hidden="false" customHeight="true" outlineLevel="0" collapsed="false">
      <c r="B18" s="41" t="s">
        <v>508</v>
      </c>
      <c r="C18" s="5" t="s">
        <v>509</v>
      </c>
    </row>
    <row r="19" customFormat="false" ht="63.75" hidden="false" customHeight="true" outlineLevel="0" collapsed="false">
      <c r="B19" s="41" t="s">
        <v>510</v>
      </c>
      <c r="C19" s="5" t="s">
        <v>511</v>
      </c>
    </row>
    <row r="21" customFormat="false" ht="19.5" hidden="false" customHeight="true" outlineLevel="0" collapsed="false">
      <c r="B21" s="3" t="s">
        <v>512</v>
      </c>
    </row>
    <row r="22" customFormat="false" ht="63.75" hidden="false" customHeight="true" outlineLevel="0" collapsed="false">
      <c r="B22" s="64" t="s">
        <v>513</v>
      </c>
      <c r="C22" s="5" t="s">
        <v>514</v>
      </c>
    </row>
    <row r="23" customFormat="false" ht="48.75" hidden="false" customHeight="true" outlineLevel="0" collapsed="false">
      <c r="B23" s="64" t="s">
        <v>515</v>
      </c>
      <c r="C23" s="5" t="s">
        <v>516</v>
      </c>
    </row>
    <row r="24" customFormat="false" ht="48.75" hidden="false" customHeight="true" outlineLevel="0" collapsed="false">
      <c r="B24" s="64" t="s">
        <v>517</v>
      </c>
      <c r="C24" s="5" t="s">
        <v>518</v>
      </c>
    </row>
    <row r="25" customFormat="false" ht="33.75" hidden="false" customHeight="true" outlineLevel="0" collapsed="false">
      <c r="B25" s="64" t="s">
        <v>519</v>
      </c>
      <c r="C25" s="5" t="s">
        <v>520</v>
      </c>
    </row>
    <row r="26" customFormat="false" ht="33.75" hidden="false" customHeight="true" outlineLevel="0" collapsed="false">
      <c r="B26" s="64" t="s">
        <v>521</v>
      </c>
      <c r="C26" s="5" t="s">
        <v>522</v>
      </c>
    </row>
    <row r="27" customFormat="false" ht="33.75" hidden="false" customHeight="true" outlineLevel="0" collapsed="false">
      <c r="B27" s="64" t="s">
        <v>523</v>
      </c>
      <c r="C27" s="5" t="s">
        <v>524</v>
      </c>
    </row>
  </sheetData>
  <mergeCells count="1">
    <mergeCell ref="B2:N2"/>
  </mergeCell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52"/>
    <col collapsed="false" customWidth="true" hidden="false" outlineLevel="0" max="4" min="4" style="0" width="44"/>
  </cols>
  <sheetData>
    <row r="1" customFormat="false" ht="15" hidden="false" customHeight="false" outlineLevel="0" collapsed="false">
      <c r="A1" s="41" t="s">
        <v>525</v>
      </c>
    </row>
    <row r="3" customFormat="false" ht="15" hidden="false" customHeight="false" outlineLevel="0" collapsed="false">
      <c r="B3" s="0" t="s">
        <v>526</v>
      </c>
      <c r="C3" s="0" t="n">
        <v>876</v>
      </c>
    </row>
    <row r="4" customFormat="false" ht="15" hidden="false" customHeight="false" outlineLevel="0" collapsed="false">
      <c r="B4" s="0" t="s">
        <v>527</v>
      </c>
      <c r="C4" s="0" t="n">
        <v>952</v>
      </c>
    </row>
    <row r="5" customFormat="false" ht="15" hidden="false" customHeight="false" outlineLevel="0" collapsed="false">
      <c r="B5" s="0" t="s">
        <v>528</v>
      </c>
      <c r="C5" s="0" t="n">
        <v>7600</v>
      </c>
    </row>
    <row r="6" customFormat="false" ht="15" hidden="false" customHeight="false" outlineLevel="0" collapsed="false">
      <c r="B6" s="0" t="s">
        <v>529</v>
      </c>
      <c r="C6" s="0" t="n">
        <v>16.1</v>
      </c>
    </row>
    <row r="7" customFormat="false" ht="15" hidden="false" customHeight="false" outlineLevel="0" collapsed="false">
      <c r="B7" s="0" t="s">
        <v>530</v>
      </c>
      <c r="C7" s="0" t="n">
        <v>80</v>
      </c>
    </row>
    <row r="8" customFormat="false" ht="15" hidden="false" customHeight="false" outlineLevel="0" collapsed="false">
      <c r="B8" s="0" t="s">
        <v>531</v>
      </c>
      <c r="C8" s="0" t="n">
        <v>3.7</v>
      </c>
    </row>
    <row r="9" customFormat="false" ht="15" hidden="false" customHeight="false" outlineLevel="0" collapsed="false">
      <c r="B9" s="0" t="s">
        <v>532</v>
      </c>
      <c r="C9" s="0" t="n">
        <v>3.3</v>
      </c>
    </row>
    <row r="10" customFormat="false" ht="15" hidden="false" customHeight="false" outlineLevel="0" collapsed="false">
      <c r="B10" s="0" t="s">
        <v>533</v>
      </c>
      <c r="C10" s="0" t="n">
        <v>1.3</v>
      </c>
    </row>
    <row r="11" customFormat="false" ht="15" hidden="false" customHeight="false" outlineLevel="0" collapsed="false">
      <c r="B11" s="0" t="s">
        <v>534</v>
      </c>
      <c r="C11" s="0" t="n">
        <v>0.25</v>
      </c>
    </row>
    <row r="12" customFormat="false" ht="15" hidden="false" customHeight="false" outlineLevel="0" collapsed="false">
      <c r="B12" s="0" t="s">
        <v>535</v>
      </c>
      <c r="C12" s="0" t="n">
        <v>10</v>
      </c>
    </row>
    <row r="13" customFormat="false" ht="15" hidden="false" customHeight="false" outlineLevel="0" collapsed="false">
      <c r="B13" s="0" t="s">
        <v>536</v>
      </c>
      <c r="C13" s="0" t="n">
        <v>0.35</v>
      </c>
    </row>
    <row r="14" customFormat="false" ht="15" hidden="false" customHeight="false" outlineLevel="0" collapsed="false">
      <c r="B14" s="0" t="s">
        <v>537</v>
      </c>
      <c r="C14" s="0" t="n">
        <v>60</v>
      </c>
    </row>
    <row r="15" customFormat="false" ht="15" hidden="false" customHeight="false" outlineLevel="0" collapsed="false">
      <c r="B15" s="0" t="s">
        <v>538</v>
      </c>
    </row>
    <row r="16" customFormat="false" ht="15" hidden="false" customHeight="false" outlineLevel="0" collapsed="false">
      <c r="B16" s="0" t="s">
        <v>539</v>
      </c>
      <c r="C16" s="0" t="n">
        <v>80</v>
      </c>
      <c r="D16" s="0" t="s">
        <v>540</v>
      </c>
      <c r="E16" s="0" t="n">
        <v>17</v>
      </c>
    </row>
    <row r="17" customFormat="false" ht="15" hidden="false" customHeight="false" outlineLevel="0" collapsed="false">
      <c r="B17" s="0" t="s">
        <v>541</v>
      </c>
      <c r="C17" s="0" t="n">
        <v>80</v>
      </c>
      <c r="D17" s="0" t="s">
        <v>542</v>
      </c>
      <c r="E17" s="0" t="n">
        <v>17.4</v>
      </c>
    </row>
    <row r="18" customFormat="false" ht="15" hidden="false" customHeight="false" outlineLevel="0" collapsed="false">
      <c r="B18" s="0" t="s">
        <v>543</v>
      </c>
      <c r="C18" s="0" t="n">
        <v>80</v>
      </c>
      <c r="D18" s="0" t="s">
        <v>159</v>
      </c>
      <c r="E18" s="0" t="n">
        <v>17.4</v>
      </c>
    </row>
    <row r="19" customFormat="false" ht="15" hidden="false" customHeight="false" outlineLevel="0" collapsed="false">
      <c r="B19" s="0" t="s">
        <v>544</v>
      </c>
      <c r="C19" s="0" t="n">
        <v>80</v>
      </c>
      <c r="D19" s="0" t="s">
        <v>545</v>
      </c>
      <c r="E19" s="0" t="n">
        <v>6.1</v>
      </c>
    </row>
    <row r="20" customFormat="false" ht="15" hidden="false" customHeight="false" outlineLevel="0" collapsed="false">
      <c r="B20" s="0" t="s">
        <v>546</v>
      </c>
      <c r="C20" s="0" t="n">
        <v>80</v>
      </c>
      <c r="D20" s="0" t="s">
        <v>547</v>
      </c>
      <c r="E20" s="0" t="n">
        <v>17.6</v>
      </c>
    </row>
    <row r="22" customFormat="false" ht="15" hidden="false" customHeight="false" outlineLevel="0" collapsed="false">
      <c r="B22" s="0" t="s">
        <v>548</v>
      </c>
      <c r="C22" s="0" t="str">
        <f aca="false">IF(COUNT('Level 6'!$C$11,'Level 6'!$C$12,'Level 6'!$C$13,'Level 6'!$C$14,'Level 6'!$C$15)=5,"Yes","No")</f>
        <v>No</v>
      </c>
    </row>
    <row r="24" customFormat="false" ht="15" hidden="false" customHeight="false" outlineLevel="0" collapsed="false">
      <c r="B24" s="0" t="s">
        <v>549</v>
      </c>
    </row>
    <row r="27" customFormat="false" ht="15" hidden="false" customHeight="false" outlineLevel="0" collapsed="false">
      <c r="B27" s="0" t="s">
        <v>550</v>
      </c>
      <c r="C27" s="0" t="n">
        <v>0.47</v>
      </c>
    </row>
    <row r="28" customFormat="false" ht="15" hidden="false" customHeight="false" outlineLevel="0" collapsed="false">
      <c r="B28" s="0" t="s">
        <v>551</v>
      </c>
      <c r="C28" s="0" t="n">
        <v>0.81</v>
      </c>
    </row>
    <row r="29" customFormat="false" ht="15" hidden="false" customHeight="false" outlineLevel="0" collapsed="false">
      <c r="B29" s="0" t="s">
        <v>552</v>
      </c>
      <c r="C29" s="0" t="n">
        <v>0.84</v>
      </c>
    </row>
    <row r="30" customFormat="false" ht="15" hidden="false" customHeight="false" outlineLevel="0" collapsed="false">
      <c r="B30" s="0" t="s">
        <v>553</v>
      </c>
      <c r="C30" s="0" t="n">
        <v>0.84</v>
      </c>
    </row>
    <row r="33" customFormat="false" ht="15" hidden="false" customHeight="false" outlineLevel="0" collapsed="false">
      <c r="B33" s="0" t="s">
        <v>554</v>
      </c>
      <c r="C33" s="0" t="n">
        <v>0.895</v>
      </c>
    </row>
    <row r="34" customFormat="false" ht="15" hidden="false" customHeight="false" outlineLevel="0" collapsed="false">
      <c r="B34" s="0" t="s">
        <v>555</v>
      </c>
      <c r="C34" s="0" t="n">
        <v>0.302</v>
      </c>
    </row>
    <row r="35" customFormat="false" ht="15" hidden="false" customHeight="false" outlineLevel="0" collapsed="false">
      <c r="B35" s="0" t="s">
        <v>556</v>
      </c>
      <c r="C35" s="0" t="n">
        <v>1.02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&amp;LCRUK CONFIDENTIAL, INTERNAL USE ONLY</oddHeader>
    <oddFooter>&amp;LThe Econometrics Game v2&amp;RAndrew Rajanathan, CRUK M&amp;&amp;D</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2026-09-03T23:36:05Z</dcterms:created>
  <dc:creator>openpyxl</dc:creator>
  <dc:description/>
  <dc:language>en-US</dc:language>
  <cp:lastModifiedBy/>
  <dcterms:modified xsi:type="dcterms:W3CDTF">2026-09-03T23:36:08Z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