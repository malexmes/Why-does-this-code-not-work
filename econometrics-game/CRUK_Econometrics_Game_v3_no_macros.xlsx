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e for Life" sheetId="1" state="visible" r:id="rId1"/>
    <sheet xmlns:r="http://schemas.openxmlformats.org/officeDocument/2006/relationships" name="Brand" sheetId="2" state="visible" r:id="rId2"/>
    <sheet xmlns:r="http://schemas.openxmlformats.org/officeDocument/2006/relationships" name="Giving" sheetId="3" state="visible" r:id="rId3"/>
    <sheet xmlns:r="http://schemas.openxmlformats.org/officeDocument/2006/relationships" name="Finish" sheetId="4" state="visible" r:id="rId4"/>
    <sheet xmlns:r="http://schemas.openxmlformats.org/officeDocument/2006/relationships" name="Words" sheetId="5" state="visible" r:id="rId5"/>
    <sheet xmlns:r="http://schemas.openxmlformats.org/officeDocument/2006/relationships" name="Under the bonnet" sheetId="6" state="visible" r:id="rId6"/>
    <sheet xmlns:r="http://schemas.openxmlformats.org/officeDocument/2006/relationships" name="Steps" sheetId="7" state="hidden" r:id="rId7"/>
    <sheet xmlns:r="http://schemas.openxmlformats.org/officeDocument/2006/relationships" name="State" sheetId="8" state="visible" r:id="rId8"/>
    <sheet xmlns:r="http://schemas.openxmlformats.org/officeDocument/2006/relationships" name="Room notes" sheetId="9" state="hidden" r:id="rId9"/>
    <sheet xmlns:r="http://schemas.openxmlformats.org/officeDocument/2006/relationships" name="Answers" sheetId="10" state="veryHidden" r:id="rId10"/>
  </sheets>
  <definedNames/>
  <calcPr calcId="124519" fullCalcOnLoad="1"/>
</workbook>
</file>

<file path=xl/styles.xml><?xml version="1.0" encoding="utf-8"?>
<styleSheet xmlns="http://schemas.openxmlformats.org/spreadsheetml/2006/main">
  <numFmts count="5">
    <numFmt numFmtId="164" formatCode="&quot;£&quot;0.00"/>
    <numFmt numFmtId="165" formatCode="+#,##0;-#,##0"/>
    <numFmt numFmtId="166" formatCode="dd mmm yy"/>
    <numFmt numFmtId="167" formatCode="#,##0.0"/>
    <numFmt numFmtId="168" formatCode="0.0%"/>
  </numFmts>
  <fonts count="38">
    <font>
      <name val="Calibri"/>
      <family val="2"/>
      <color theme="1"/>
      <sz val="11"/>
      <scheme val="minor"/>
    </font>
    <font>
      <name val="Arial"/>
      <b val="1"/>
      <color rgb="001B2A4A"/>
      <sz val="16"/>
    </font>
    <font>
      <name val="Arial"/>
      <color rgb="001A1A1A"/>
      <sz val="11"/>
    </font>
    <font>
      <name val="Arial"/>
      <b val="1"/>
      <color rgb="00FFFFFF"/>
      <sz val="11"/>
    </font>
    <font>
      <name val="Arial"/>
      <color rgb="001A1A1A"/>
      <sz val="9"/>
    </font>
    <font>
      <name val="Arial"/>
      <b val="1"/>
      <color rgb="001A1A1A"/>
      <sz val="10"/>
    </font>
    <font>
      <name val="Arial"/>
      <color rgb="001A1A1A"/>
      <sz val="10"/>
    </font>
    <font>
      <name val="Arial"/>
      <i val="1"/>
      <color rgb="001A1A1A"/>
      <sz val="10"/>
    </font>
    <font>
      <name val="Arial"/>
      <b val="1"/>
      <color rgb="00878787"/>
      <sz val="11"/>
    </font>
    <font>
      <name val="Arial"/>
      <color rgb="00E60078"/>
      <sz val="14"/>
    </font>
    <font>
      <name val="Arial"/>
      <b val="1"/>
      <color rgb="001B2A4A"/>
      <sz val="20"/>
    </font>
    <font>
      <name val="Arial"/>
      <color rgb="001A1A1A"/>
      <sz val="13"/>
    </font>
    <font>
      <name val="Arial"/>
      <b val="1"/>
      <color rgb="001B2A4A"/>
      <sz val="13"/>
    </font>
    <font>
      <name val="Arial"/>
      <b val="1"/>
      <color rgb="00FFFFFF"/>
      <sz val="13"/>
    </font>
    <font>
      <name val="Arial"/>
      <color rgb="00878787"/>
      <sz val="8"/>
    </font>
    <font>
      <name val="Arial"/>
      <color rgb="001A1A1A"/>
      <sz val="12"/>
    </font>
    <font>
      <name val="Arial"/>
      <b val="1"/>
      <color rgb="001B2A4A"/>
      <sz val="14"/>
    </font>
    <font>
      <name val="Arial"/>
      <b val="1"/>
      <color rgb="002E7D32"/>
      <sz val="14"/>
    </font>
    <font>
      <name val="Arial"/>
      <b val="1"/>
      <color rgb="001A1A1A"/>
      <sz val="12"/>
    </font>
    <font>
      <name val="Arial"/>
      <color rgb="00878787"/>
      <sz val="12"/>
    </font>
    <font>
      <name val="Arial"/>
      <b val="1"/>
      <color rgb="002E7D32"/>
      <sz val="16"/>
    </font>
    <font>
      <name val="Arial"/>
      <color rgb="00878787"/>
      <sz val="9"/>
    </font>
    <font>
      <name val="Arial"/>
      <color rgb="00878787"/>
      <sz val="10"/>
    </font>
    <font>
      <name val="Arial"/>
      <b val="1"/>
      <color rgb="00FFFFFF"/>
      <sz val="14"/>
    </font>
    <font>
      <name val="Arial"/>
      <b val="1"/>
      <color rgb="004A6FA5"/>
      <sz val="10"/>
    </font>
    <font>
      <name val="Arial"/>
      <b val="1"/>
      <color rgb="00E60078"/>
      <sz val="10"/>
    </font>
    <font>
      <name val="Arial"/>
      <b val="1"/>
      <color rgb="00FFFFFF"/>
      <sz val="10"/>
    </font>
    <font>
      <name val="Arial"/>
      <color rgb="00878787"/>
      <sz val="11"/>
    </font>
    <font>
      <name val="Arial"/>
      <b val="1"/>
      <color rgb="001B2A4A"/>
      <sz val="11"/>
    </font>
    <font>
      <name val="Arial"/>
      <b val="1"/>
      <color rgb="001A1A1A"/>
      <sz val="11"/>
    </font>
    <font>
      <name val="Arial"/>
      <i val="1"/>
      <color rgb="00878787"/>
      <sz val="8"/>
    </font>
    <font>
      <name val="Arial"/>
      <b val="1"/>
      <color rgb="001B2A4A"/>
      <sz val="24"/>
    </font>
    <font>
      <name val="Arial"/>
      <b val="1"/>
      <color rgb="001B2A4A"/>
      <sz val="12"/>
    </font>
    <font>
      <name val="Arial"/>
      <b val="1"/>
      <color rgb="00E60078"/>
      <sz val="22"/>
    </font>
    <font>
      <name val="Arial"/>
      <color rgb="00FFFFFF"/>
      <sz val="1"/>
    </font>
    <font>
      <name val="Arial"/>
      <color rgb="00E60078"/>
      <sz val="16"/>
    </font>
    <font>
      <name val="Arial"/>
      <b val="1"/>
      <color rgb="001B2A4A"/>
      <sz val="18"/>
    </font>
    <font>
      <name val="Arial"/>
      <i val="1"/>
      <color rgb="00878787"/>
      <sz val="11"/>
    </font>
  </fonts>
  <fills count="7">
    <fill>
      <patternFill/>
    </fill>
    <fill>
      <patternFill patternType="gray125"/>
    </fill>
    <fill>
      <patternFill patternType="solid">
        <fgColor rgb="001B2A4A"/>
      </patternFill>
    </fill>
    <fill>
      <patternFill patternType="solid">
        <fgColor rgb="00FFF2CC"/>
      </patternFill>
    </fill>
    <fill>
      <patternFill patternType="solid">
        <fgColor rgb="00E9EDF3"/>
      </patternFill>
    </fill>
    <fill>
      <patternFill patternType="solid">
        <fgColor rgb="00E60078"/>
      </patternFill>
    </fill>
    <fill>
      <patternFill patternType="solid">
        <fgColor rgb="00F4F6FA"/>
      </patternFill>
    </fill>
  </fills>
  <borders count="8">
    <border>
      <left/>
      <right/>
      <top/>
      <bottom/>
      <diagonal/>
    </border>
    <border>
      <left style="thin">
        <color rgb="00BBC7D9"/>
      </left>
      <right style="thin">
        <color rgb="00BBC7D9"/>
      </right>
      <top style="thin">
        <color rgb="00BBC7D9"/>
      </top>
      <bottom style="thin">
        <color rgb="00BBC7D9"/>
      </bottom>
    </border>
    <border>
      <bottom style="thin">
        <color rgb="00BBC7D9"/>
      </bottom>
    </border>
    <border>
      <left/>
      <right/>
      <top/>
      <bottom style="thin">
        <color rgb="00BBC7D9"/>
      </bottom>
      <diagonal/>
    </border>
    <border>
      <left/>
      <right/>
      <top style="thin">
        <color rgb="00BBC7D9"/>
      </top>
      <bottom/>
      <diagonal/>
    </border>
    <border>
      <left/>
      <right style="thin">
        <color rgb="00BBC7D9"/>
      </right>
      <top style="thin">
        <color rgb="00BBC7D9"/>
      </top>
      <bottom/>
      <diagonal/>
    </border>
    <border>
      <left/>
      <right/>
      <top style="thin">
        <color rgb="00BBC7D9"/>
      </top>
      <bottom style="thin">
        <color rgb="00BBC7D9"/>
      </bottom>
      <diagonal/>
    </border>
    <border>
      <left/>
      <right style="thin">
        <color rgb="00BBC7D9"/>
      </right>
      <top style="thin">
        <color rgb="00BBC7D9"/>
      </top>
      <bottom style="thin">
        <color rgb="00BBC7D9"/>
      </bottom>
      <diagonal/>
    </border>
  </borders>
  <cellStyleXfs count="1">
    <xf numFmtId="0" fontId="0" fillId="0" borderId="0"/>
  </cellStyleXfs>
  <cellXfs count="77">
    <xf numFmtId="0" fontId="0" fillId="0" borderId="0" pivotButton="0" quotePrefix="0" xfId="0"/>
    <xf numFmtId="0" fontId="8" fillId="0" borderId="0" pivotButton="0" quotePrefix="0" xfId="0"/>
    <xf numFmtId="0" fontId="9" fillId="0" borderId="0" applyAlignment="1" pivotButton="0" quotePrefix="0" xfId="0">
      <alignment horizontal="right" vertical="center"/>
    </xf>
    <xf numFmtId="0" fontId="0" fillId="4" borderId="0" pivotButton="0" quotePrefix="0" xfId="0"/>
    <xf numFmtId="0" fontId="10" fillId="0" borderId="0" applyAlignment="1" pivotButton="0" quotePrefix="0" xfId="0">
      <alignment horizontal="left" vertical="center" wrapText="1"/>
    </xf>
    <xf numFmtId="0" fontId="11"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8" fillId="0"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23" fillId="0" borderId="0" applyAlignment="1" pivotButton="0" quotePrefix="0" xfId="0">
      <alignment horizontal="center" vertical="center" wrapText="1"/>
    </xf>
    <xf numFmtId="0" fontId="15" fillId="0" borderId="0" applyAlignment="1" pivotButton="0" quotePrefix="0" xfId="0">
      <alignment horizontal="left" vertical="top" wrapText="1"/>
    </xf>
    <xf numFmtId="0" fontId="24" fillId="0" borderId="0" applyAlignment="1" pivotButton="0" quotePrefix="0" xfId="0">
      <alignment horizontal="left" vertical="center" wrapText="1"/>
    </xf>
    <xf numFmtId="0" fontId="25" fillId="0" borderId="0" applyAlignment="1" pivotButton="0" quotePrefix="0" xfId="0">
      <alignment horizontal="left" vertical="center" wrapText="1"/>
    </xf>
    <xf numFmtId="0" fontId="12" fillId="4" borderId="1" applyAlignment="1" pivotButton="0" quotePrefix="0" xfId="0">
      <alignment horizontal="center" vertical="center" wrapText="1"/>
    </xf>
    <xf numFmtId="0" fontId="0" fillId="0" borderId="1" pivotButton="0" quotePrefix="0" xfId="0"/>
    <xf numFmtId="0" fontId="13" fillId="5" borderId="1" applyAlignment="1" pivotButton="0" quotePrefix="0" xfId="0">
      <alignment horizontal="center" vertical="center" wrapText="1"/>
    </xf>
    <xf numFmtId="0" fontId="14" fillId="0" borderId="0" applyAlignment="1" pivotButton="0" quotePrefix="0" xfId="0">
      <alignment horizontal="center"/>
    </xf>
    <xf numFmtId="0" fontId="26" fillId="2" borderId="0" applyAlignment="1" pivotButton="0" quotePrefix="0" xfId="0">
      <alignment horizontal="center" vertical="center" wrapText="1"/>
    </xf>
    <xf numFmtId="0" fontId="2" fillId="0" borderId="2" applyAlignment="1" pivotButton="0" quotePrefix="0" xfId="0">
      <alignment horizontal="left" vertical="center" wrapText="1"/>
    </xf>
    <xf numFmtId="3" fontId="27" fillId="0" borderId="2" applyAlignment="1" pivotButton="0" quotePrefix="0" xfId="0">
      <alignment horizontal="center" vertical="center" wrapText="1"/>
    </xf>
    <xf numFmtId="3" fontId="28" fillId="0" borderId="2" applyAlignment="1" pivotButton="0" quotePrefix="0" xfId="0">
      <alignment horizontal="center" vertical="center" wrapText="1"/>
    </xf>
    <xf numFmtId="0" fontId="13" fillId="2" borderId="0" applyAlignment="1" pivotButton="0" quotePrefix="0" xfId="0">
      <alignment horizontal="center" vertical="center" wrapText="1"/>
    </xf>
    <xf numFmtId="3" fontId="2" fillId="0" borderId="2" applyAlignment="1" pivotButton="0" quotePrefix="0" xfId="0">
      <alignment horizontal="center" vertical="center" wrapText="1"/>
    </xf>
    <xf numFmtId="164" fontId="2" fillId="0" borderId="2" applyAlignment="1" pivotButton="0" quotePrefix="0" xfId="0">
      <alignment horizontal="center" vertical="center" wrapText="1"/>
    </xf>
    <xf numFmtId="165" fontId="31" fillId="0" borderId="0" pivotButton="0" quotePrefix="0" xfId="0"/>
    <xf numFmtId="0" fontId="2" fillId="0" borderId="0" applyAlignment="1" pivotButton="0" quotePrefix="0" xfId="0">
      <alignment horizontal="left" vertical="center" wrapText="1"/>
    </xf>
    <xf numFmtId="0" fontId="24" fillId="0" borderId="0" pivotButton="0" quotePrefix="0" xfId="0"/>
    <xf numFmtId="0" fontId="32" fillId="0" borderId="0" applyAlignment="1" pivotButton="0" quotePrefix="0" xfId="0">
      <alignment horizontal="left" vertical="top" wrapText="1"/>
    </xf>
    <xf numFmtId="0" fontId="15" fillId="6" borderId="1" applyAlignment="1" pivotButton="0" quotePrefix="0" xfId="0">
      <alignment horizontal="left" vertical="center" wrapText="1"/>
    </xf>
    <xf numFmtId="0" fontId="29" fillId="0" borderId="0" pivotButton="0" quotePrefix="0" xfId="0"/>
    <xf numFmtId="3" fontId="29" fillId="0" borderId="0" applyAlignment="1" pivotButton="0" quotePrefix="0" xfId="0">
      <alignment horizontal="center" vertical="center" wrapText="1"/>
    </xf>
    <xf numFmtId="3" fontId="28" fillId="0" borderId="0" applyAlignment="1" pivotButton="0" quotePrefix="0" xfId="0">
      <alignment horizontal="center" vertical="center" wrapText="1"/>
    </xf>
    <xf numFmtId="164" fontId="29" fillId="0" borderId="0" applyAlignment="1" pivotButton="0" quotePrefix="0" xfId="0">
      <alignment horizontal="center" vertical="center" wrapText="1"/>
    </xf>
    <xf numFmtId="0" fontId="30" fillId="0" borderId="0" applyAlignment="1" pivotButton="0" quotePrefix="0" xfId="0">
      <alignment horizontal="left" vertical="top" wrapText="1"/>
    </xf>
    <xf numFmtId="0" fontId="33" fillId="0" borderId="0" pivotButton="0" quotePrefix="0" xfId="0"/>
    <xf numFmtId="0" fontId="2" fillId="0" borderId="0" applyAlignment="1" pivotButton="0" quotePrefix="0" xfId="0">
      <alignment horizontal="left" vertical="top" wrapText="1"/>
    </xf>
    <xf numFmtId="0" fontId="34" fillId="0" borderId="0" pivotButton="0" quotePrefix="0" xfId="0"/>
    <xf numFmtId="0" fontId="35" fillId="0" borderId="0" applyAlignment="1" pivotButton="0" quotePrefix="0" xfId="0">
      <alignment horizontal="center" vertical="center" wrapText="1"/>
    </xf>
    <xf numFmtId="0" fontId="28" fillId="0" borderId="0" applyAlignment="1" pivotButton="0" quotePrefix="0" xfId="0">
      <alignment horizontal="left" vertical="center" wrapText="1"/>
    </xf>
    <xf numFmtId="0" fontId="36" fillId="0" borderId="0" pivotButton="0" quotePrefix="0" xfId="0"/>
    <xf numFmtId="0" fontId="37" fillId="0" borderId="0" pivotButton="0" quotePrefix="0" xfId="0"/>
    <xf numFmtId="0" fontId="3" fillId="2" borderId="1" applyAlignment="1" pivotButton="0" quotePrefix="0" xfId="0">
      <alignment horizontal="center" vertical="center" wrapText="1"/>
    </xf>
    <xf numFmtId="0" fontId="29" fillId="0" borderId="1" applyAlignment="1" pivotButton="0" quotePrefix="0" xfId="0">
      <alignment horizontal="left" vertical="top" wrapText="1"/>
    </xf>
    <xf numFmtId="0" fontId="2" fillId="0" borderId="1" applyAlignment="1" pivotButton="0" quotePrefix="0" xfId="0">
      <alignment horizontal="left" vertical="top" wrapText="1"/>
    </xf>
    <xf numFmtId="0" fontId="1" fillId="0" borderId="0" pivotButton="0" quotePrefix="0" xfId="0"/>
    <xf numFmtId="0" fontId="2" fillId="0" borderId="0" pivotButton="0" quotePrefix="0" xfId="0"/>
    <xf numFmtId="166" fontId="4" fillId="0" borderId="0" pivotButton="0" quotePrefix="0" xfId="0"/>
    <xf numFmtId="0" fontId="4" fillId="0" borderId="0" pivotButton="0" quotePrefix="0" xfId="0"/>
    <xf numFmtId="3" fontId="4" fillId="0" borderId="0" pivotButton="0" quotePrefix="0" xfId="0"/>
    <xf numFmtId="167" fontId="4" fillId="0" borderId="0" pivotButton="0" quotePrefix="0" xfId="0"/>
    <xf numFmtId="168" fontId="4" fillId="0" borderId="0" pivotButton="0" quotePrefix="0" xfId="0"/>
    <xf numFmtId="0" fontId="5" fillId="0" borderId="0" pivotButton="0" quotePrefix="0" xfId="0"/>
    <xf numFmtId="0" fontId="6" fillId="0" borderId="0" pivotButton="0" quotePrefix="0" xfId="0"/>
    <xf numFmtId="0" fontId="6" fillId="3" borderId="1" pivotButton="0" quotePrefix="0" xfId="0"/>
    <xf numFmtId="0" fontId="7" fillId="0" borderId="0" applyAlignment="1" pivotButton="0" quotePrefix="0" xfId="0">
      <alignment horizontal="left" vertical="top" wrapText="1"/>
    </xf>
    <xf numFmtId="9" fontId="6" fillId="0" borderId="0" pivotButton="0" quotePrefix="0" xfId="0"/>
    <xf numFmtId="9" fontId="0" fillId="0" borderId="0" pivotButton="0" quotePrefix="0" xfId="0"/>
    <xf numFmtId="168" fontId="6" fillId="0" borderId="0" pivotButton="0" quotePrefix="0" xfId="0"/>
    <xf numFmtId="168" fontId="0" fillId="0" borderId="0" pivotButton="0" quotePrefix="0" xfId="0"/>
    <xf numFmtId="0" fontId="7" fillId="0" borderId="0" pivotButton="0" quotePrefix="0" xfId="0"/>
    <xf numFmtId="0" fontId="29" fillId="0" borderId="0" applyAlignment="1" pivotButton="0" quotePrefix="0" xfId="0">
      <alignment horizontal="left" vertical="top" wrapText="1"/>
    </xf>
    <xf numFmtId="0" fontId="0" fillId="0" borderId="6" pivotButton="0" quotePrefix="0" xfId="0"/>
    <xf numFmtId="0" fontId="0" fillId="0" borderId="7" pivotButton="0" quotePrefix="0" xfId="0"/>
    <xf numFmtId="0" fontId="0" fillId="0" borderId="3" pivotButton="0" quotePrefix="0" xfId="0"/>
    <xf numFmtId="164" fontId="2" fillId="0" borderId="2" applyAlignment="1" pivotButton="0" quotePrefix="0" xfId="0">
      <alignment horizontal="center" vertical="center" wrapText="1"/>
    </xf>
    <xf numFmtId="165" fontId="31" fillId="0" borderId="0" pivotButton="0" quotePrefix="0" xfId="0"/>
    <xf numFmtId="164" fontId="29" fillId="0" borderId="0" applyAlignment="1" pivotButton="0" quotePrefix="0" xfId="0">
      <alignment horizontal="center" vertical="center" wrapText="1"/>
    </xf>
    <xf numFmtId="166" fontId="4" fillId="0" borderId="0" pivotButton="0" quotePrefix="0" xfId="0"/>
    <xf numFmtId="168" fontId="4" fillId="0" borderId="0" pivotButton="0" quotePrefix="0" xfId="0"/>
    <xf numFmtId="168" fontId="6" fillId="0" borderId="0" pivotButton="0" quotePrefix="0" xfId="0"/>
    <xf numFmtId="168" fontId="0" fillId="0" borderId="0" pivotButton="0" quotePrefix="0" xfId="0"/>
  </cellXfs>
  <cellStyles count="1">
    <cellStyle name="Normal" xfId="0" builtinId="0" hidden="0"/>
  </cellStyles>
  <dxfs count="11">
    <dxf>
      <fill>
        <patternFill patternType="solid">
          <fgColor rgb="00E60078"/>
        </patternFill>
      </fill>
    </dxf>
    <dxf>
      <font>
        <name val="Arial"/>
        <b val="1"/>
        <color rgb="00C75000"/>
        <sz val="16"/>
      </font>
    </dxf>
    <dxf>
      <font>
        <name val="Arial"/>
        <b val="1"/>
        <color rgb="001B2A4A"/>
        <sz val="26"/>
      </font>
    </dxf>
    <dxf>
      <fill>
        <patternFill patternType="solid">
          <fgColor rgb="00F4F6FA"/>
        </patternFill>
      </fill>
      <border>
        <left style="thin">
          <color rgb="00BBC7D9"/>
        </left>
        <right style="thin">
          <color rgb="00BBC7D9"/>
        </right>
        <top style="thin">
          <color rgb="00BBC7D9"/>
        </top>
        <bottom style="thin">
          <color rgb="00BBC7D9"/>
        </bottom>
      </border>
    </dxf>
    <dxf>
      <font>
        <name val="Arial"/>
        <b val="1"/>
        <color rgb="001B2A4A"/>
        <sz val="12"/>
      </font>
      <fill>
        <patternFill patternType="solid">
          <fgColor rgb="00DDEBF7"/>
        </patternFill>
      </fill>
    </dxf>
    <dxf>
      <fill>
        <patternFill patternType="solid">
          <fgColor rgb="001B2A4A"/>
        </patternFill>
      </fill>
    </dxf>
    <dxf>
      <font>
        <name val="Arial"/>
        <color rgb="002E7D32"/>
        <sz val="12"/>
      </font>
      <fill>
        <patternFill patternType="solid">
          <fgColor rgb="00E6F4EA"/>
        </patternFill>
      </fill>
    </dxf>
    <dxf>
      <font>
        <name val="Arial"/>
        <color rgb="00C75000"/>
        <sz val="12"/>
      </font>
      <fill>
        <patternFill patternType="solid">
          <fgColor rgb="00FFF4E5"/>
        </patternFill>
      </fill>
    </dxf>
    <dxf>
      <fill>
        <patternFill patternType="solid">
          <fgColor rgb="00F4F6FA"/>
        </patternFill>
      </fill>
    </dxf>
    <dxf>
      <font>
        <name val="Arial"/>
        <color rgb="002E7D32"/>
        <sz val="11"/>
      </font>
    </dxf>
    <dxf>
      <font>
        <name val="Arial"/>
        <color rgb="00C75000"/>
        <sz val="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plotArea>
      <lineChart>
        <grouping val="standard"/>
        <ser>
          <idx val="0"/>
          <order val="0"/>
          <tx>
            <v>Wave 1 answer</v>
          </tx>
          <spPr>
            <a:ln xmlns:a="http://schemas.openxmlformats.org/drawingml/2006/main" w="22000">
              <a:solidFill>
                <a:srgbClr val="9E9E9E"/>
              </a:solidFill>
              <a:prstDash val="dash"/>
            </a:ln>
          </spPr>
          <marker>
            <symbol val="none"/>
            <spPr>
              <a:ln xmlns:a="http://schemas.openxmlformats.org/drawingml/2006/main">
                <a:prstDash val="solid"/>
              </a:ln>
            </spPr>
          </marker>
          <cat>
            <numRef>
              <f>'Under the bonnet'!$A$6:$A$153</f>
            </numRef>
          </cat>
          <val>
            <numRef>
              <f>'Under the bonnet'!$BJ$6:$BJ$153</f>
            </numRef>
          </val>
          <smooth val="0"/>
        </ser>
        <ser>
          <idx val="1"/>
          <order val="1"/>
          <tx>
            <v>Your model</v>
          </tx>
          <spPr>
            <a:ln xmlns:a="http://schemas.openxmlformats.org/drawingml/2006/main" w="22000">
              <a:solidFill>
                <a:srgbClr val="009CEE"/>
              </a:solidFill>
              <a:prstDash val="solid"/>
            </a:ln>
          </spPr>
          <marker>
            <symbol val="none"/>
            <spPr>
              <a:ln xmlns:a="http://schemas.openxmlformats.org/drawingml/2006/main">
                <a:prstDash val="solid"/>
              </a:ln>
            </spPr>
          </marker>
          <cat>
            <numRef>
              <f>'Under the bonnet'!$A$6:$A$153</f>
            </numRef>
          </cat>
          <val>
            <numRef>
              <f>'Under the bonnet'!$BK$6:$BK$153</f>
            </numRef>
          </val>
          <smooth val="0"/>
        </ser>
        <ser>
          <idx val="2"/>
          <order val="2"/>
          <tx>
            <v>Real sign-ups</v>
          </tx>
          <spPr>
            <a:ln xmlns:a="http://schemas.openxmlformats.org/drawingml/2006/main" w="22000">
              <a:solidFill>
                <a:srgbClr val="E60078"/>
              </a:solidFill>
              <a:prstDash val="solid"/>
            </a:ln>
          </spPr>
          <marker>
            <symbol val="none"/>
            <spPr>
              <a:ln xmlns:a="http://schemas.openxmlformats.org/drawingml/2006/main">
                <a:prstDash val="solid"/>
              </a:ln>
            </spPr>
          </marker>
          <cat>
            <numRef>
              <f>'Under the bonnet'!$A$6:$A$153</f>
            </numRef>
          </cat>
          <val>
            <numRef>
              <f>'Under the bonnet'!$D$6:$D$153</f>
            </numRef>
          </val>
          <smooth val="0"/>
        </ser>
        <axId val="10"/>
        <axId val="100"/>
      </lineChart>
      <barChart>
        <barDir val="col"/>
        <grouping val="clustered"/>
        <ser>
          <idx val="3"/>
          <order val="3"/>
          <tx>
            <v>Adverts spend £k</v>
          </tx>
          <spPr>
            <a:solidFill xmlns:a="http://schemas.openxmlformats.org/drawingml/2006/main">
              <a:srgbClr val="D9D9D9"/>
            </a:solidFill>
            <a:ln xmlns:a="http://schemas.openxmlformats.org/drawingml/2006/main">
              <a:solidFill>
                <a:srgbClr val="D9D9D9"/>
              </a:solidFill>
              <a:prstDash val="solid"/>
            </a:ln>
          </spPr>
          <cat>
            <numRef>
              <f>'Under the bonnet'!$A$6:$A$153</f>
            </numRef>
          </cat>
          <val>
            <numRef>
              <f>'Under the bonnet'!$BL$6:$BL$153</f>
            </numRef>
          </val>
        </ser>
        <gapWidth val="30"/>
        <axId val="10"/>
        <axId val="200"/>
      </barChart>
      <catAx>
        <axId val="10"/>
        <scaling>
          <orientation val="minMax"/>
        </scaling>
        <delete val="0"/>
        <axPos val="l"/>
        <numFmt formatCode="mmm yy" sourceLinked="0"/>
        <majorTickMark val="none"/>
        <minorTickMark val="none"/>
        <crossAx val="100"/>
        <lblOffset val="100"/>
        <tickLblSkip val="13"/>
      </catAx>
      <valAx>
        <axId val="100"/>
        <scaling>
          <orientation val="minMax"/>
        </scaling>
        <delete val="0"/>
        <axPos val="l"/>
        <title>
          <tx>
            <rich>
              <a:bodyPr xmlns:a="http://schemas.openxmlformats.org/drawingml/2006/main"/>
              <a:p xmlns:a="http://schemas.openxmlformats.org/drawingml/2006/main">
                <a:pPr>
                  <a:defRPr/>
                </a:pPr>
                <a:r>
                  <a:t>Sign-ups a week</a:t>
                </a:r>
              </a:p>
            </rich>
          </tx>
        </title>
        <numFmt formatCode="#,##0" sourceLinked="0"/>
        <majorTickMark val="none"/>
        <minorTickMark val="none"/>
        <crossAx val="10"/>
      </valAx>
      <valAx>
        <axId val="200"/>
        <scaling>
          <orientation val="minMax"/>
          <max val="1200"/>
          <min val="0"/>
        </scaling>
        <delete val="1"/>
        <axPos val="l"/>
        <numFmt formatCode="#,##0" sourceLinked="0"/>
        <majorTickMark val="none"/>
        <minorTickMark val="none"/>
        <crossAx val="10"/>
        <crosses val="max"/>
      </valAx>
    </plotArea>
    <legend>
      <legendPos val="b"/>
    </legend>
    <plotVisOnly val="1"/>
    <dispBlanksAs val="gap"/>
  </chart>
</chartSpace>
</file>

<file path=xl/charts/chart2.xml><?xml version="1.0" encoding="utf-8"?>
<chartSpace xmlns="http://schemas.openxmlformats.org/drawingml/2006/chart">
  <chart>
    <plotArea>
      <barChart>
        <barDir val="col"/>
        <grouping val="clustered"/>
        <ser>
          <idx val="0"/>
          <order val="0"/>
          <tx>
            <v>All CRUK media £k</v>
          </tx>
          <spPr>
            <a:solidFill xmlns:a="http://schemas.openxmlformats.org/drawingml/2006/main">
              <a:srgbClr val="D9D9D9"/>
            </a:solidFill>
            <a:ln xmlns:a="http://schemas.openxmlformats.org/drawingml/2006/main">
              <a:prstDash val="solid"/>
            </a:ln>
          </spPr>
          <cat>
            <numRef>
              <f>'Under the bonnet'!$A$6:$A$153</f>
            </numRef>
          </cat>
          <val>
            <numRef>
              <f>'Under the bonnet'!$BW$6:$BW$153</f>
            </numRef>
          </val>
        </ser>
        <gapWidth val="30"/>
        <axId val="10"/>
        <axId val="100"/>
      </barChart>
      <lineChart>
        <grouping val="standard"/>
        <ser>
          <idx val="1"/>
          <order val="1"/>
          <tx>
            <v>Brand consideration</v>
          </tx>
          <spPr>
            <a:ln xmlns:a="http://schemas.openxmlformats.org/drawingml/2006/main" w="22000">
              <a:solidFill>
                <a:srgbClr val="E60078"/>
              </a:solidFill>
              <a:prstDash val="solid"/>
            </a:ln>
          </spPr>
          <marker>
            <symbol val="none"/>
            <spPr>
              <a:ln xmlns:a="http://schemas.openxmlformats.org/drawingml/2006/main">
                <a:prstDash val="solid"/>
              </a:ln>
            </spPr>
          </marker>
          <val>
            <numRef>
              <f>'Under the bonnet'!$BV$6:$BV$153</f>
            </numRef>
          </val>
          <smooth val="0"/>
        </ser>
        <axId val="10"/>
        <axId val="200"/>
      </lineChart>
      <catAx>
        <axId val="10"/>
        <scaling>
          <orientation val="minMax"/>
        </scaling>
        <delete val="0"/>
        <axPos val="l"/>
        <numFmt formatCode="mmm yy" sourceLinked="0"/>
        <majorTickMark val="none"/>
        <minorTickMark val="none"/>
        <crossAx val="100"/>
        <lblOffset val="100"/>
        <tickLblSkip val="13"/>
      </catAx>
      <valAx>
        <axId val="100"/>
        <scaling>
          <orientation val="minMax"/>
        </scaling>
        <delete val="0"/>
        <axPos val="l"/>
        <title>
          <tx>
            <rich>
              <a:bodyPr xmlns:a="http://schemas.openxmlformats.org/drawingml/2006/main"/>
              <a:p xmlns:a="http://schemas.openxmlformats.org/drawingml/2006/main">
                <a:pPr>
                  <a:defRPr/>
                </a:pPr>
                <a:r>
                  <a:t>All CRUK media £k a week</a:t>
                </a:r>
              </a:p>
            </rich>
          </tx>
        </title>
        <numFmt formatCode="#,##0" sourceLinked="0"/>
        <majorTickMark val="none"/>
        <minorTickMark val="none"/>
        <crossAx val="10"/>
      </valAx>
      <valAx>
        <axId val="200"/>
        <scaling>
          <orientation val="minMax"/>
          <max val="0.65"/>
          <min val="0.4"/>
        </scaling>
        <delete val="0"/>
        <axPos val="l"/>
        <title>
          <tx>
            <rich>
              <a:bodyPr xmlns:a="http://schemas.openxmlformats.org/drawingml/2006/main"/>
              <a:p xmlns:a="http://schemas.openxmlformats.org/drawingml/2006/main">
                <a:pPr>
                  <a:defRPr/>
                </a:pPr>
                <a:r>
                  <a:t>Consideration</a:t>
                </a:r>
              </a:p>
            </rich>
          </tx>
        </title>
        <numFmt formatCode="0%" sourceLinked="0"/>
        <majorTickMark val="none"/>
        <minorTickMark val="none"/>
        <crossAx val="10"/>
        <crosses val="max"/>
      </valAx>
    </plotArea>
    <legend>
      <legendPos val="b"/>
    </legend>
    <plotVisOnly val="1"/>
    <dispBlanksAs val="gap"/>
  </chart>
</chartSpace>
</file>

<file path=xl/charts/chart3.xml><?xml version="1.0" encoding="utf-8"?>
<chartSpace xmlns="http://schemas.openxmlformats.org/drawingml/2006/chart">
  <chart>
    <plotArea>
      <barChart>
        <barDir val="bar"/>
        <grouping val="clustered"/>
        <ser>
          <idx val="0"/>
          <order val="0"/>
          <tx>
            <strRef>
              <f>'Giving'!AD10</f>
            </strRef>
          </tx>
          <spPr>
            <a:solidFill xmlns:a="http://schemas.openxmlformats.org/drawingml/2006/main">
              <a:srgbClr val="E60078"/>
            </a:solidFill>
            <a:ln xmlns:a="http://schemas.openxmlformats.org/drawingml/2006/main">
              <a:prstDash val="solid"/>
            </a:ln>
          </spPr>
          <invertIfNegative val="0"/>
          <cat>
            <numRef>
              <f>'Giving'!$AC$11:$AC$19</f>
            </numRef>
          </cat>
          <val>
            <numRef>
              <f>'Giving'!$AD$11:$AD$19</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1</col>
      <colOff>0</colOff>
      <row>9</row>
      <rowOff>0</rowOff>
    </from>
    <ext cx="70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9</row>
      <rowOff>0</rowOff>
    </from>
    <ext cx="70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col>
      <colOff>0</colOff>
      <row>9</row>
      <rowOff>0</rowOff>
    </from>
    <ext cx="70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Sheet1">
    <tabColor rgb="00E60078"/>
    <outlinePr summaryBelow="1" summaryRight="1"/>
    <pageSetUpPr fitToPage="1"/>
  </sheetPr>
  <dimension ref="B2:Z55"/>
  <sheetViews>
    <sheetView showGridLines="0" zoomScale="100" workbookViewId="0">
      <selection activeCell="A1" sqref="A1"/>
    </sheetView>
  </sheetViews>
  <sheetFormatPr baseColWidth="8" defaultRowHeight="15"/>
  <cols>
    <col width="2" customWidth="1" min="1" max="1"/>
    <col width="5.2" customWidth="1" min="2" max="2"/>
    <col width="5.2" customWidth="1" min="3" max="3"/>
    <col width="5.2"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5.2" customWidth="1" min="17" max="17"/>
    <col width="5.2" customWidth="1" min="18" max="18"/>
    <col width="2" customWidth="1" min="19" max="19"/>
    <col width="40" customWidth="1" min="20" max="20"/>
    <col width="5.5" customWidth="1" min="21" max="21"/>
    <col width="5.5" customWidth="1" min="22" max="22"/>
    <col width="5.5" customWidth="1" min="23" max="23"/>
    <col width="7" customWidth="1" min="24" max="24"/>
    <col width="7" customWidth="1" min="25" max="25"/>
    <col width="7" customWidth="1" min="26" max="26"/>
    <col width="2" customWidth="1" min="27" max="27"/>
  </cols>
  <sheetData>
    <row r="1" ht="8" customHeight="1"/>
    <row r="2" ht="20" customHeight="1">
      <c r="B2" s="1">
        <f>"Chapter "&amp;INDEX(Steps!$B$2:$B$23,State!$B$1)&amp;"  ·  "&amp;INDEX(Steps!$C$2:$C$23,State!$B$1)</f>
        <v/>
      </c>
      <c r="T2" s="2">
        <f>REPT("★",State!$B$28)&amp;REPT("☆",10-State!$B$28)</f>
        <v/>
      </c>
    </row>
    <row r="3" ht="7" customHeight="1">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row>
    <row r="4" ht="8" customHeight="1"/>
    <row r="5" ht="40" customHeight="1">
      <c r="B5" s="4">
        <f>INDEX(Steps!$D$2:$D$23,State!$B$1)</f>
        <v/>
      </c>
    </row>
    <row r="6" ht="6" customHeight="1"/>
    <row r="7" ht="48" customHeight="1">
      <c r="B7" s="5">
        <f>INDEX(Steps!$E$2:$E$23,State!$B$1)</f>
        <v/>
      </c>
    </row>
    <row r="8" ht="8" customHeight="1"/>
    <row r="9" ht="10" customHeight="1">
      <c r="B9" s="6">
        <f>"Real sign-ups (pink) and your model (blue), "&amp;IF(State!$B$44=1,"with adverts spend as grey bars","week by week")</f>
        <v/>
      </c>
    </row>
    <row r="10" ht="26" customHeight="1">
      <c r="T10" s="6">
        <f>IF(State!$B$33="dial","Your number",IF(State!$B$33="quiz","Tap one",IF(State!$B$33="dials5","Sign-ups per £1,000",IF(State!$B$33="tests","Four tests",""))))</f>
        <v/>
      </c>
      <c r="X10" s="7">
        <f>IF(State!$B$33="tests","Yours","")</f>
        <v/>
      </c>
      <c r="Y10" s="7">
        <f>IF(State!$B$33="tests","Wave 1","")</f>
        <v/>
      </c>
    </row>
    <row r="11" ht="26" customHeight="1">
      <c r="T11" s="8">
        <f>IF(State!$B$33="dial",TEXT(State!$B$37,State!$B$45),IF(State!$B$33="quiz","A.   "&amp;INDEX(Steps!$O$2:$O$23,State!$B$1),IF(State!$B$33="dials5","TV:  "&amp;TEXT(State!$B$8,"0.0")&amp;" per £1,000",IF(State!$B$33="tests","Pattern explained",""))))</f>
        <v/>
      </c>
      <c r="U11" s="9">
        <f>IF(State!$B$33="dials5","−","")</f>
        <v/>
      </c>
      <c r="V11" s="9">
        <f>IF(State!$B$33="dials5","+","")</f>
        <v/>
      </c>
      <c r="W11" s="10">
        <f>IF(State!$B$33="dials5",IF(State!$B$8&lt;Answers!$E$16*(1-Answers!$C$13),"↑",IF(State!$B$8&gt;Answers!$E$16*(1+Answers!$C$13),"↓","✓")),"")</f>
        <v/>
      </c>
      <c r="X11" s="11">
        <f>IF(State!$B$33="tests",TEXT(State!$B$75,"0%"),"")</f>
        <v/>
      </c>
      <c r="Y11" s="12">
        <f>IF(State!$B$33="tests",IF(ISNUMBER(State!$C$75),TEXT(State!$C$75,"0%"),"–"),"")</f>
        <v/>
      </c>
      <c r="Z11" s="13">
        <f>IF(State!$B$33="tests",IF(State!$B$70=1,"●","●"),"")</f>
        <v/>
      </c>
    </row>
    <row r="12" ht="26" customHeight="1">
      <c r="T12" s="8">
        <f>IF(State!$B$33="dials5","Online video:  "&amp;TEXT(State!$B$9,"0.0")&amp;" per £1,000",IF(State!$B$33="tests","Typical weekly miss",""))</f>
        <v/>
      </c>
      <c r="U12" s="9">
        <f>IF(State!$B$33="dials5","−","")</f>
        <v/>
      </c>
      <c r="V12" s="9">
        <f>IF(State!$B$33="dials5","+","")</f>
        <v/>
      </c>
      <c r="W12" s="10">
        <f>IF(State!$B$33="dials5",IF(State!$B$9&lt;Answers!$E$17*(1-Answers!$C$13),"↑",IF(State!$B$9&gt;Answers!$E$17*(1+Answers!$C$13),"↓","✓")),"")</f>
        <v/>
      </c>
      <c r="X12" s="11">
        <f>IF(State!$B$33="tests",TEXT(State!$B$76,"0%"),"")</f>
        <v/>
      </c>
      <c r="Y12" s="12">
        <f>IF(State!$B$33="tests",IF(ISNUMBER(State!$C$76),TEXT(State!$C$76,"0%"),"–"),"")</f>
        <v/>
      </c>
      <c r="Z12" s="13">
        <f>IF(State!$B$33="tests",IF(State!$B$71=1,"●","●"),"")</f>
        <v/>
      </c>
    </row>
    <row r="13" ht="26" customHeight="1">
      <c r="T13" s="8">
        <f>IF(State!$B$33="quiz","B.   "&amp;INDEX(Steps!$P$2:$P$23,State!$B$1),IF(State!$B$33="dials5","Radio:  "&amp;TEXT(State!$B$10,"0.0")&amp;" per £1,000",IF(State!$B$33="tests","Predicts 2025","")))</f>
        <v/>
      </c>
      <c r="U13" s="9">
        <f>IF(State!$B$33="dials5","−","")</f>
        <v/>
      </c>
      <c r="V13" s="9">
        <f>IF(State!$B$33="dials5","+","")</f>
        <v/>
      </c>
      <c r="W13" s="10">
        <f>IF(State!$B$33="dials5",IF(State!$B$10&lt;Answers!$E$18*(1-Answers!$C$13),"↑",IF(State!$B$10&gt;Answers!$E$18*(1+Answers!$C$13),"↓","✓")),"")</f>
        <v/>
      </c>
      <c r="X13" s="11">
        <f>IF(State!$B$33="tests",TEXT(State!$B$77,"0%"),"")</f>
        <v/>
      </c>
      <c r="Y13" s="12">
        <f>IF(State!$B$33="tests",IF(ISNUMBER(State!$C$77),TEXT(State!$C$77,"0%"),"–"),"")</f>
        <v/>
      </c>
      <c r="Z13" s="13">
        <f>IF(State!$B$33="tests",IF(State!$B$72=1,"●","●"),"")</f>
        <v/>
      </c>
    </row>
    <row r="14" ht="26" customHeight="1">
      <c r="T14" s="8">
        <f>IF(State!$B$33="dials5","Posters:  "&amp;TEXT(State!$B$11,"0.0")&amp;" per £1,000",IF(State!$B$33="tests","Unexplained 2025 change",""))</f>
        <v/>
      </c>
      <c r="U14" s="9">
        <f>IF(State!$B$33="dials5","−","")</f>
        <v/>
      </c>
      <c r="V14" s="9">
        <f>IF(State!$B$33="dials5","+","")</f>
        <v/>
      </c>
      <c r="W14" s="10">
        <f>IF(State!$B$33="dials5",IF(State!$B$11&lt;Answers!$E$19*(1-Answers!$C$13),"↑",IF(State!$B$11&gt;Answers!$E$19*(1+Answers!$C$13),"↓","✓")),"")</f>
        <v/>
      </c>
      <c r="X14" s="11">
        <f>IF(State!$B$33="tests",TEXT(State!$B$78,"0.0%"),"")</f>
        <v/>
      </c>
      <c r="Y14" s="12">
        <f>IF(State!$B$33="tests",IF(ISNUMBER(State!$C$78),TEXT(State!$C$78,"0.0%"),"–"),"")</f>
        <v/>
      </c>
      <c r="Z14" s="13">
        <f>IF(State!$B$33="tests",IF(State!$B$73=1,"●","●"),"")</f>
        <v/>
      </c>
    </row>
    <row r="15" ht="26" customHeight="1">
      <c r="T15" s="8">
        <f>IF(State!$B$33="quiz","C.   "&amp;INDEX(Steps!$Q$2:$Q$23,State!$B$1),IF(State!$B$33="dials5","Digital and social:  "&amp;TEXT(State!$B$12,"0.0")&amp;" per £1,000",""))</f>
        <v/>
      </c>
      <c r="U15" s="9">
        <f>IF(State!$B$33="dials5","−","")</f>
        <v/>
      </c>
      <c r="V15" s="9">
        <f>IF(State!$B$33="dials5","+","")</f>
        <v/>
      </c>
      <c r="W15" s="10">
        <f>IF(State!$B$33="dials5",IF(State!$B$12&lt;Answers!$E$20*(1-Answers!$C$13),"↑",IF(State!$B$12&gt;Answers!$E$20*(1+Answers!$C$13),"↓","✓")),"")</f>
        <v/>
      </c>
    </row>
    <row r="16" ht="34" customHeight="1">
      <c r="T16" s="14">
        <f>IF(State!$B$33="dial",INDEX(Steps!$V$2:$V$23,State!$B$1),"")</f>
        <v/>
      </c>
      <c r="U16" s="15">
        <f>IF(State!$B$33="dial","−−","")</f>
        <v/>
      </c>
      <c r="V16" s="15">
        <f>IF(State!$B$33="dial","−","")</f>
        <v/>
      </c>
      <c r="X16" s="15">
        <f>IF(State!$B$33="dial","+","")</f>
        <v/>
      </c>
      <c r="Y16" s="15">
        <f>IF(State!$B$33="dial","++","")</f>
        <v/>
      </c>
    </row>
    <row r="17" ht="26" customHeight="1"/>
    <row r="18" ht="60" customHeight="1">
      <c r="T18" s="16">
        <f>IF(State!$B$33="dial",IF(State!$B$37=0,"Tap + to start."&amp;IF(State!$B$15=1," "&amp;INDEX(Steps!$M$2:$M$23,State!$B$1),""),IF(State!$B$41=0,"↑ Higher."&amp;IF(State!$B$15=1," "&amp;INDEX(Steps!$M$2:$M$23,State!$B$1),""),IF(State!$B$41=2,"↓ Lower."&amp;IF(State!$B$15=1," "&amp;INDEX(Steps!$M$2:$M$23,State!$B$1),""),"✓ "&amp;INDEX(Steps!$L$2:$L$23,State!$B$1)))),IF(State!$B$33="quiz",IF(State!$B$39=0,"Pick one.",IF(State!$B$39=State!$B$40,"✓ "&amp;INDEX(Steps!$L$2:$L$23,State!$B$1),"✗ Not quite. "&amp;INDEX(Steps!$M$2:$M$23,State!$B$1))),IF(State!$B$33="dials5",IF(AND(W11="✓",W12="✓",W13="✓",W14="✓",W15="✓"),"✓ "&amp;INDEX(Steps!$L$2:$L$23,State!$B$1),IF(State!$B$15=1,INDEX(Steps!$M$2:$M$23,State!$B$1),"Tap − and + on each channel until five ticks show.")),IF(State!$B$33="tests",IF(State!$B$47=1,"✓ "&amp;INDEX(Steps!$L$2:$L$23,State!$B$1),INDEX(Steps!$M$2:$M$23,State!$B$1)),INDEX(Steps!$L$2:$L$23,State!$B$1)))))</f>
        <v/>
      </c>
    </row>
    <row r="19" ht="26" customHeight="1"/>
    <row r="20" ht="26" customHeight="1"/>
    <row r="21" ht="26" customHeight="1"/>
    <row r="22" ht="26" customHeight="1"/>
    <row r="23" ht="24" customHeight="1">
      <c r="T23" s="17">
        <f>IF(OR(LEFT(T18,1)="✓",State!$B$33="info"),IF(INDEX(Steps!$N$2:$N$23,State!$B$1)="","","Economists call this: "&amp;INDEX(Steps!$N$2:$N$23,State!$B$1)),"")</f>
        <v/>
      </c>
    </row>
    <row r="24" ht="26" customHeight="1"/>
    <row r="25" ht="24" customHeight="1">
      <c r="T25" s="14">
        <f>IF(State!$B$43&gt;=3,"Pattern explained so far: "&amp;TEXT(State!$B$42,"0%"),"")</f>
        <v/>
      </c>
    </row>
    <row r="26" ht="26" customHeight="1"/>
    <row r="27" ht="24" customHeight="1">
      <c r="T27" s="18">
        <f>IF(State!$B$14=1,IF(State!$B$33="dial","Wave 1's number: "&amp;TEXT(State!$B$35,State!$B$45),IF(State!$B$33="dials5","Wave 1: "&amp;TEXT(Answers!E16,"0.0")&amp;", "&amp;TEXT(Answers!E17,"0.0")&amp;", "&amp;TEXT(Answers!E18,"0.0")&amp;", "&amp;TEXT(Answers!E19,"0.0")&amp;", "&amp;TEXT(Answers!E20,"0.0"),IF(State!$B$33="quiz","Wave 1's answer: "&amp;CHOOSE(State!$B$40,"A","B","C"),"Wave 1's model is the grey dashed line."))),"")</f>
        <v/>
      </c>
    </row>
    <row r="28" ht="10" customHeight="1"/>
    <row r="29" ht="34" customHeight="1">
      <c r="B29" s="19" t="inlineStr">
        <is>
          <t>◀  Back</t>
        </is>
      </c>
      <c r="C29" s="67" t="n"/>
      <c r="D29" s="67" t="n"/>
      <c r="E29" s="68" t="n"/>
      <c r="G29" s="19">
        <f>IF(State!$B$15=1,"Hide hint","Hint")</f>
        <v/>
      </c>
      <c r="H29" s="67" t="n"/>
      <c r="I29" s="67" t="n"/>
      <c r="J29" s="68" t="n"/>
      <c r="L29" s="19">
        <f>IF(State!$B$14=1,"Hide answer","Show answer")</f>
        <v/>
      </c>
      <c r="M29" s="67" t="n"/>
      <c r="N29" s="67" t="n"/>
      <c r="O29" s="68" t="n"/>
      <c r="Q29" s="19" t="inlineStr">
        <is>
          <t>↺</t>
        </is>
      </c>
      <c r="R29" s="68" t="n"/>
      <c r="T29" s="21" t="inlineStr">
        <is>
          <t>Next  ▶</t>
        </is>
      </c>
      <c r="U29" s="67" t="n"/>
      <c r="V29" s="67" t="n"/>
      <c r="W29" s="67" t="n"/>
      <c r="X29" s="67" t="n"/>
      <c r="Y29" s="67" t="n"/>
      <c r="Z29" s="68" t="n"/>
    </row>
    <row r="30" ht="8" customHeight="1"/>
    <row r="31" ht="8" customHeight="1">
      <c r="B31" s="6">
        <f>IF(State!$B$33="dial","Tip: −− and ++ move in bigger steps.","")</f>
        <v/>
      </c>
      <c r="Q31" s="22" t="inlineStr">
        <is>
          <t>Start again</t>
        </is>
      </c>
    </row>
    <row r="32" ht="20" customHeight="1">
      <c r="B32" s="1">
        <f>"Chapter 8  ·  The next pound"</f>
        <v/>
      </c>
      <c r="T32" s="2">
        <f>REPT("★",State!$B$28)&amp;REPT("☆",10-State!$B$28)</f>
        <v/>
      </c>
    </row>
    <row r="33" ht="7" customHeight="1">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40" customHeight="1">
      <c r="B34" s="4" t="inlineStr">
        <is>
          <t>Where should the next pound go?</t>
        </is>
      </c>
    </row>
    <row r="35" ht="48" customHeight="1">
      <c r="B35" s="5" t="inlineStr">
        <is>
          <t>The third biscuit never tastes like the first: each extra £1 on a channel earns a little less. Tap − and + to move money. Keep the total. Beat the 2025 plan.</t>
        </is>
      </c>
    </row>
    <row r="36" ht="8" customHeight="1"/>
    <row r="37" ht="22" customHeight="1">
      <c r="B37" s="23" t="inlineStr">
        <is>
          <t>Channel</t>
        </is>
      </c>
      <c r="G37" s="23" t="inlineStr">
        <is>
          <t>2025 £k</t>
        </is>
      </c>
      <c r="J37" s="23" t="inlineStr">
        <is>
          <t>Your £k</t>
        </is>
      </c>
      <c r="M37" s="23" t="inlineStr"/>
      <c r="N37" s="23" t="inlineStr"/>
      <c r="O37" s="23" t="inlineStr">
        <is>
          <t>Sign-ups</t>
        </is>
      </c>
      <c r="Q37" s="23" t="inlineStr">
        <is>
          <t>Return per £1</t>
        </is>
      </c>
      <c r="T37" s="6" t="inlineStr">
        <is>
          <t>Extra sign-ups against the 2025 plan</t>
        </is>
      </c>
    </row>
    <row r="38" ht="24" customHeight="1">
      <c r="B38" s="24" t="inlineStr">
        <is>
          <t>DRTV</t>
        </is>
      </c>
      <c r="C38" s="69" t="n"/>
      <c r="D38" s="69" t="n"/>
      <c r="E38" s="69" t="n"/>
      <c r="F38" s="69" t="n"/>
      <c r="G38" s="25">
        <f>State!$C$51</f>
        <v/>
      </c>
      <c r="H38" s="69" t="n"/>
      <c r="I38" s="69" t="n"/>
      <c r="J38" s="26">
        <f>IF(State!$B$64=1,State!$E$51,State!$B$51)</f>
        <v/>
      </c>
      <c r="K38" s="69" t="n"/>
      <c r="L38" s="69" t="n"/>
      <c r="M38" s="27" t="inlineStr">
        <is>
          <t>−</t>
        </is>
      </c>
      <c r="N38" s="27" t="inlineStr">
        <is>
          <t>+</t>
        </is>
      </c>
      <c r="O38" s="28">
        <f>IF(J38&lt;=0,0,(State!$D$51*State!$C$51*1000/90)/SQRT(State!$C$51)*SQRT(J38))</f>
        <v/>
      </c>
      <c r="P38" s="69" t="n"/>
      <c r="Q38" s="70">
        <f>IF(J38&lt;=0,0,O38*State!$B$48/1000/J38)</f>
        <v/>
      </c>
      <c r="R38" s="69" t="n"/>
      <c r="T38" s="71">
        <f>O51-SUMPRODUCT(State!$D$51:$D$63,State!$C$51:$C$63)*1000/90</f>
        <v/>
      </c>
    </row>
    <row r="39" ht="24" customHeight="1">
      <c r="B39" s="24" t="inlineStr">
        <is>
          <t>Online video</t>
        </is>
      </c>
      <c r="C39" s="69" t="n"/>
      <c r="D39" s="69" t="n"/>
      <c r="E39" s="69" t="n"/>
      <c r="F39" s="69" t="n"/>
      <c r="G39" s="25">
        <f>State!$C$52</f>
        <v/>
      </c>
      <c r="H39" s="69" t="n"/>
      <c r="I39" s="69" t="n"/>
      <c r="J39" s="26">
        <f>IF(State!$B$64=1,State!$E$52,State!$B$52)</f>
        <v/>
      </c>
      <c r="K39" s="69" t="n"/>
      <c r="L39" s="69" t="n"/>
      <c r="M39" s="27" t="inlineStr">
        <is>
          <t>−</t>
        </is>
      </c>
      <c r="N39" s="27" t="inlineStr">
        <is>
          <t>+</t>
        </is>
      </c>
      <c r="O39" s="28">
        <f>IF(J39&lt;=0,0,(State!$D$52*State!$C$52*1000/90)/SQRT(State!$C$52)*SQRT(J39))</f>
        <v/>
      </c>
      <c r="P39" s="69" t="n"/>
      <c r="Q39" s="70">
        <f>IF(J39&lt;=0,0,O39*State!$B$48/1000/J39)</f>
        <v/>
      </c>
      <c r="R39" s="69" t="n"/>
      <c r="T39" s="31">
        <f>IF(ABS(J51-G51)&lt;=10,"Same total as 2025. Good.",IF(J51&gt;G51,"Over budget by £"&amp;TEXT(J51-G51,"#,##0")&amp;"k. Take some back.","Under budget by £"&amp;TEXT(G51-J51,"#,##0")&amp;"k. Spend it."))</f>
        <v/>
      </c>
    </row>
    <row r="40" ht="24" customHeight="1">
      <c r="B40" s="24" t="inlineStr">
        <is>
          <t>Radio</t>
        </is>
      </c>
      <c r="C40" s="69" t="n"/>
      <c r="D40" s="69" t="n"/>
      <c r="E40" s="69" t="n"/>
      <c r="F40" s="69" t="n"/>
      <c r="G40" s="25">
        <f>State!$C$53</f>
        <v/>
      </c>
      <c r="H40" s="69" t="n"/>
      <c r="I40" s="69" t="n"/>
      <c r="J40" s="26">
        <f>IF(State!$B$64=1,State!$E$53,State!$B$53)</f>
        <v/>
      </c>
      <c r="K40" s="69" t="n"/>
      <c r="L40" s="69" t="n"/>
      <c r="M40" s="27" t="inlineStr">
        <is>
          <t>−</t>
        </is>
      </c>
      <c r="N40" s="27" t="inlineStr">
        <is>
          <t>+</t>
        </is>
      </c>
      <c r="O40" s="28">
        <f>IF(J40&lt;=0,0,(State!$D$53*State!$C$53*1000/90)/SQRT(State!$C$53)*SQRT(J40))</f>
        <v/>
      </c>
      <c r="P40" s="69" t="n"/>
      <c r="Q40" s="70">
        <f>IF(J40&lt;=0,0,O40*State!$B$48/1000/J40)</f>
        <v/>
      </c>
      <c r="R40" s="69" t="n"/>
      <c r="T40" s="16">
        <f>IF(ABS(J51-G51)&gt;10,"Fix the total first.",IF(T38&gt;=1000,"✓ You found "&amp;TEXT(T38,"#,##0")&amp;" extra sign-ups on the same money. The most this table allows is about 2,000.","Move money from the weakest channel to the strongest. Find 1,000 more."))</f>
        <v/>
      </c>
    </row>
    <row r="41" ht="24" customHeight="1">
      <c r="B41" s="24" t="inlineStr">
        <is>
          <t>Paid social</t>
        </is>
      </c>
      <c r="C41" s="69" t="n"/>
      <c r="D41" s="69" t="n"/>
      <c r="E41" s="69" t="n"/>
      <c r="F41" s="69" t="n"/>
      <c r="G41" s="25">
        <f>State!$C$54</f>
        <v/>
      </c>
      <c r="H41" s="69" t="n"/>
      <c r="I41" s="69" t="n"/>
      <c r="J41" s="26">
        <f>IF(State!$B$64=1,State!$E$54,State!$B$54)</f>
        <v/>
      </c>
      <c r="K41" s="69" t="n"/>
      <c r="L41" s="69" t="n"/>
      <c r="M41" s="27" t="inlineStr">
        <is>
          <t>−</t>
        </is>
      </c>
      <c r="N41" s="27" t="inlineStr">
        <is>
          <t>+</t>
        </is>
      </c>
      <c r="O41" s="28">
        <f>IF(J41&lt;=0,0,(State!$D$54*State!$C$54*1000/90)/SQRT(State!$C$54)*SQRT(J41))</f>
        <v/>
      </c>
      <c r="P41" s="69" t="n"/>
      <c r="Q41" s="70">
        <f>IF(J41&lt;=0,0,O41*State!$B$48/1000/J41)</f>
        <v/>
      </c>
      <c r="R41" s="69" t="n"/>
    </row>
    <row r="42" ht="24" customHeight="1">
      <c r="B42" s="24" t="inlineStr">
        <is>
          <t>Regional</t>
        </is>
      </c>
      <c r="C42" s="69" t="n"/>
      <c r="D42" s="69" t="n"/>
      <c r="E42" s="69" t="n"/>
      <c r="F42" s="69" t="n"/>
      <c r="G42" s="25">
        <f>State!$C$55</f>
        <v/>
      </c>
      <c r="H42" s="69" t="n"/>
      <c r="I42" s="69" t="n"/>
      <c r="J42" s="26">
        <f>IF(State!$B$64=1,State!$E$55,State!$B$55)</f>
        <v/>
      </c>
      <c r="K42" s="69" t="n"/>
      <c r="L42" s="69" t="n"/>
      <c r="M42" s="27" t="inlineStr">
        <is>
          <t>−</t>
        </is>
      </c>
      <c r="N42" s="27" t="inlineStr">
        <is>
          <t>+</t>
        </is>
      </c>
      <c r="O42" s="28">
        <f>IF(J42&lt;=0,0,(State!$D$55*State!$C$55*1000/90)/SQRT(State!$C$55)*SQRT(J42))</f>
        <v/>
      </c>
      <c r="P42" s="69" t="n"/>
      <c r="Q42" s="70">
        <f>IF(J42&lt;=0,0,O42*State!$B$48/1000/J42)</f>
        <v/>
      </c>
      <c r="R42" s="69" t="n"/>
    </row>
    <row r="43" ht="24" customHeight="1">
      <c r="B43" s="24" t="inlineStr">
        <is>
          <t>Posters</t>
        </is>
      </c>
      <c r="C43" s="69" t="n"/>
      <c r="D43" s="69" t="n"/>
      <c r="E43" s="69" t="n"/>
      <c r="F43" s="69" t="n"/>
      <c r="G43" s="25">
        <f>State!$C$56</f>
        <v/>
      </c>
      <c r="H43" s="69" t="n"/>
      <c r="I43" s="69" t="n"/>
      <c r="J43" s="26">
        <f>IF(State!$B$64=1,State!$E$56,State!$B$56)</f>
        <v/>
      </c>
      <c r="K43" s="69" t="n"/>
      <c r="L43" s="69" t="n"/>
      <c r="M43" s="27" t="inlineStr">
        <is>
          <t>−</t>
        </is>
      </c>
      <c r="N43" s="27" t="inlineStr">
        <is>
          <t>+</t>
        </is>
      </c>
      <c r="O43" s="28">
        <f>IF(J43&lt;=0,0,(State!$D$56*State!$C$56*1000/90)/SQRT(State!$C$56)*SQRT(J43))</f>
        <v/>
      </c>
      <c r="P43" s="69" t="n"/>
      <c r="Q43" s="70">
        <f>IF(J43&lt;=0,0,O43*State!$B$48/1000/J43)</f>
        <v/>
      </c>
      <c r="R43" s="69" t="n"/>
      <c r="T43" s="32">
        <f>IF(T38&gt;=1000,"Economists call this: marginal return","")</f>
        <v/>
      </c>
    </row>
    <row r="44" ht="24" customHeight="1">
      <c r="B44" s="24" t="inlineStr">
        <is>
          <t>Digital audio</t>
        </is>
      </c>
      <c r="C44" s="69" t="n"/>
      <c r="D44" s="69" t="n"/>
      <c r="E44" s="69" t="n"/>
      <c r="F44" s="69" t="n"/>
      <c r="G44" s="25">
        <f>State!$C$57</f>
        <v/>
      </c>
      <c r="H44" s="69" t="n"/>
      <c r="I44" s="69" t="n"/>
      <c r="J44" s="26">
        <f>IF(State!$B$64=1,State!$E$57,State!$B$57)</f>
        <v/>
      </c>
      <c r="K44" s="69" t="n"/>
      <c r="L44" s="69" t="n"/>
      <c r="M44" s="27" t="inlineStr">
        <is>
          <t>−</t>
        </is>
      </c>
      <c r="N44" s="27" t="inlineStr">
        <is>
          <t>+</t>
        </is>
      </c>
      <c r="O44" s="28">
        <f>IF(J44&lt;=0,0,(State!$D$57*State!$C$57*1000/90)/SQRT(State!$C$57)*SQRT(J44))</f>
        <v/>
      </c>
      <c r="P44" s="69" t="n"/>
      <c r="Q44" s="70">
        <f>IF(J44&lt;=0,0,O44*State!$B$48/1000/J44)</f>
        <v/>
      </c>
      <c r="R44" s="69" t="n"/>
    </row>
    <row r="45" ht="24" customHeight="1">
      <c r="B45" s="24" t="inlineStr">
        <is>
          <t>Display</t>
        </is>
      </c>
      <c r="C45" s="69" t="n"/>
      <c r="D45" s="69" t="n"/>
      <c r="E45" s="69" t="n"/>
      <c r="F45" s="69" t="n"/>
      <c r="G45" s="25">
        <f>State!$C$58</f>
        <v/>
      </c>
      <c r="H45" s="69" t="n"/>
      <c r="I45" s="69" t="n"/>
      <c r="J45" s="26">
        <f>IF(State!$B$64=1,State!$E$58,State!$B$58)</f>
        <v/>
      </c>
      <c r="K45" s="69" t="n"/>
      <c r="L45" s="69" t="n"/>
      <c r="M45" s="27" t="inlineStr">
        <is>
          <t>−</t>
        </is>
      </c>
      <c r="N45" s="27" t="inlineStr">
        <is>
          <t>+</t>
        </is>
      </c>
      <c r="O45" s="28">
        <f>IF(J45&lt;=0,0,(State!$D$58*State!$C$58*1000/90)/SQRT(State!$C$58)*SQRT(J45))</f>
        <v/>
      </c>
      <c r="P45" s="69" t="n"/>
      <c r="Q45" s="70">
        <f>IF(J45&lt;=0,0,O45*State!$B$48/1000/J45)</f>
        <v/>
      </c>
      <c r="R45" s="69" t="n"/>
      <c r="T45" s="33" t="inlineStr">
        <is>
          <t>The average £1 returned £1.66. The last £1 returned 82p. Should we add £1m to the same plan?</t>
        </is>
      </c>
    </row>
    <row r="46" ht="24" customHeight="1">
      <c r="B46" s="24" t="inlineStr">
        <is>
          <t>Paid search</t>
        </is>
      </c>
      <c r="C46" s="69" t="n"/>
      <c r="D46" s="69" t="n"/>
      <c r="E46" s="69" t="n"/>
      <c r="F46" s="69" t="n"/>
      <c r="G46" s="25">
        <f>State!$C$59</f>
        <v/>
      </c>
      <c r="H46" s="69" t="n"/>
      <c r="I46" s="69" t="n"/>
      <c r="J46" s="26">
        <f>IF(State!$B$64=1,State!$E$59,State!$B$59)</f>
        <v/>
      </c>
      <c r="K46" s="69" t="n"/>
      <c r="L46" s="69" t="n"/>
      <c r="M46" s="27" t="inlineStr">
        <is>
          <t>−</t>
        </is>
      </c>
      <c r="N46" s="27" t="inlineStr">
        <is>
          <t>+</t>
        </is>
      </c>
      <c r="O46" s="28">
        <f>IF(J46&lt;=0,0,(State!$D$59*State!$C$59*1000/90)/SQRT(State!$C$59)*SQRT(J46))</f>
        <v/>
      </c>
      <c r="P46" s="69" t="n"/>
      <c r="Q46" s="70">
        <f>IF(J46&lt;=0,0,O46*State!$B$48/1000/J46)</f>
        <v/>
      </c>
      <c r="R46" s="69" t="n"/>
    </row>
    <row r="47" ht="24" customHeight="1">
      <c r="B47" s="24" t="inlineStr">
        <is>
          <t>YouTube</t>
        </is>
      </c>
      <c r="C47" s="69" t="n"/>
      <c r="D47" s="69" t="n"/>
      <c r="E47" s="69" t="n"/>
      <c r="F47" s="69" t="n"/>
      <c r="G47" s="25">
        <f>State!$C$60</f>
        <v/>
      </c>
      <c r="H47" s="69" t="n"/>
      <c r="I47" s="69" t="n"/>
      <c r="J47" s="26">
        <f>IF(State!$B$64=1,State!$E$60,State!$B$60)</f>
        <v/>
      </c>
      <c r="K47" s="69" t="n"/>
      <c r="L47" s="69" t="n"/>
      <c r="M47" s="27" t="inlineStr">
        <is>
          <t>−</t>
        </is>
      </c>
      <c r="N47" s="27" t="inlineStr">
        <is>
          <t>+</t>
        </is>
      </c>
      <c r="O47" s="28">
        <f>IF(J47&lt;=0,0,(State!$D$60*State!$C$60*1000/90)/SQRT(State!$C$60)*SQRT(J47))</f>
        <v/>
      </c>
      <c r="P47" s="69" t="n"/>
      <c r="Q47" s="70">
        <f>IF(J47&lt;=0,0,O47*State!$B$48/1000/J47)</f>
        <v/>
      </c>
      <c r="R47" s="69" t="n"/>
      <c r="T47" s="34" t="inlineStr">
        <is>
          <t>A.   Not yet: move money first</t>
        </is>
      </c>
    </row>
    <row r="48" ht="24" customHeight="1">
      <c r="B48" s="24" t="inlineStr">
        <is>
          <t>Telemarketing</t>
        </is>
      </c>
      <c r="C48" s="69" t="n"/>
      <c r="D48" s="69" t="n"/>
      <c r="E48" s="69" t="n"/>
      <c r="F48" s="69" t="n"/>
      <c r="G48" s="25">
        <f>State!$C$61</f>
        <v/>
      </c>
      <c r="H48" s="69" t="n"/>
      <c r="I48" s="69" t="n"/>
      <c r="J48" s="26">
        <f>IF(State!$B$64=1,State!$E$61,State!$B$61)</f>
        <v/>
      </c>
      <c r="K48" s="69" t="n"/>
      <c r="L48" s="69" t="n"/>
      <c r="M48" s="27" t="inlineStr">
        <is>
          <t>−</t>
        </is>
      </c>
      <c r="N48" s="27" t="inlineStr">
        <is>
          <t>+</t>
        </is>
      </c>
      <c r="O48" s="28">
        <f>IF(J48&lt;=0,0,(State!$D$61*State!$C$61*1000/90)/SQRT(State!$C$61)*SQRT(J48))</f>
        <v/>
      </c>
      <c r="P48" s="69" t="n"/>
      <c r="Q48" s="70">
        <f>IF(J48&lt;=0,0,O48*State!$B$48/1000/J48)</f>
        <v/>
      </c>
      <c r="R48" s="69" t="n"/>
      <c r="T48" s="34" t="inlineStr">
        <is>
          <t>B.   Yes, every £1 returns £1.66</t>
        </is>
      </c>
    </row>
    <row r="49" ht="24" customHeight="1">
      <c r="B49" s="24" t="inlineStr">
        <is>
          <t>Direct mail</t>
        </is>
      </c>
      <c r="C49" s="69" t="n"/>
      <c r="D49" s="69" t="n"/>
      <c r="E49" s="69" t="n"/>
      <c r="F49" s="69" t="n"/>
      <c r="G49" s="25">
        <f>State!$C$62</f>
        <v/>
      </c>
      <c r="H49" s="69" t="n"/>
      <c r="I49" s="69" t="n"/>
      <c r="J49" s="26">
        <f>IF(State!$B$64=1,State!$E$62,State!$B$62)</f>
        <v/>
      </c>
      <c r="K49" s="69" t="n"/>
      <c r="L49" s="69" t="n"/>
      <c r="M49" s="27" t="inlineStr">
        <is>
          <t>−</t>
        </is>
      </c>
      <c r="N49" s="27" t="inlineStr">
        <is>
          <t>+</t>
        </is>
      </c>
      <c r="O49" s="28">
        <f>IF(J49&lt;=0,0,(State!$D$62*State!$C$62*1000/90)/SQRT(State!$C$62)*SQRT(J49))</f>
        <v/>
      </c>
      <c r="P49" s="69" t="n"/>
      <c r="Q49" s="70">
        <f>IF(J49&lt;=0,0,O49*State!$B$48/1000/J49)</f>
        <v/>
      </c>
      <c r="R49" s="69" t="n"/>
      <c r="T49" s="34" t="inlineStr">
        <is>
          <t>C.   No, cut everything</t>
        </is>
      </c>
    </row>
    <row r="50" ht="24" customHeight="1">
      <c r="B50" s="24" t="inlineStr">
        <is>
          <t>Door drops</t>
        </is>
      </c>
      <c r="C50" s="69" t="n"/>
      <c r="D50" s="69" t="n"/>
      <c r="E50" s="69" t="n"/>
      <c r="F50" s="69" t="n"/>
      <c r="G50" s="25">
        <f>State!$C$63</f>
        <v/>
      </c>
      <c r="H50" s="69" t="n"/>
      <c r="I50" s="69" t="n"/>
      <c r="J50" s="26">
        <f>IF(State!$B$64=1,State!$E$63,State!$B$63)</f>
        <v/>
      </c>
      <c r="K50" s="69" t="n"/>
      <c r="L50" s="69" t="n"/>
      <c r="M50" s="27" t="inlineStr">
        <is>
          <t>−</t>
        </is>
      </c>
      <c r="N50" s="27" t="inlineStr">
        <is>
          <t>+</t>
        </is>
      </c>
      <c r="O50" s="28">
        <f>IF(J50&lt;=0,0,(State!$D$63*State!$C$63*1000/90)/SQRT(State!$C$63)*SQRT(J50))</f>
        <v/>
      </c>
      <c r="P50" s="69" t="n"/>
      <c r="Q50" s="70">
        <f>IF(J50&lt;=0,0,O50*State!$B$48/1000/J50)</f>
        <v/>
      </c>
      <c r="R50" s="69" t="n"/>
      <c r="T50" s="16">
        <f>IF(State!$B$24=0,"Pick one.",IF(State!$B$24=State!$C$24,"✓ Moving money between channels was worth about £1.1m before adding a single pound.","✗ Not quite. The average pound looks great. The next pound does not."))</f>
        <v/>
      </c>
    </row>
    <row r="51" ht="24" customHeight="1">
      <c r="B51" s="35" t="inlineStr">
        <is>
          <t>Total</t>
        </is>
      </c>
      <c r="G51" s="36">
        <f>SUM(G38:G50)</f>
        <v/>
      </c>
      <c r="J51" s="37">
        <f>SUM(J38:J50)</f>
        <v/>
      </c>
      <c r="O51" s="36">
        <f>SUM(O38:O50)</f>
        <v/>
      </c>
      <c r="Q51" s="72">
        <f>O51*State!$B$48/1000/J51</f>
        <v/>
      </c>
    </row>
    <row r="52" ht="20" customHeight="1">
      <c r="B52" s="39" t="inlineStr">
        <is>
          <t>Each channel's curve is set so the 2025 plan gives exactly Wave 1's return. Double a channel's spend and you get 41% more sign-ups, not double. AP's real curves differ by channel, so their plan gained 12,300 sign-ups with them and about 600 here. The direction is the lesson.</t>
        </is>
      </c>
      <c r="T52" s="32">
        <f>IF(LEFT(T50,1)="✓","Economists call this: Marginal return","")</f>
        <v/>
      </c>
    </row>
    <row r="53" ht="20" customHeight="1"/>
    <row r="55" ht="34" customHeight="1">
      <c r="B55" s="19" t="inlineStr">
        <is>
          <t>◀  Back</t>
        </is>
      </c>
      <c r="C55" s="67" t="n"/>
      <c r="D55" s="67" t="n"/>
      <c r="E55" s="68" t="n"/>
      <c r="G55" s="19">
        <f>IF(State!$B$64=1,"Back to my plan","Show AP's plan")</f>
        <v/>
      </c>
      <c r="H55" s="67" t="n"/>
      <c r="I55" s="67" t="n"/>
      <c r="J55" s="68" t="n"/>
      <c r="L55" s="19" t="inlineStr">
        <is>
          <t>Reset plan</t>
        </is>
      </c>
      <c r="M55" s="67" t="n"/>
      <c r="N55" s="67" t="n"/>
      <c r="O55" s="68" t="n"/>
      <c r="T55" s="21" t="inlineStr">
        <is>
          <t>Next  ▶</t>
        </is>
      </c>
      <c r="U55" s="67" t="n"/>
      <c r="V55" s="67" t="n"/>
      <c r="W55" s="67" t="n"/>
      <c r="X55" s="67" t="n"/>
      <c r="Y55" s="67" t="n"/>
      <c r="Z55" s="68" t="n"/>
    </row>
  </sheetData>
  <mergeCells count="104">
    <mergeCell ref="G38:I38"/>
    <mergeCell ref="B2:M2"/>
    <mergeCell ref="G55:J55"/>
    <mergeCell ref="T27:Z27"/>
    <mergeCell ref="B42:F42"/>
    <mergeCell ref="Q51:R51"/>
    <mergeCell ref="B35:Z35"/>
    <mergeCell ref="O41:P41"/>
    <mergeCell ref="J50:L50"/>
    <mergeCell ref="N37"/>
    <mergeCell ref="B44:F44"/>
    <mergeCell ref="J46:L46"/>
    <mergeCell ref="G50:I50"/>
    <mergeCell ref="O43:P43"/>
    <mergeCell ref="B37:F37"/>
    <mergeCell ref="O40:P40"/>
    <mergeCell ref="J39:L39"/>
    <mergeCell ref="J48:L48"/>
    <mergeCell ref="Q49:R49"/>
    <mergeCell ref="T25:Z25"/>
    <mergeCell ref="T55:Z55"/>
    <mergeCell ref="J38:L38"/>
    <mergeCell ref="G42:I42"/>
    <mergeCell ref="L55:O55"/>
    <mergeCell ref="T2:Z2"/>
    <mergeCell ref="J40:L40"/>
    <mergeCell ref="M37"/>
    <mergeCell ref="G37:I37"/>
    <mergeCell ref="Q37:R37"/>
    <mergeCell ref="G29:J29"/>
    <mergeCell ref="O45:P45"/>
    <mergeCell ref="T50:Z51"/>
    <mergeCell ref="Q39:R39"/>
    <mergeCell ref="B43:F43"/>
    <mergeCell ref="J41:L41"/>
    <mergeCell ref="Q29:R29"/>
    <mergeCell ref="Q38:R38"/>
    <mergeCell ref="O44:P44"/>
    <mergeCell ref="J43:L43"/>
    <mergeCell ref="T29:Z29"/>
    <mergeCell ref="G51:I51"/>
    <mergeCell ref="Q31:R31"/>
    <mergeCell ref="B7:Z7"/>
    <mergeCell ref="Q40:R40"/>
    <mergeCell ref="G41:I41"/>
    <mergeCell ref="J42:L42"/>
    <mergeCell ref="O51:P51"/>
    <mergeCell ref="G43:I43"/>
    <mergeCell ref="J44:L44"/>
    <mergeCell ref="T40:Z42"/>
    <mergeCell ref="J37:L37"/>
    <mergeCell ref="B31:M31"/>
    <mergeCell ref="B29:E29"/>
    <mergeCell ref="B45:F45"/>
    <mergeCell ref="L29:O29"/>
    <mergeCell ref="B34:Z34"/>
    <mergeCell ref="B47:F47"/>
    <mergeCell ref="Q42:R42"/>
    <mergeCell ref="B46:F46"/>
    <mergeCell ref="B55:E55"/>
    <mergeCell ref="O39:P39"/>
    <mergeCell ref="B39:F39"/>
    <mergeCell ref="B48:F48"/>
    <mergeCell ref="G45:I45"/>
    <mergeCell ref="J47:L47"/>
    <mergeCell ref="T32:Z32"/>
    <mergeCell ref="G47:I47"/>
    <mergeCell ref="G44:I44"/>
    <mergeCell ref="G46:I46"/>
    <mergeCell ref="O46:P46"/>
    <mergeCell ref="G40:I40"/>
    <mergeCell ref="Q46:R46"/>
    <mergeCell ref="O47:P47"/>
    <mergeCell ref="O48:P48"/>
    <mergeCell ref="Q48:R48"/>
    <mergeCell ref="Q45:R45"/>
    <mergeCell ref="O38:P38"/>
    <mergeCell ref="Q41:R41"/>
    <mergeCell ref="B50:F50"/>
    <mergeCell ref="Q47:R47"/>
    <mergeCell ref="T23:Z23"/>
    <mergeCell ref="T45:Z46"/>
    <mergeCell ref="J49:L49"/>
    <mergeCell ref="Q43:R43"/>
    <mergeCell ref="J45:L45"/>
    <mergeCell ref="G49:I49"/>
    <mergeCell ref="O49:P49"/>
    <mergeCell ref="B5:Z5"/>
    <mergeCell ref="Q50:R50"/>
    <mergeCell ref="J51:L51"/>
    <mergeCell ref="B38:F38"/>
    <mergeCell ref="O50:P50"/>
    <mergeCell ref="Q44:R44"/>
    <mergeCell ref="B32:M32"/>
    <mergeCell ref="O42:P42"/>
    <mergeCell ref="B40:F40"/>
    <mergeCell ref="B49:F49"/>
    <mergeCell ref="B52:R53"/>
    <mergeCell ref="B51:F51"/>
    <mergeCell ref="G39:I39"/>
    <mergeCell ref="G48:I48"/>
    <mergeCell ref="O37:P37"/>
    <mergeCell ref="B41:F41"/>
    <mergeCell ref="T18:Z21"/>
  </mergeCells>
  <conditionalFormatting sqref="B3:Y3">
    <cfRule type="expression" priority="1" dxfId="0">
      <formula>COLUMN()-1&lt;=State!$B$31</formula>
    </cfRule>
  </conditionalFormatting>
  <conditionalFormatting sqref="Z11">
    <cfRule type="expression" priority="2" dxfId="1">
      <formula>AND(State!$B$33="tests",State!$B$70=0)</formula>
    </cfRule>
  </conditionalFormatting>
  <conditionalFormatting sqref="Z12">
    <cfRule type="expression" priority="3" dxfId="1">
      <formula>AND(State!$B$33="tests",State!$B$71=0)</formula>
    </cfRule>
  </conditionalFormatting>
  <conditionalFormatting sqref="Z13">
    <cfRule type="expression" priority="4" dxfId="1">
      <formula>AND(State!$B$33="tests",State!$B$72=0)</formula>
    </cfRule>
  </conditionalFormatting>
  <conditionalFormatting sqref="Z14">
    <cfRule type="expression" priority="5" dxfId="1">
      <formula>AND(State!$B$33="tests",State!$B$73=0)</formula>
    </cfRule>
  </conditionalFormatting>
  <conditionalFormatting sqref="T11">
    <cfRule type="expression" priority="6" dxfId="2">
      <formula>State!$B$33="dial"</formula>
    </cfRule>
    <cfRule type="expression" priority="7" dxfId="3">
      <formula>State!$B$33="quiz"</formula>
    </cfRule>
    <cfRule type="expression" priority="8" dxfId="4">
      <formula>AND(State!$B$33="quiz",State!$B$39=1)</formula>
    </cfRule>
  </conditionalFormatting>
  <conditionalFormatting sqref="T13">
    <cfRule type="expression" priority="9" dxfId="3">
      <formula>State!$B$33="quiz"</formula>
    </cfRule>
    <cfRule type="expression" priority="10" dxfId="4">
      <formula>AND(State!$B$33="quiz",State!$B$39=2)</formula>
    </cfRule>
  </conditionalFormatting>
  <conditionalFormatting sqref="T15">
    <cfRule type="expression" priority="11" dxfId="3">
      <formula>State!$B$33="quiz"</formula>
    </cfRule>
    <cfRule type="expression" priority="12" dxfId="4">
      <formula>AND(State!$B$33="quiz",State!$B$39=3)</formula>
    </cfRule>
  </conditionalFormatting>
  <conditionalFormatting sqref="U16">
    <cfRule type="expression" priority="13" dxfId="5">
      <formula>State!$B$33="dial"</formula>
    </cfRule>
  </conditionalFormatting>
  <conditionalFormatting sqref="V16">
    <cfRule type="expression" priority="14" dxfId="5">
      <formula>State!$B$33="dial"</formula>
    </cfRule>
  </conditionalFormatting>
  <conditionalFormatting sqref="X16">
    <cfRule type="expression" priority="15" dxfId="5">
      <formula>State!$B$33="dial"</formula>
    </cfRule>
  </conditionalFormatting>
  <conditionalFormatting sqref="Y16">
    <cfRule type="expression" priority="16" dxfId="5">
      <formula>State!$B$33="dial"</formula>
    </cfRule>
  </conditionalFormatting>
  <conditionalFormatting sqref="T18">
    <cfRule type="expression" priority="17" dxfId="6">
      <formula>LEFT(T18,1)="✓"</formula>
    </cfRule>
    <cfRule type="expression" priority="18" dxfId="7">
      <formula>OR(LEFT(T18,1)="↑",LEFT(T18,1)="↓",LEFT(T18,1)="✗")</formula>
    </cfRule>
    <cfRule type="expression" priority="19" dxfId="8">
      <formula>State!$B$33="info"</formula>
    </cfRule>
  </conditionalFormatting>
  <conditionalFormatting sqref="B33:Y33">
    <cfRule type="expression" priority="20" dxfId="0">
      <formula>COLUMN()-1&lt;=State!$B$31</formula>
    </cfRule>
  </conditionalFormatting>
  <conditionalFormatting sqref="J38:J50">
    <cfRule type="dataBar" priority="21">
      <dataBar>
        <cfvo type="num" val="0"/>
        <cfvo type="num" val="1600"/>
        <color rgb="00009CEE"/>
      </dataBar>
    </cfRule>
  </conditionalFormatting>
  <conditionalFormatting sqref="T39">
    <cfRule type="expression" priority="22" dxfId="9">
      <formula>ISNUMBER(SEARCH("Good",T39))</formula>
    </cfRule>
    <cfRule type="expression" priority="23" dxfId="10">
      <formula>NOT(ISNUMBER(SEARCH("Good",T39)))</formula>
    </cfRule>
  </conditionalFormatting>
  <conditionalFormatting sqref="T40">
    <cfRule type="expression" priority="24" dxfId="6">
      <formula>LEFT(T40,1)="✓"</formula>
    </cfRule>
    <cfRule type="expression" priority="25" dxfId="7">
      <formula>LEFT(T40,1)&lt;&gt;"✓"</formula>
    </cfRule>
  </conditionalFormatting>
  <conditionalFormatting sqref="T47">
    <cfRule type="expression" priority="26" dxfId="4">
      <formula>State!$B$24=1</formula>
    </cfRule>
  </conditionalFormatting>
  <conditionalFormatting sqref="T48">
    <cfRule type="expression" priority="27" dxfId="4">
      <formula>State!$B$24=2</formula>
    </cfRule>
  </conditionalFormatting>
  <conditionalFormatting sqref="T49">
    <cfRule type="expression" priority="28" dxfId="4">
      <formula>State!$B$24=3</formula>
    </cfRule>
  </conditionalFormatting>
  <conditionalFormatting sqref="T50">
    <cfRule type="expression" priority="29" dxfId="6">
      <formula>LEFT(T50,1)="✓"</formula>
    </cfRule>
    <cfRule type="expression" priority="30" dxfId="7">
      <formula>LEFT(T50,1)="✗"</formula>
    </cfRule>
  </conditionalFormatting>
  <pageMargins left="0.75" right="0.75" top="1" bottom="1" header="0.5" footer="0.5"/>
  <pageSetup orientation="landscape" paperSize="9" fitToHeight="1" fitToWidth="1"/>
  <headerFooter>
    <oddHeader>&amp;LCRUK CONFIDENTIAL, INTERNAL USE ONLY</oddHeader>
    <oddFooter>&amp;LThe Econometrics Game v3&amp;RAndrew Rajanathan, CRUK M&amp;&amp;D</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2">
    <tabColor rgb="00009CEE"/>
    <outlinePr summaryBelow="1" summaryRight="1"/>
    <pageSetUpPr fitToPage="1"/>
  </sheetPr>
  <dimension ref="B2:Z29"/>
  <sheetViews>
    <sheetView showGridLines="0" zoomScale="100" workbookViewId="0">
      <selection activeCell="A1" sqref="A1"/>
    </sheetView>
  </sheetViews>
  <sheetFormatPr baseColWidth="8" defaultRowHeight="15"/>
  <cols>
    <col width="2" customWidth="1" min="1" max="1"/>
    <col width="5.2" customWidth="1" min="2" max="2"/>
    <col width="5.2" customWidth="1" min="3" max="3"/>
    <col width="5.2"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5.2" customWidth="1" min="17" max="17"/>
    <col width="5.2" customWidth="1" min="18" max="18"/>
    <col width="2" customWidth="1" min="19" max="19"/>
    <col width="40" customWidth="1" min="20" max="20"/>
    <col width="5.5" customWidth="1" min="21" max="21"/>
    <col width="5.5" customWidth="1" min="22" max="22"/>
    <col width="5.5" customWidth="1" min="23" max="23"/>
    <col width="7" customWidth="1" min="24" max="24"/>
    <col width="7" customWidth="1" min="25" max="25"/>
    <col width="7" customWidth="1" min="26" max="26"/>
    <col width="2" customWidth="1" min="27" max="27"/>
  </cols>
  <sheetData>
    <row r="1" ht="8" customHeight="1"/>
    <row r="2" ht="20" customHeight="1">
      <c r="B2" s="1">
        <f>"Chapter 9  ·  Brand"</f>
        <v/>
      </c>
      <c r="T2" s="2">
        <f>REPT("★",State!$B$28)&amp;REPT("☆",10-State!$B$28)</f>
        <v/>
      </c>
    </row>
    <row r="3" ht="7" customHeight="1">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row>
    <row r="4" ht="8" customHeight="1"/>
    <row r="5" ht="40" customHeight="1">
      <c r="B5" s="4">
        <f>"Some of today's sign-ups come from adverts people saw years ago"</f>
        <v/>
      </c>
    </row>
    <row r="6" ht="6" customHeight="1"/>
    <row r="7" ht="48" customHeight="1">
      <c r="B7" s="5">
        <f>"The pink line is brand consideration: the share of people who would consider supporting us. It moves slowly. Nearly a fifth of it was built by past adverts."</f>
        <v/>
      </c>
    </row>
    <row r="8" ht="8" customHeight="1"/>
    <row r="9" ht="10" customHeight="1">
      <c r="B9" s="6" t="inlineStr">
        <is>
          <t>All CRUK media spend each week (grey) and brand consideration (pink)</t>
        </is>
      </c>
    </row>
    <row r="10" ht="30" customHeight="1">
      <c r="T10" s="40" t="inlineStr">
        <is>
          <t>18.8%</t>
        </is>
      </c>
    </row>
    <row r="11" ht="34" customHeight="1">
      <c r="T11" s="41" t="inlineStr">
        <is>
          <t>of today's consideration comes from past adverts. That stock is our brand equity.</t>
        </is>
      </c>
    </row>
    <row r="12" ht="8" customHeight="1"/>
    <row r="13" ht="30" customHeight="1">
      <c r="T13" s="40" t="inlineStr">
        <is>
          <t>+0.4 points</t>
        </is>
      </c>
    </row>
    <row r="14" ht="34" customHeight="1">
      <c r="T14" s="41" t="inlineStr">
        <is>
          <t>of consideration for every extra £1m of long-term media, against a drift of 0.25 points a year.</t>
        </is>
      </c>
    </row>
    <row r="15" ht="8" customHeight="1"/>
    <row r="16" ht="30" customHeight="1">
      <c r="T16" s="40" t="inlineStr">
        <is>
          <t>£2.01</t>
        </is>
      </c>
    </row>
    <row r="17" ht="34" customHeight="1">
      <c r="T17" s="41" t="inlineStr">
        <is>
          <t>is what £1 of Race for Life adverts returns over three years, up from £1.66 in the short term.</t>
        </is>
      </c>
    </row>
    <row r="18" ht="8" customHeight="1"/>
    <row r="19" ht="34" customHeight="1">
      <c r="T19" s="33" t="inlineStr">
        <is>
          <t>Counting the long-term effect, what does £1 of Race for Life adverts return?</t>
        </is>
      </c>
    </row>
    <row r="20" ht="24" customHeight="1">
      <c r="T20" s="34" t="inlineStr">
        <is>
          <t>A.   £2.01</t>
        </is>
      </c>
    </row>
    <row r="21" ht="24" customHeight="1">
      <c r="T21" s="34" t="inlineStr">
        <is>
          <t>B.   £1.66</t>
        </is>
      </c>
    </row>
    <row r="22" ht="24" customHeight="1">
      <c r="T22" s="34" t="inlineStr">
        <is>
          <t>C.   82p</t>
        </is>
      </c>
    </row>
    <row r="23" ht="24" customHeight="1">
      <c r="T23" s="16">
        <f>IF(State!$B$25=0,"Pick one.",IF(State!$B$25=State!$C$25,"✓ Counting the long-term effect takes Race for Life adverts from £1.66 to £2.01 per pound.","✗ Not quite. Look at the third figure above."))</f>
        <v/>
      </c>
    </row>
    <row r="24" ht="24" customHeight="1"/>
    <row r="25">
      <c r="T25" s="32">
        <f>IF(LEFT(T23,1)="✓","Economists call this: Long-term multiplier","")</f>
        <v/>
      </c>
    </row>
    <row r="28" ht="10" customHeight="1"/>
    <row r="29" ht="34" customHeight="1">
      <c r="B29" s="19" t="inlineStr">
        <is>
          <t>◀  Back</t>
        </is>
      </c>
      <c r="C29" s="67" t="n"/>
      <c r="D29" s="67" t="n"/>
      <c r="E29" s="68" t="n"/>
      <c r="T29" s="21" t="inlineStr">
        <is>
          <t>Next  ▶</t>
        </is>
      </c>
      <c r="U29" s="67" t="n"/>
      <c r="V29" s="67" t="n"/>
      <c r="W29" s="67" t="n"/>
      <c r="X29" s="67" t="n"/>
      <c r="Y29" s="67" t="n"/>
      <c r="Z29" s="68" t="n"/>
    </row>
  </sheetData>
  <mergeCells count="11">
    <mergeCell ref="B7:Z7"/>
    <mergeCell ref="T14:Z14"/>
    <mergeCell ref="B2:M2"/>
    <mergeCell ref="T17:Z17"/>
    <mergeCell ref="B5:Z5"/>
    <mergeCell ref="B29:E29"/>
    <mergeCell ref="T2:Z2"/>
    <mergeCell ref="T23:Z24"/>
    <mergeCell ref="T11:Z11"/>
    <mergeCell ref="T29:Z29"/>
    <mergeCell ref="T19:Z19"/>
  </mergeCells>
  <conditionalFormatting sqref="B3:Y3">
    <cfRule type="expression" priority="1" dxfId="0">
      <formula>COLUMN()-1&lt;=State!$B$31</formula>
    </cfRule>
  </conditionalFormatting>
  <conditionalFormatting sqref="T20">
    <cfRule type="expression" priority="2" dxfId="4">
      <formula>State!$B$25=1</formula>
    </cfRule>
  </conditionalFormatting>
  <conditionalFormatting sqref="T21">
    <cfRule type="expression" priority="3" dxfId="4">
      <formula>State!$B$25=2</formula>
    </cfRule>
  </conditionalFormatting>
  <conditionalFormatting sqref="T22">
    <cfRule type="expression" priority="4" dxfId="4">
      <formula>State!$B$25=3</formula>
    </cfRule>
  </conditionalFormatting>
  <conditionalFormatting sqref="T23">
    <cfRule type="expression" priority="5" dxfId="6">
      <formula>LEFT(T23,1)="✓"</formula>
    </cfRule>
    <cfRule type="expression" priority="6" dxfId="7">
      <formula>LEFT(T23,1)="✗"</formula>
    </cfRule>
  </conditionalFormatting>
  <pageMargins left="0.75" right="0.75" top="1" bottom="1" header="0.5" footer="0.5"/>
  <pageSetup orientation="landscape" paperSize="9" fitToHeight="1" fitToWidth="1"/>
  <headerFooter>
    <oddHeader>&amp;LCRUK CONFIDENTIAL, INTERNAL USE ONLY</oddHeader>
    <oddFooter>&amp;LThe Econometrics Game v3&amp;RAndrew Rajanathan, CRUK M&amp;&amp;D</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codeName="Sheet3">
    <tabColor rgb="00009CEE"/>
    <outlinePr summaryBelow="1" summaryRight="1"/>
    <pageSetUpPr fitToPage="1"/>
  </sheetPr>
  <dimension ref="B2:AD29"/>
  <sheetViews>
    <sheetView showGridLines="0" zoomScale="100" workbookViewId="0">
      <selection activeCell="A1" sqref="A1"/>
    </sheetView>
  </sheetViews>
  <sheetFormatPr baseColWidth="8" defaultRowHeight="15"/>
  <cols>
    <col width="2" customWidth="1" min="1" max="1"/>
    <col width="5.2" customWidth="1" min="2" max="2"/>
    <col width="5.2" customWidth="1" min="3" max="3"/>
    <col width="5.2"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5.2" customWidth="1" min="17" max="17"/>
    <col width="5.2" customWidth="1" min="18" max="18"/>
    <col width="2" customWidth="1" min="19" max="19"/>
    <col width="40" customWidth="1" min="20" max="20"/>
    <col width="5.5" customWidth="1" min="21" max="21"/>
    <col width="5.5" customWidth="1" min="22" max="22"/>
    <col width="5.5" customWidth="1" min="23" max="23"/>
    <col width="7" customWidth="1" min="24" max="24"/>
    <col width="7" customWidth="1" min="25" max="25"/>
    <col width="7" customWidth="1" min="26" max="26"/>
    <col width="2" customWidth="1" min="27" max="27"/>
    <col width="2" customWidth="1" min="29" max="29"/>
    <col width="2" customWidth="1" min="30" max="30"/>
  </cols>
  <sheetData>
    <row r="1" ht="8" customHeight="1"/>
    <row r="2" ht="20" customHeight="1">
      <c r="B2" s="1">
        <f>"Chapter 10  ·  Committed Giving"</f>
        <v/>
      </c>
      <c r="T2" s="2">
        <f>REPT("★",State!$B$28)&amp;REPT("☆",10-State!$B$28)</f>
        <v/>
      </c>
    </row>
    <row r="3" ht="7" customHeight="1">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row>
    <row r="4" ht="8" customHeight="1"/>
    <row r="5" ht="40" customHeight="1">
      <c r="B5" s="4">
        <f>"Committed Giving looks like 9p per £1 because the model only counts the first gift"</f>
        <v/>
      </c>
    </row>
    <row r="6" ht="6" customHeight="1"/>
    <row r="7" ht="48" customHeight="1">
      <c r="B7" s="5">
        <f>"The bars show why new monthly givers fell 23% in 2025. Inflation and the advertising cut each took about a quarter. One we chose, one we did not."</f>
        <v/>
      </c>
    </row>
    <row r="8" ht="8" customHeight="1"/>
    <row r="9" ht="10" customHeight="1">
      <c r="B9" s="6" t="inlineStr">
        <is>
          <t>Change in new Committed Givers, FY24/25 to FY25/26 (April to October), by cause. Source: Wave 1</t>
        </is>
      </c>
    </row>
    <row r="10" ht="30" customHeight="1">
      <c r="T10" s="40" t="inlineStr">
        <is>
          <t>73%</t>
        </is>
      </c>
      <c r="AC10" s="42" t="inlineStr">
        <is>
          <t>Cause</t>
        </is>
      </c>
      <c r="AD10" s="42" t="inlineStr">
        <is>
          <t>Change in new givers</t>
        </is>
      </c>
    </row>
    <row r="11" ht="34" customHeight="1">
      <c r="T11" s="41" t="inlineStr">
        <is>
          <t>of new Committed Givers over three years came from marketing, direct and halo together.</t>
        </is>
      </c>
      <c r="AC11" s="42" t="inlineStr">
        <is>
          <t>Inflation</t>
        </is>
      </c>
      <c r="AD11" s="42" t="n">
        <v>-904</v>
      </c>
    </row>
    <row r="12" ht="8" customHeight="1">
      <c r="AC12" s="42" t="inlineStr">
        <is>
          <t>Committed Giving adverts cut</t>
        </is>
      </c>
      <c r="AD12" s="42" t="n">
        <v>-307</v>
      </c>
    </row>
    <row r="13" ht="30" customHeight="1">
      <c r="T13" s="40" t="inlineStr">
        <is>
          <t>904 and 307</t>
        </is>
      </c>
      <c r="AC13" s="42" t="inlineStr">
        <is>
          <t>Brand adverts cut</t>
        </is>
      </c>
      <c r="AD13" s="42" t="n">
        <v>-107</v>
      </c>
    </row>
    <row r="14" ht="34" customHeight="1">
      <c r="T14" s="41" t="inlineStr">
        <is>
          <t>new givers lost to inflation and to the Committed Giving cut. The two biggest causes of the 23% fall.</t>
        </is>
      </c>
      <c r="AC14" s="42" t="inlineStr">
        <is>
          <t>Race for Life adverts cut</t>
        </is>
      </c>
      <c r="AD14" s="42" t="n">
        <v>-102</v>
      </c>
    </row>
    <row r="15" ht="8" customHeight="1">
      <c r="AC15" s="42" t="inlineStr">
        <is>
          <t>Consideration slipped</t>
        </is>
      </c>
      <c r="AD15" s="42" t="n">
        <v>-29</v>
      </c>
    </row>
    <row r="16" ht="30" customHeight="1">
      <c r="T16" s="40" t="inlineStr">
        <is>
          <t>9p per £1</t>
        </is>
      </c>
      <c r="AC16" s="42" t="inlineStr">
        <is>
          <t>Legacy adverts up</t>
        </is>
      </c>
      <c r="AD16" s="42" t="n">
        <v>41</v>
      </c>
    </row>
    <row r="17" ht="34" customHeight="1">
      <c r="T17" s="41" t="inlineStr">
        <is>
          <t>counts only the first gift of brand new givers. Not the years that follow, not the churn adverts prevent.</t>
        </is>
      </c>
      <c r="AC17" s="42" t="inlineStr">
        <is>
          <t>Less interest in Macmillan</t>
        </is>
      </c>
      <c r="AD17" s="42" t="n">
        <v>46</v>
      </c>
    </row>
    <row r="18" ht="8" customHeight="1">
      <c r="AC18" s="42" t="inlineStr">
        <is>
          <t>Health campaign halo</t>
        </is>
      </c>
      <c r="AD18" s="42" t="n">
        <v>91</v>
      </c>
    </row>
    <row r="19" ht="34" customHeight="1">
      <c r="T19" s="33" t="inlineStr">
        <is>
          <t>Why does Committed Giving show only 9p per £1?</t>
        </is>
      </c>
      <c r="AC19" s="42" t="inlineStr">
        <is>
          <t>Social Challenges adverts up</t>
        </is>
      </c>
      <c r="AD19" s="42" t="n">
        <v>337</v>
      </c>
    </row>
    <row r="20" ht="24" customHeight="1">
      <c r="T20" s="34" t="inlineStr">
        <is>
          <t>A.   It counts only the first gift of new givers</t>
        </is>
      </c>
    </row>
    <row r="21" ht="24" customHeight="1">
      <c r="T21" s="34" t="inlineStr">
        <is>
          <t>B.   The adverts do not work</t>
        </is>
      </c>
    </row>
    <row r="22" ht="24" customHeight="1">
      <c r="T22" s="34" t="inlineStr">
        <is>
          <t>C.   Inflation</t>
        </is>
      </c>
    </row>
    <row r="23" ht="24" customHeight="1">
      <c r="T23" s="16">
        <f>IF(State!$B$26=0,"Pick one.",IF(State!$B$26=State!$C$26,"✓ The short-term return is a floor. The years of giving that follow are not in the number yet.","✗ Not quite. Think about what a monthly giver is worth over years, not months."))</f>
        <v/>
      </c>
    </row>
    <row r="24" ht="24" customHeight="1"/>
    <row r="25">
      <c r="T25" s="32">
        <f>IF(LEFT(T23,1)="✓","Economists call this: Base driver and lifetime value","")</f>
        <v/>
      </c>
    </row>
    <row r="28" ht="10" customHeight="1"/>
    <row r="29" ht="34" customHeight="1">
      <c r="B29" s="19" t="inlineStr">
        <is>
          <t>◀  Back</t>
        </is>
      </c>
      <c r="C29" s="67" t="n"/>
      <c r="D29" s="67" t="n"/>
      <c r="E29" s="68" t="n"/>
      <c r="T29" s="21" t="inlineStr">
        <is>
          <t>Next  ▶</t>
        </is>
      </c>
      <c r="U29" s="67" t="n"/>
      <c r="V29" s="67" t="n"/>
      <c r="W29" s="67" t="n"/>
      <c r="X29" s="67" t="n"/>
      <c r="Y29" s="67" t="n"/>
      <c r="Z29" s="68" t="n"/>
    </row>
  </sheetData>
  <mergeCells count="11">
    <mergeCell ref="B7:Z7"/>
    <mergeCell ref="T14:Z14"/>
    <mergeCell ref="B2:M2"/>
    <mergeCell ref="T17:Z17"/>
    <mergeCell ref="B5:Z5"/>
    <mergeCell ref="B29:E29"/>
    <mergeCell ref="T2:Z2"/>
    <mergeCell ref="T23:Z24"/>
    <mergeCell ref="T11:Z11"/>
    <mergeCell ref="T29:Z29"/>
    <mergeCell ref="T19:Z19"/>
  </mergeCells>
  <conditionalFormatting sqref="B3:Y3">
    <cfRule type="expression" priority="1" dxfId="0">
      <formula>COLUMN()-1&lt;=State!$B$31</formula>
    </cfRule>
  </conditionalFormatting>
  <conditionalFormatting sqref="T20">
    <cfRule type="expression" priority="2" dxfId="4">
      <formula>State!$B$26=1</formula>
    </cfRule>
  </conditionalFormatting>
  <conditionalFormatting sqref="T21">
    <cfRule type="expression" priority="3" dxfId="4">
      <formula>State!$B$26=2</formula>
    </cfRule>
  </conditionalFormatting>
  <conditionalFormatting sqref="T22">
    <cfRule type="expression" priority="4" dxfId="4">
      <formula>State!$B$26=3</formula>
    </cfRule>
  </conditionalFormatting>
  <conditionalFormatting sqref="T23">
    <cfRule type="expression" priority="5" dxfId="6">
      <formula>LEFT(T23,1)="✓"</formula>
    </cfRule>
    <cfRule type="expression" priority="6" dxfId="7">
      <formula>LEFT(T23,1)="✗"</formula>
    </cfRule>
  </conditionalFormatting>
  <pageMargins left="0.75" right="0.75" top="1" bottom="1" header="0.5" footer="0.5"/>
  <pageSetup orientation="landscape" paperSize="9" fitToHeight="1" fitToWidth="1"/>
  <headerFooter>
    <oddHeader>&amp;LCRUK CONFIDENTIAL, INTERNAL USE ONLY</oddHeader>
    <oddFooter>&amp;LThe Econometrics Game v3&amp;RAndrew Rajanathan, CRUK M&amp;&amp;D</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codeName="Sheet4">
    <tabColor rgb="001B2A4A"/>
    <outlinePr summaryBelow="1" summaryRight="1"/>
    <pageSetUpPr fitToPage="1"/>
  </sheetPr>
  <dimension ref="B2:Z29"/>
  <sheetViews>
    <sheetView showGridLines="0" zoomScale="100" workbookViewId="0">
      <selection activeCell="A1" sqref="A1"/>
    </sheetView>
  </sheetViews>
  <sheetFormatPr baseColWidth="8" defaultRowHeight="15"/>
  <cols>
    <col width="2" customWidth="1" min="1" max="1"/>
    <col width="5.2" customWidth="1" min="2" max="2"/>
    <col width="5.2" customWidth="1" min="3" max="3"/>
    <col width="5.2"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5.2" customWidth="1" min="12" max="12"/>
    <col width="5.2" customWidth="1" min="13" max="13"/>
    <col width="5.2" customWidth="1" min="14" max="14"/>
    <col width="5.2" customWidth="1" min="15" max="15"/>
    <col width="5.2" customWidth="1" min="16" max="16"/>
    <col width="5.2" customWidth="1" min="17" max="17"/>
    <col width="5.2" customWidth="1" min="18" max="18"/>
    <col width="2" customWidth="1" min="19" max="19"/>
    <col width="40" customWidth="1" min="20" max="20"/>
    <col width="5.5" customWidth="1" min="21" max="21"/>
    <col width="5.5" customWidth="1" min="22" max="22"/>
    <col width="5.5" customWidth="1" min="23" max="23"/>
    <col width="7" customWidth="1" min="24" max="24"/>
    <col width="7" customWidth="1" min="25" max="25"/>
    <col width="7" customWidth="1" min="26" max="26"/>
    <col width="2" customWidth="1" min="27" max="27"/>
  </cols>
  <sheetData>
    <row r="1" ht="8" customHeight="1"/>
    <row r="2" ht="20" customHeight="1">
      <c r="B2" s="1">
        <f>"Finish"</f>
        <v/>
      </c>
      <c r="T2" s="2">
        <f>REPT("★",State!$B$28)&amp;REPT("☆",10-State!$B$28)</f>
        <v/>
      </c>
    </row>
    <row r="3" ht="7" customHeight="1">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row>
    <row r="4" ht="8" customHeight="1"/>
    <row r="5" ht="40" customHeight="1">
      <c r="B5" s="4">
        <f>"You built the model. "&amp;State!$B$28&amp;" stars out of 10."</f>
        <v/>
      </c>
    </row>
    <row r="6" ht="6" customHeight="1"/>
    <row r="7" ht="48" customHeight="1">
      <c r="B7" s="5">
        <f>"Ten sentences you can now say in the room, each one true to Wave 1. Tap Start again to play with someone else."</f>
        <v/>
      </c>
    </row>
    <row r="8" ht="8" customHeight="1"/>
    <row r="9" ht="30" customHeight="1">
      <c r="B9" s="43">
        <f>IF(State!$B$17=State!$C$17,"★","☆")</f>
        <v/>
      </c>
      <c r="C9" s="44" t="inlineStr">
        <is>
          <t>Econometrics</t>
        </is>
      </c>
      <c r="G9" s="31" t="inlineStr">
        <is>
          <t>Econometrics is a detective reading three years of weekly receipts to work out which pounds raised the sign-ups.</t>
        </is>
      </c>
    </row>
    <row r="10" ht="4" customHeight="1"/>
    <row r="11" ht="30" customHeight="1">
      <c r="B11" s="43">
        <f>IF(State!$B$18=State!$C$18,"★","☆")</f>
        <v/>
      </c>
      <c r="C11" s="44" t="inlineStr">
        <is>
          <t>Baseline</t>
        </is>
      </c>
      <c r="G11" s="31" t="inlineStr">
        <is>
          <t>Race for Life has a small base of a few hundred sign-ups a week. Nearly every other sign-up was caused by something we did.</t>
        </is>
      </c>
    </row>
    <row r="12" ht="4" customHeight="1"/>
    <row r="13" ht="30" customHeight="1">
      <c r="B13" s="43">
        <f>IF(State!$B$19=State!$C$19,"★","☆")</f>
        <v/>
      </c>
      <c r="C13" s="44" t="inlineStr">
        <is>
          <t>Pull-forward</t>
        </is>
      </c>
      <c r="G13" s="31" t="inlineStr">
        <is>
          <t>Sale weeks drove a fifth of sign-ups. The dip after each sale is real, and the model counts it.</t>
        </is>
      </c>
    </row>
    <row r="14" ht="4" customHeight="1"/>
    <row r="15" ht="30" customHeight="1">
      <c r="B15" s="43">
        <f>IF(State!$B$20=State!$C$20,"★","☆")</f>
        <v/>
      </c>
      <c r="C15" s="44" t="inlineStr">
        <is>
          <t>Adstock</t>
        </is>
      </c>
      <c r="G15" s="31" t="inlineStr">
        <is>
          <t>Our adverts keep raising sign-ups for weeks after they stop. Judge a campaign in week one and you miss most of what it earned.</t>
        </is>
      </c>
    </row>
    <row r="16" ht="4" customHeight="1"/>
    <row r="17" ht="30" customHeight="1">
      <c r="B17" s="43">
        <f>IF(State!$B$21=State!$C$21,"★","☆")</f>
        <v/>
      </c>
      <c r="C17" s="44" t="inlineStr">
        <is>
          <t>Halo</t>
        </is>
      </c>
      <c r="G17" s="31" t="inlineStr">
        <is>
          <t>Committed Giving adverts were quietly filling Race for Life too. When we cut them, Race for Life felt it.</t>
        </is>
      </c>
    </row>
    <row r="18" ht="4" customHeight="1"/>
    <row r="19" ht="30" customHeight="1">
      <c r="B19" s="43">
        <f>IF(State!$B$22=State!$C$22,"★","☆")</f>
        <v/>
      </c>
      <c r="C19" s="44" t="inlineStr">
        <is>
          <t>Multicollinearity</t>
        </is>
      </c>
      <c r="G19" s="31" t="inlineStr">
        <is>
          <t>The group number is firm. The channel split is softer. Quote the range when a decision is close.</t>
        </is>
      </c>
    </row>
    <row r="20" ht="4" customHeight="1"/>
    <row r="21" ht="30" customHeight="1">
      <c r="B21" s="43">
        <f>IF(State!$B$23=State!$C$23,"★","☆")</f>
        <v/>
      </c>
      <c r="C21" s="44" t="inlineStr">
        <is>
          <t>Model tests</t>
        </is>
      </c>
      <c r="G21" s="31" t="inlineStr">
        <is>
          <t>Wave 1 explains 94% of the weekly pattern, predicts weeks it never saw and left 1.4% of the 2025 fall unexplained.</t>
        </is>
      </c>
    </row>
    <row r="22" ht="4" customHeight="1"/>
    <row r="23" ht="30" customHeight="1">
      <c r="B23" s="43">
        <f>IF(State!$B$24=State!$C$24,"★","☆")</f>
        <v/>
      </c>
      <c r="C23" s="44" t="inlineStr">
        <is>
          <t>Marginal return</t>
        </is>
      </c>
      <c r="G23" s="31" t="inlineStr">
        <is>
          <t>The average pound returned £1.66 but the last pound returned 82p. Moving money is worth £1.1m before adding a single pound.</t>
        </is>
      </c>
    </row>
    <row r="24" ht="4" customHeight="1"/>
    <row r="25" ht="30" customHeight="1">
      <c r="B25" s="43">
        <f>IF(State!$B$25=State!$C$25,"★","☆")</f>
        <v/>
      </c>
      <c r="C25" s="44" t="inlineStr">
        <is>
          <t>Brand equity</t>
        </is>
      </c>
      <c r="G25" s="31" t="inlineStr">
        <is>
          <t>Nearly a fifth of the people who consider us do so because of adverts they saw years ago. The short-term return is the floor.</t>
        </is>
      </c>
    </row>
    <row r="26" ht="4" customHeight="1"/>
    <row r="27" ht="30" customHeight="1">
      <c r="B27" s="43">
        <f>IF(State!$B$26=State!$C$26,"★","☆")</f>
        <v/>
      </c>
      <c r="C27" s="44" t="inlineStr">
        <is>
          <t>Lifetime value</t>
        </is>
      </c>
      <c r="G27" s="31" t="inlineStr">
        <is>
          <t>Committed Giving shows 9p per pound because the model only counts the first gift of brand new givers.</t>
        </is>
      </c>
    </row>
    <row r="28" ht="4" customHeight="1"/>
    <row r="29" ht="34" customHeight="1">
      <c r="B29" s="19" t="inlineStr">
        <is>
          <t>◀  Back</t>
        </is>
      </c>
      <c r="C29" s="67" t="n"/>
      <c r="D29" s="67" t="n"/>
      <c r="E29" s="68" t="n"/>
      <c r="T29" s="21" t="inlineStr">
        <is>
          <t>Start again  ↺</t>
        </is>
      </c>
      <c r="U29" s="67" t="n"/>
      <c r="V29" s="67" t="n"/>
      <c r="W29" s="67" t="n"/>
      <c r="X29" s="67" t="n"/>
      <c r="Y29" s="67" t="n"/>
      <c r="Z29" s="68" t="n"/>
    </row>
  </sheetData>
  <mergeCells count="26">
    <mergeCell ref="B2:M2"/>
    <mergeCell ref="G9:Z9"/>
    <mergeCell ref="C17:F17"/>
    <mergeCell ref="C23:F23"/>
    <mergeCell ref="G21:Z21"/>
    <mergeCell ref="G11:Z11"/>
    <mergeCell ref="C19:F19"/>
    <mergeCell ref="G27:Z27"/>
    <mergeCell ref="C13:F13"/>
    <mergeCell ref="G17:Z17"/>
    <mergeCell ref="G23:Z23"/>
    <mergeCell ref="B5:Z5"/>
    <mergeCell ref="C15:F15"/>
    <mergeCell ref="G19:Z19"/>
    <mergeCell ref="T29:Z29"/>
    <mergeCell ref="B7:Z7"/>
    <mergeCell ref="G13:Z13"/>
    <mergeCell ref="G15:Z15"/>
    <mergeCell ref="C25:F25"/>
    <mergeCell ref="C9:F9"/>
    <mergeCell ref="B29:E29"/>
    <mergeCell ref="C21:F21"/>
    <mergeCell ref="T2:Z2"/>
    <mergeCell ref="C11:F11"/>
    <mergeCell ref="C27:F27"/>
    <mergeCell ref="G25:Z25"/>
  </mergeCells>
  <conditionalFormatting sqref="B3:Y3">
    <cfRule type="expression" priority="1" dxfId="0">
      <formula>COLUMN()-1&lt;=State!$B$31</formula>
    </cfRule>
  </conditionalFormatting>
  <pageMargins left="0.75" right="0.75" top="1" bottom="1" header="0.5" footer="0.5"/>
  <pageSetup orientation="landscape" paperSize="9" fitToHeight="1" fitToWidth="1"/>
  <headerFooter>
    <oddHeader>&amp;LCRUK CONFIDENTIAL, INTERNAL USE ONLY</oddHeader>
    <oddFooter>&amp;LThe Econometrics Game v3&amp;RAndrew Rajanathan, CRUK M&amp;&amp;D</oddFooter>
    <evenHeader/>
    <evenFooter/>
    <firstHeader/>
    <firstFooter/>
  </headerFooter>
</worksheet>
</file>

<file path=xl/worksheets/sheet5.xml><?xml version="1.0" encoding="utf-8"?>
<worksheet xmlns="http://schemas.openxmlformats.org/spreadsheetml/2006/main">
  <sheetPr codeName="Sheet5">
    <tabColor rgb="00878787"/>
    <outlinePr summaryBelow="1" summaryRight="1"/>
    <pageSetUpPr/>
  </sheetPr>
  <dimension ref="B2:E23"/>
  <sheetViews>
    <sheetView showGridLines="0" workbookViewId="0">
      <selection activeCell="A1" sqref="A1"/>
    </sheetView>
  </sheetViews>
  <sheetFormatPr baseColWidth="8" defaultRowHeight="15"/>
  <cols>
    <col width="2" customWidth="1" min="1" max="1"/>
    <col width="24" customWidth="1" min="2" max="2"/>
    <col width="44" customWidth="1" min="3" max="3"/>
    <col width="44" customWidth="1" min="4" max="4"/>
    <col width="44" customWidth="1" min="5" max="5"/>
  </cols>
  <sheetData>
    <row r="2">
      <c r="B2" s="45" t="inlineStr">
        <is>
          <t>Words: every term, one rung at a time</t>
        </is>
      </c>
    </row>
    <row r="3">
      <c r="B3" s="46" t="inlineStr">
        <is>
          <t>The everyday picture first, then what it meant in Wave 1, then the sentence to say out loud.</t>
        </is>
      </c>
    </row>
    <row r="5">
      <c r="B5" s="47" t="inlineStr">
        <is>
          <t>The word</t>
        </is>
      </c>
      <c r="C5" s="47" t="inlineStr">
        <is>
          <t>The everyday picture</t>
        </is>
      </c>
      <c r="D5" s="47" t="inlineStr">
        <is>
          <t>What it meant in Wave 1</t>
        </is>
      </c>
      <c r="E5" s="47" t="inlineStr">
        <is>
          <t>Say this in the room</t>
        </is>
      </c>
    </row>
    <row r="6" ht="51" customHeight="1">
      <c r="B6" s="48" t="inlineStr">
        <is>
          <t>Econometrics</t>
        </is>
      </c>
      <c r="C6" s="49" t="inlineStr">
        <is>
          <t>A detective with three years of weekly till receipts, working out which adverts raised the money.</t>
        </is>
      </c>
      <c r="D6" s="49" t="inlineStr">
        <is>
          <t>AP read 148 weeks of sign-ups against everything that happened each week and measured what each thing was worth.</t>
        </is>
      </c>
      <c r="E6" s="49" t="inlineStr">
        <is>
          <t>Econometrics is a detective reading three years of weekly receipts to work out which pounds raised the sign-ups.</t>
        </is>
      </c>
    </row>
    <row r="7" ht="51" customHeight="1">
      <c r="B7" s="48" t="inlineStr">
        <is>
          <t>Baseline</t>
        </is>
      </c>
      <c r="C7" s="49" t="inlineStr">
        <is>
          <t>The customers who walk into a shop because it is there and open.</t>
        </is>
      </c>
      <c r="D7" s="49" t="inlineStr">
        <is>
          <t>A few hundred a week, from people who already consider us and from our emails. AP say the true base is close to zero.</t>
        </is>
      </c>
      <c r="E7" s="49" t="inlineStr">
        <is>
          <t>The base is what we would get with the adverts off. Everything above it is what we caused.</t>
        </is>
      </c>
    </row>
    <row r="8" ht="51" customHeight="1">
      <c r="B8" s="48" t="inlineStr">
        <is>
          <t>Driver</t>
        </is>
      </c>
      <c r="C8" s="49" t="inlineStr">
        <is>
          <t>Anything that moves sign-ups up or down: an advert, a sale, the price, the time of year, inflation.</t>
        </is>
      </c>
      <c r="D8" s="49" t="inlineStr">
        <is>
          <t>AP tested 18 marketing drivers and six others and kept those with a reliable link. Weather, PR and outages had none.</t>
        </is>
      </c>
      <c r="E8" s="49" t="inlineStr">
        <is>
          <t>A driver is anything the model found that moves sign-ups.</t>
        </is>
      </c>
    </row>
    <row r="9" ht="51" customHeight="1">
      <c r="B9" s="48" t="inlineStr">
        <is>
          <t>Negative driver</t>
        </is>
      </c>
      <c r="C9" s="49" t="inlineStr">
        <is>
          <t>A brake. A dearer ticket means fewer people buy it.</t>
        </is>
      </c>
      <c r="D9" s="49" t="inlineStr">
        <is>
          <t>Price and the shut autumn window pull sign-ups down. A 12% lower fee in 2025 added about 2,500 sign-ups.</t>
        </is>
      </c>
      <c r="E9" s="49" t="inlineStr">
        <is>
          <t>Price pulls sign-ups down, and the model measures the brake as well as the accelerator.</t>
        </is>
      </c>
    </row>
    <row r="10" ht="51" customHeight="1">
      <c r="B10" s="48" t="inlineStr">
        <is>
          <t>Pull-forward</t>
        </is>
      </c>
      <c r="C10" s="49" t="inlineStr">
        <is>
          <t>A January sale. People who were going to buy in February buy in January instead, so February is quiet.</t>
        </is>
      </c>
      <c r="D10" s="49" t="inlineStr">
        <is>
          <t>Fewer sign-ups in the weeks after a discount window closed. AP added this so sales were not over-credited.</t>
        </is>
      </c>
      <c r="E10" s="49" t="inlineStr">
        <is>
          <t>Discounts bring sign-ups forward as well as adding new ones. The dip afterwards is real.</t>
        </is>
      </c>
    </row>
    <row r="11" ht="51" customHeight="1">
      <c r="B11" s="48" t="inlineStr">
        <is>
          <t>Adstock</t>
        </is>
      </c>
      <c r="C11" s="49" t="inlineStr">
        <is>
          <t>A kettle. Switch it off and the water stays hot for a while.</t>
        </is>
      </c>
      <c r="D11" s="49" t="inlineStr">
        <is>
          <t>Each block has a memory. The short-term effect of Race for Life adverts lasts up to six months.</t>
        </is>
      </c>
      <c r="E11" s="49" t="inlineStr">
        <is>
          <t>Our adverts keep raising sign-ups for weeks after they stop, and the model measures how fast that fades.</t>
        </is>
      </c>
    </row>
    <row r="12" ht="51" customHeight="1">
      <c r="B12" s="48" t="inlineStr">
        <is>
          <t>ROI, return per £1</t>
        </is>
      </c>
      <c r="C12" s="49" t="inlineStr">
        <is>
          <t>Income earned per pound of adverts. £1.66 back for every £1 in.</t>
        </is>
      </c>
      <c r="D12" s="49" t="inlineStr">
        <is>
          <t>Sponsorship income only, about £90 per sign-up. Not entry fees, not Gift Aid, only new sign-ups.</t>
        </is>
      </c>
      <c r="E12" s="49" t="inlineStr">
        <is>
          <t>Every £1 of Race for Life adverts returned £1.66 of sponsorship income in 2025.</t>
        </is>
      </c>
    </row>
    <row r="13" ht="51" customHeight="1">
      <c r="B13" s="48" t="inlineStr">
        <is>
          <t>Halo</t>
        </is>
      </c>
      <c r="C13" s="49" t="inlineStr">
        <is>
          <t>Rain on one field waters the next field too.</t>
        </is>
      </c>
      <c r="D13" s="49" t="inlineStr">
        <is>
          <t>Committed Giving adverts were 13% of Race for Life sign-ups in 2023 and 5% in 2025. Measured, not assumed.</t>
        </is>
      </c>
      <c r="E13" s="49" t="inlineStr">
        <is>
          <t>Committed Giving adverts were quietly filling Race for Life too. That is the halo.</t>
        </is>
      </c>
    </row>
    <row r="14" ht="51" customHeight="1">
      <c r="B14" s="48" t="inlineStr">
        <is>
          <t>Multicollinearity</t>
        </is>
      </c>
      <c r="C14" s="49" t="inlineStr">
        <is>
          <t>Two people singing the same note. You hear the sound but cannot tell who is louder.</t>
        </is>
      </c>
      <c r="D14" s="49" t="inlineStr">
        <is>
          <t>Most Race for Life channels air in the same weeks. AP measure the group first, then split it.</t>
        </is>
      </c>
      <c r="E14" s="49" t="inlineStr">
        <is>
          <t>When channels air together the model is sure about the group and less sure about each channel.</t>
        </is>
      </c>
    </row>
    <row r="15" ht="51" customHeight="1">
      <c r="B15" s="48" t="inlineStr">
        <is>
          <t>Confidence interval</t>
        </is>
      </c>
      <c r="C15" s="49" t="inlineStr">
        <is>
          <t>The range the true answer probably sits in. A forecast says 15 to 19 degrees, not 17.</t>
        </is>
      </c>
      <c r="D15" s="49" t="inlineStr">
        <is>
          <t>The Committed Giving halo is 2 to 4 sign-ups per £1,000. Quote the range when a decision is close.</t>
        </is>
      </c>
      <c r="E15" s="49" t="inlineStr">
        <is>
          <t>Every result is a range, and the range is the honest answer.</t>
        </is>
      </c>
    </row>
    <row r="16" ht="36" customHeight="1">
      <c r="B16" s="48" t="inlineStr">
        <is>
          <t>R squared</t>
        </is>
      </c>
      <c r="C16" s="49" t="inlineStr">
        <is>
          <t>How much of the weekly up-and-down the model reproduces. 100% would be a perfect copy.</t>
        </is>
      </c>
      <c r="D16" s="49" t="inlineStr">
        <is>
          <t>Wave 1 explains 94%. AP's guide is above 85%.</t>
        </is>
      </c>
      <c r="E16" s="49" t="inlineStr">
        <is>
          <t>The model explains 94% of the weekly pattern in sign-ups.</t>
        </is>
      </c>
    </row>
    <row r="17" ht="51" customHeight="1">
      <c r="B17" s="48" t="inlineStr">
        <is>
          <t>MAPE</t>
        </is>
      </c>
      <c r="C17" s="49" t="inlineStr">
        <is>
          <t>On an average week, how far the model is from the real number, as a percentage.</t>
        </is>
      </c>
      <c r="D17" s="49" t="inlineStr">
        <is>
          <t>28% on weeks with more than 2,000 sign-ups. Quiet weeks are left out because tiny weeks make percentages jump.</t>
        </is>
      </c>
      <c r="E17" s="49" t="inlineStr">
        <is>
          <t>On an average season week the model is within about a quarter of the real number.</t>
        </is>
      </c>
    </row>
    <row r="18" ht="51" customHeight="1">
      <c r="B18" s="48" t="inlineStr">
        <is>
          <t>Holdout test</t>
        </is>
      </c>
      <c r="C18" s="49" t="inlineStr">
        <is>
          <t>Hide the last few months, fit the model on the rest, then see if it predicts what you hid.</t>
        </is>
      </c>
      <c r="D18" s="49" t="inlineStr">
        <is>
          <t>The strongest proof a model works. AP use holdouts, bootstrapping and business sense checks together.</t>
        </is>
      </c>
      <c r="E18" s="49" t="inlineStr">
        <is>
          <t>A good model predicts weeks it was never shown.</t>
        </is>
      </c>
    </row>
    <row r="19" ht="36" customHeight="1">
      <c r="B19" s="48" t="inlineStr">
        <is>
          <t>Unexplained</t>
        </is>
      </c>
      <c r="C19" s="49" t="inlineStr">
        <is>
          <t>The part of a year-on-year change no driver accounts for. Every model has some.</t>
        </is>
      </c>
      <c r="D19" s="49" t="inlineStr">
        <is>
          <t>1.4% of sign-ups in the 2024 to 2025 comparison, well inside AP's tolerance.</t>
        </is>
      </c>
      <c r="E19" s="49" t="inlineStr">
        <is>
          <t>The model left 1.4% unexplained, which is small.</t>
        </is>
      </c>
    </row>
    <row r="20" ht="51" customHeight="1">
      <c r="B20" s="48" t="inlineStr">
        <is>
          <t>Marginal return</t>
        </is>
      </c>
      <c r="C20" s="49" t="inlineStr">
        <is>
          <t>The third biscuit never tastes like the first. The return on the very last pound.</t>
        </is>
      </c>
      <c r="D20" s="49" t="inlineStr">
        <is>
          <t>In 2025 the last pound of Race for Life adverts returned 82p while the average pound returned £1.66.</t>
        </is>
      </c>
      <c r="E20" s="49" t="inlineStr">
        <is>
          <t>The average pound returned £1.66 but the last pound returned 82p, so adding budget needs care.</t>
        </is>
      </c>
    </row>
    <row r="21" ht="51" customHeight="1">
      <c r="B21" s="48" t="inlineStr">
        <is>
          <t>Brand equity</t>
        </is>
      </c>
      <c r="C21" s="49" t="inlineStr">
        <is>
          <t>Reputation. It keeps working after you stop paying for it, and drains slowly if you stop.</t>
        </is>
      </c>
      <c r="D21" s="49" t="inlineStr">
        <is>
          <t>18.8% of today's consideration traces back to past media. It slips 0.25 points a year. £1m lifts it 0.4 points.</t>
        </is>
      </c>
      <c r="E21" s="49" t="inlineStr">
        <is>
          <t>Nearly a fifth of the people who consider us do so because of adverts they saw years ago.</t>
        </is>
      </c>
    </row>
    <row r="22" ht="36" customHeight="1">
      <c r="B22" s="48" t="inlineStr">
        <is>
          <t>Long-term multiplier</t>
        </is>
      </c>
      <c r="C22" s="49" t="inlineStr">
        <is>
          <t>The slow second job of an advert: making more people consider us at all.</t>
        </is>
      </c>
      <c r="D22" s="49" t="inlineStr">
        <is>
          <t>1.21 for Race for Life adverts (£1.66 becomes £2.01) and 1.04 for Committed Giving.</t>
        </is>
      </c>
      <c r="E22" s="49" t="inlineStr">
        <is>
          <t>Counting the long-term effect takes Race for Life adverts from £1.66 to £2.01 per pound.</t>
        </is>
      </c>
    </row>
    <row r="23" ht="51" customHeight="1">
      <c r="B23" s="48" t="inlineStr">
        <is>
          <t>Base driver</t>
        </is>
      </c>
      <c r="C23" s="49" t="inlineStr">
        <is>
          <t>The weather for a farmer. It moves the harvest and nobody on the farm controls it.</t>
        </is>
      </c>
      <c r="D23" s="49" t="inlineStr">
        <is>
          <t>Inflation cost Committed Giving about 900 new givers in FY25/26, as much as the advertising cut.</t>
        </is>
      </c>
      <c r="E23" s="49" t="inlineStr">
        <is>
          <t>Inflation and the advertising cut each cost about a quarter of new givers. One we chose, one we did not.</t>
        </is>
      </c>
    </row>
  </sheetData>
  <pageMargins left="0.75" right="0.75" top="1" bottom="1" header="0.5" footer="0.5"/>
  <pageSetup orientation="landscape" paperSize="9"/>
  <headerFooter>
    <oddHeader>&amp;LCRUK CONFIDENTIAL, INTERNAL USE ONLY</oddHeader>
    <oddFooter>&amp;LThe Econometrics Game v3&amp;RAndrew Rajanathan, CRUK M&amp;&amp;D</oddFooter>
    <evenHeader/>
    <evenFooter/>
    <firstHeader/>
    <firstFooter/>
  </headerFooter>
</worksheet>
</file>

<file path=xl/worksheets/sheet6.xml><?xml version="1.0" encoding="utf-8"?>
<worksheet xmlns="http://schemas.openxmlformats.org/spreadsheetml/2006/main">
  <sheetPr codeName="Sheet6">
    <tabColor rgb="00878787"/>
    <outlinePr summaryBelow="1" summaryRight="1"/>
    <pageSetUpPr/>
  </sheetPr>
  <dimension ref="A1:BW153"/>
  <sheetViews>
    <sheetView workbookViewId="0">
      <pane xSplit="4" ySplit="5" topLeftCell="E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9" max="69"/>
    <col width="13" customWidth="1" min="70" max="70"/>
    <col width="13" customWidth="1" min="71" max="71"/>
    <col width="13" customWidth="1" min="72" max="72"/>
    <col width="13" customWidth="1" min="73" max="73"/>
    <col width="13" customWidth="1" min="74" max="74"/>
    <col width="13" customWidth="1" min="75" max="75"/>
  </cols>
  <sheetData>
    <row r="1">
      <c r="A1" s="50" t="inlineStr">
        <is>
          <t>Under the bonnet: every weekly number and formula the game uses. Nothing is hidden.</t>
        </is>
      </c>
    </row>
    <row r="2" ht="34" customHeight="1">
      <c r="A2" s="51" t="inlineStr">
        <is>
          <t>Columns A to D and the AP columns are Analytic Partners' Wave 1 weekly figures, read from the charts in their July 2026 results deck. Everything else is a formula pointing at the game's dials. Spend is in thousands of pounds.</t>
        </is>
      </c>
    </row>
    <row r="5" ht="44" customHeight="1">
      <c r="A5" s="47" t="inlineStr">
        <is>
          <t>Week starting</t>
        </is>
      </c>
      <c r="B5" s="47" t="inlineStr">
        <is>
          <t>Year</t>
        </is>
      </c>
      <c r="C5" s="47" t="inlineStr">
        <is>
          <t>Month</t>
        </is>
      </c>
      <c r="D5" s="47" t="inlineStr">
        <is>
          <t>Real sign-ups</t>
        </is>
      </c>
      <c r="E5" s="47" t="inlineStr">
        <is>
          <t>Shape: base</t>
        </is>
      </c>
      <c r="F5" s="47" t="inlineStr">
        <is>
          <t>Shape: brake</t>
        </is>
      </c>
      <c r="G5" s="47" t="inlineStr">
        <is>
          <t>Shape: sale</t>
        </is>
      </c>
      <c r="H5" s="47" t="inlineStr">
        <is>
          <t>RFL adverts £k</t>
        </is>
      </c>
      <c r="I5" s="47" t="inlineStr">
        <is>
          <t>RFL adstock</t>
        </is>
      </c>
      <c r="J5" s="47" t="inlineStr">
        <is>
          <t>Committed Giving £k</t>
        </is>
      </c>
      <c r="K5" s="47" t="inlineStr">
        <is>
          <t>Other causes adverts £k</t>
        </is>
      </c>
      <c r="N5" s="47" t="inlineStr">
        <is>
          <t>TV £k</t>
        </is>
      </c>
      <c r="O5" s="47" t="inlineStr">
        <is>
          <t>Online video £k</t>
        </is>
      </c>
      <c r="P5" s="47" t="inlineStr">
        <is>
          <t>Radio £k</t>
        </is>
      </c>
      <c r="Q5" s="47" t="inlineStr">
        <is>
          <t>Posters £k</t>
        </is>
      </c>
      <c r="R5" s="47" t="inlineStr">
        <is>
          <t>Digital and social £k</t>
        </is>
      </c>
      <c r="S5" s="47" t="inlineStr">
        <is>
          <t>TV adstock</t>
        </is>
      </c>
      <c r="T5" s="47" t="inlineStr">
        <is>
          <t>Online video adstock</t>
        </is>
      </c>
      <c r="U5" s="47" t="inlineStr">
        <is>
          <t>Radio adstock</t>
        </is>
      </c>
      <c r="V5" s="47" t="inlineStr">
        <is>
          <t>Posters adstock</t>
        </is>
      </c>
      <c r="W5" s="47" t="inlineStr">
        <is>
          <t>Digital adstock</t>
        </is>
      </c>
      <c r="X5" s="47" t="inlineStr">
        <is>
          <t>Your block: base</t>
        </is>
      </c>
      <c r="Y5" s="47" t="inlineStr">
        <is>
          <t>Your block: brake</t>
        </is>
      </c>
      <c r="Z5" s="47" t="inlineStr">
        <is>
          <t>Your block: sale</t>
        </is>
      </c>
      <c r="AA5" s="47" t="inlineStr">
        <is>
          <t>Your block: RFL adverts</t>
        </is>
      </c>
      <c r="AB5" s="47" t="inlineStr">
        <is>
          <t>Your block: halo</t>
        </is>
      </c>
      <c r="AE5" s="47" t="inlineStr">
        <is>
          <t>Your block: TV</t>
        </is>
      </c>
      <c r="AF5" s="47" t="inlineStr">
        <is>
          <t>Your block: Online video</t>
        </is>
      </c>
      <c r="AG5" s="47" t="inlineStr">
        <is>
          <t>Your block: Radio</t>
        </is>
      </c>
      <c r="AH5" s="47" t="inlineStr">
        <is>
          <t>Your block: Posters</t>
        </is>
      </c>
      <c r="AI5" s="47" t="inlineStr">
        <is>
          <t>Your block: Digital and social</t>
        </is>
      </c>
      <c r="AJ5" s="47" t="inlineStr">
        <is>
          <t>Model 1 base</t>
        </is>
      </c>
      <c r="AK5" s="47" t="inlineStr">
        <is>
          <t>Model 2 brake</t>
        </is>
      </c>
      <c r="AL5" s="47" t="inlineStr">
        <is>
          <t>Model 3 sale</t>
        </is>
      </c>
      <c r="AM5" s="47" t="inlineStr">
        <is>
          <t>Model 4 adverts</t>
        </is>
      </c>
      <c r="AN5" s="47" t="inlineStr">
        <is>
          <t>Model 5 halo</t>
        </is>
      </c>
      <c r="AO5" s="47" t="inlineStr">
        <is>
          <t>Model 6 split</t>
        </is>
      </c>
      <c r="AP5" s="47" t="inlineStr">
        <is>
          <t>Your final model</t>
        </is>
      </c>
      <c r="AQ5" s="47" t="inlineStr">
        <is>
          <t>AP block: base</t>
        </is>
      </c>
      <c r="AR5" s="47" t="inlineStr">
        <is>
          <t>AP block: brake</t>
        </is>
      </c>
      <c r="AS5" s="47" t="inlineStr">
        <is>
          <t>AP block: sale</t>
        </is>
      </c>
      <c r="AT5" s="47" t="inlineStr">
        <is>
          <t>AP block: RFL adverts</t>
        </is>
      </c>
      <c r="AU5" s="47" t="inlineStr">
        <is>
          <t>AP block: halo</t>
        </is>
      </c>
      <c r="AX5" s="47" t="inlineStr">
        <is>
          <t>AP block: TV</t>
        </is>
      </c>
      <c r="AY5" s="47" t="inlineStr">
        <is>
          <t>AP block: Online video</t>
        </is>
      </c>
      <c r="AZ5" s="47" t="inlineStr">
        <is>
          <t>AP block: Radio</t>
        </is>
      </c>
      <c r="BA5" s="47" t="inlineStr">
        <is>
          <t>AP block: Posters</t>
        </is>
      </c>
      <c r="BB5" s="47" t="inlineStr">
        <is>
          <t>AP block: Digital and social</t>
        </is>
      </c>
      <c r="BC5" s="47" t="inlineStr">
        <is>
          <t>Wave 1 model</t>
        </is>
      </c>
      <c r="BD5" s="47" t="inlineStr">
        <is>
          <t>Wave 1 model 1</t>
        </is>
      </c>
      <c r="BE5" s="47" t="inlineStr">
        <is>
          <t>Wave 1 model 2</t>
        </is>
      </c>
      <c r="BF5" s="47" t="inlineStr">
        <is>
          <t>Wave 1 model 3</t>
        </is>
      </c>
      <c r="BG5" s="47" t="inlineStr">
        <is>
          <t>Wave 1 model 4</t>
        </is>
      </c>
      <c r="BH5" s="47" t="inlineStr">
        <is>
          <t>Wave 1 model 5</t>
        </is>
      </c>
      <c r="BI5" s="47" t="inlineStr">
        <is>
          <t>Wave 1 model 6</t>
        </is>
      </c>
      <c r="BJ5" s="47" t="inlineStr">
        <is>
          <t>Chart: Wave 1 answer</t>
        </is>
      </c>
      <c r="BK5" s="47" t="inlineStr">
        <is>
          <t>Chart: your model</t>
        </is>
      </c>
      <c r="BL5" s="47" t="inlineStr">
        <is>
          <t>Chart: adverts spend £k</t>
        </is>
      </c>
      <c r="BQ5" s="47" t="inlineStr">
        <is>
          <t>Miss</t>
        </is>
      </c>
      <c r="BR5" s="47" t="inlineStr">
        <is>
          <t>Miss squared</t>
        </is>
      </c>
      <c r="BS5" s="47" t="inlineStr">
        <is>
          <t>Miss change squared</t>
        </is>
      </c>
      <c r="BT5" s="47" t="inlineStr">
        <is>
          <t>Weekly % miss (weeks over 2,000)</t>
        </is>
      </c>
      <c r="BU5" s="47" t="inlineStr">
        <is>
          <t>Real new Committed Givers</t>
        </is>
      </c>
      <c r="BV5" s="47" t="inlineStr">
        <is>
          <t>Brand consideration</t>
        </is>
      </c>
      <c r="BW5" s="47" t="inlineStr">
        <is>
          <t>All CRUK media £k</t>
        </is>
      </c>
    </row>
    <row r="6">
      <c r="A6" s="73" t="n">
        <v>44934</v>
      </c>
      <c r="B6" s="53">
        <f>YEAR(A6)</f>
        <v/>
      </c>
      <c r="C6" s="53">
        <f>MONTH(A6)</f>
        <v/>
      </c>
      <c r="D6" s="54" t="n">
        <v>15469</v>
      </c>
      <c r="E6" s="55" t="n">
        <v>0.6228</v>
      </c>
      <c r="F6" s="55" t="n">
        <v>0.059</v>
      </c>
      <c r="G6" s="55" t="n">
        <v>0.7291</v>
      </c>
      <c r="H6" s="54" t="n">
        <v>112.9</v>
      </c>
      <c r="I6" s="54">
        <f>H6</f>
        <v/>
      </c>
      <c r="J6" s="54" t="n">
        <v>480.94</v>
      </c>
      <c r="K6" s="54" t="n">
        <v>663.21</v>
      </c>
      <c r="N6" s="54" t="n">
        <v>0</v>
      </c>
      <c r="O6" s="54" t="n">
        <v>0</v>
      </c>
      <c r="P6" s="54" t="n">
        <v>53.8</v>
      </c>
      <c r="Q6" s="54" t="n">
        <v>0</v>
      </c>
      <c r="R6" s="54" t="n">
        <v>43.63</v>
      </c>
      <c r="S6" s="54">
        <f>N6</f>
        <v/>
      </c>
      <c r="T6" s="54">
        <f>O6</f>
        <v/>
      </c>
      <c r="U6" s="54">
        <f>P6</f>
        <v/>
      </c>
      <c r="V6" s="54">
        <f>Q6</f>
        <v/>
      </c>
      <c r="W6" s="54">
        <f>R6</f>
        <v/>
      </c>
      <c r="X6" s="54">
        <f>State!$B$2*E6</f>
        <v/>
      </c>
      <c r="Y6" s="54">
        <f>-State!$B$3*F6</f>
        <v/>
      </c>
      <c r="Z6" s="54">
        <f>State!$B$4*G6</f>
        <v/>
      </c>
      <c r="AA6" s="54">
        <f>State!$B$5*(1-State!$B$6/100)*I6</f>
        <v/>
      </c>
      <c r="AB6" s="54">
        <f>State!$B$7*K6</f>
        <v/>
      </c>
      <c r="AE6" s="54">
        <f>State!$B$8*(1-Answers!$C$16/100)*S6</f>
        <v/>
      </c>
      <c r="AF6" s="54">
        <f>State!$B$9*(1-Answers!$C$17/100)*T6</f>
        <v/>
      </c>
      <c r="AG6" s="54">
        <f>State!$B$10*(1-Answers!$C$18/100)*U6</f>
        <v/>
      </c>
      <c r="AH6" s="54">
        <f>State!$B$11*(1-Answers!$C$19/100)*V6</f>
        <v/>
      </c>
      <c r="AI6" s="54">
        <f>State!$B$12*(1-Answers!$C$20/100)*W6</f>
        <v/>
      </c>
      <c r="AJ6" s="54">
        <f>X6</f>
        <v/>
      </c>
      <c r="AK6" s="54">
        <f>X6+Y6</f>
        <v/>
      </c>
      <c r="AL6" s="54">
        <f>AK6+Z6</f>
        <v/>
      </c>
      <c r="AM6" s="54">
        <f>AL6+AA6</f>
        <v/>
      </c>
      <c r="AN6" s="54">
        <f>AM6+AB6</f>
        <v/>
      </c>
      <c r="AO6" s="54">
        <f>AL6+AE6+AF6+AG6+AH6+AI6+AB6</f>
        <v/>
      </c>
      <c r="AP6" s="54">
        <f>IF(State!$B$46=1,AO6,AN6)</f>
        <v/>
      </c>
      <c r="AQ6" s="54" t="n">
        <v>545.3</v>
      </c>
      <c r="AR6" s="54" t="n">
        <v>-56.2</v>
      </c>
      <c r="AS6" s="54" t="n">
        <v>5539.2</v>
      </c>
      <c r="AT6" s="54" t="n">
        <v>279.3</v>
      </c>
      <c r="AU6" s="54" t="n">
        <v>2353.9</v>
      </c>
      <c r="AX6" s="54" t="n">
        <v>0</v>
      </c>
      <c r="AY6" s="54" t="n">
        <v>0</v>
      </c>
      <c r="AZ6" s="54" t="n">
        <v>141.1</v>
      </c>
      <c r="BA6" s="54" t="n">
        <v>0</v>
      </c>
      <c r="BB6" s="54" t="n">
        <v>138.2</v>
      </c>
      <c r="BC6" s="54">
        <f>AQ6+AR6+AS6+AT6+AU6</f>
        <v/>
      </c>
      <c r="BD6" s="54">
        <f>AQ6</f>
        <v/>
      </c>
      <c r="BE6" s="54">
        <f>AQ6+AR6</f>
        <v/>
      </c>
      <c r="BF6" s="54">
        <f>BE6+AS6</f>
        <v/>
      </c>
      <c r="BG6" s="54">
        <f>BF6+AT6</f>
        <v/>
      </c>
      <c r="BH6" s="54">
        <f>BG6+AU6</f>
        <v/>
      </c>
      <c r="BI6" s="54">
        <f>BC6</f>
        <v/>
      </c>
      <c r="BJ6" s="54">
        <f>IF(State!$B$14=1,CHOOSE(State!$B$43+1,D6,BD6,BE6,BF6,BG6,BH6,BI6),BK6)</f>
        <v/>
      </c>
      <c r="BK6" s="54">
        <f>CHOOSE(State!$B$43+1,D6,AJ6,AK6,AL6,AM6,AN6,AO6)</f>
        <v/>
      </c>
      <c r="BL6" s="54">
        <f>IF(State!$B$44=1,H6,0)</f>
        <v/>
      </c>
      <c r="BQ6" s="54">
        <f>D6-AP6</f>
        <v/>
      </c>
      <c r="BR6" s="54">
        <f>BQ6^2</f>
        <v/>
      </c>
      <c r="BS6" s="54" t="n">
        <v>0</v>
      </c>
      <c r="BT6" s="54">
        <f>IF(D6&gt;2000,ABS(BQ6)/D6,"")</f>
        <v/>
      </c>
      <c r="BU6" s="54" t="n">
        <v>353</v>
      </c>
      <c r="BV6" s="74" t="n">
        <v>0.5182</v>
      </c>
      <c r="BW6" s="54" t="n">
        <v>848.3</v>
      </c>
    </row>
    <row r="7">
      <c r="A7" s="73" t="n">
        <v>44941</v>
      </c>
      <c r="B7" s="53">
        <f>YEAR(A7)</f>
        <v/>
      </c>
      <c r="C7" s="53">
        <f>MONTH(A7)</f>
        <v/>
      </c>
      <c r="D7" s="54" t="n">
        <v>13743</v>
      </c>
      <c r="E7" s="55" t="n">
        <v>0.6228</v>
      </c>
      <c r="F7" s="55" t="n">
        <v>0.0043</v>
      </c>
      <c r="G7" s="55" t="n">
        <v>0.7291</v>
      </c>
      <c r="H7" s="54" t="n">
        <v>127.61</v>
      </c>
      <c r="I7" s="54">
        <f>H7+State!$B$6/100*I6</f>
        <v/>
      </c>
      <c r="J7" s="54" t="n">
        <v>459.63</v>
      </c>
      <c r="K7" s="54" t="n">
        <v>619.16</v>
      </c>
      <c r="N7" s="54" t="n">
        <v>0</v>
      </c>
      <c r="O7" s="54" t="n">
        <v>0</v>
      </c>
      <c r="P7" s="54" t="n">
        <v>34.89</v>
      </c>
      <c r="Q7" s="54" t="n">
        <v>0</v>
      </c>
      <c r="R7" s="54" t="n">
        <v>78.97</v>
      </c>
      <c r="S7" s="54">
        <f>N7+Answers!$C$16/100*S6</f>
        <v/>
      </c>
      <c r="T7" s="54">
        <f>O7+Answers!$C$17/100*T6</f>
        <v/>
      </c>
      <c r="U7" s="54">
        <f>P7+Answers!$C$18/100*U6</f>
        <v/>
      </c>
      <c r="V7" s="54">
        <f>Q7+Answers!$C$19/100*V6</f>
        <v/>
      </c>
      <c r="W7" s="54">
        <f>R7+Answers!$C$20/100*W6</f>
        <v/>
      </c>
      <c r="X7" s="54">
        <f>State!$B$2*E7</f>
        <v/>
      </c>
      <c r="Y7" s="54">
        <f>-State!$B$3*F7</f>
        <v/>
      </c>
      <c r="Z7" s="54">
        <f>State!$B$4*G7</f>
        <v/>
      </c>
      <c r="AA7" s="54">
        <f>State!$B$5*(1-State!$B$6/100)*I7</f>
        <v/>
      </c>
      <c r="AB7" s="54">
        <f>State!$B$7*K7</f>
        <v/>
      </c>
      <c r="AE7" s="54">
        <f>State!$B$8*(1-Answers!$C$16/100)*S7</f>
        <v/>
      </c>
      <c r="AF7" s="54">
        <f>State!$B$9*(1-Answers!$C$17/100)*T7</f>
        <v/>
      </c>
      <c r="AG7" s="54">
        <f>State!$B$10*(1-Answers!$C$18/100)*U7</f>
        <v/>
      </c>
      <c r="AH7" s="54">
        <f>State!$B$11*(1-Answers!$C$19/100)*V7</f>
        <v/>
      </c>
      <c r="AI7" s="54">
        <f>State!$B$12*(1-Answers!$C$20/100)*W7</f>
        <v/>
      </c>
      <c r="AJ7" s="54">
        <f>X7</f>
        <v/>
      </c>
      <c r="AK7" s="54">
        <f>X7+Y7</f>
        <v/>
      </c>
      <c r="AL7" s="54">
        <f>AK7+Z7</f>
        <v/>
      </c>
      <c r="AM7" s="54">
        <f>AL7+AA7</f>
        <v/>
      </c>
      <c r="AN7" s="54">
        <f>AM7+AB7</f>
        <v/>
      </c>
      <c r="AO7" s="54">
        <f>AL7+AE7+AF7+AG7+AH7+AI7+AB7</f>
        <v/>
      </c>
      <c r="AP7" s="54">
        <f>IF(State!$B$46=1,AO7,AN7)</f>
        <v/>
      </c>
      <c r="AQ7" s="54" t="n">
        <v>545.3</v>
      </c>
      <c r="AR7" s="54" t="n">
        <v>-4.1</v>
      </c>
      <c r="AS7" s="54" t="n">
        <v>5539.2</v>
      </c>
      <c r="AT7" s="54" t="n">
        <v>561.4</v>
      </c>
      <c r="AU7" s="54" t="n">
        <v>2158.1</v>
      </c>
      <c r="AX7" s="54" t="n">
        <v>0</v>
      </c>
      <c r="AY7" s="54" t="n">
        <v>0</v>
      </c>
      <c r="AZ7" s="54" t="n">
        <v>211.4</v>
      </c>
      <c r="BA7" s="54" t="n">
        <v>0</v>
      </c>
      <c r="BB7" s="54" t="n">
        <v>349.9</v>
      </c>
      <c r="BC7" s="54">
        <f>AQ7+AR7+AS7+AT7+AU7</f>
        <v/>
      </c>
      <c r="BD7" s="54">
        <f>AQ7</f>
        <v/>
      </c>
      <c r="BE7" s="54">
        <f>AQ7+AR7</f>
        <v/>
      </c>
      <c r="BF7" s="54">
        <f>BE7+AS7</f>
        <v/>
      </c>
      <c r="BG7" s="54">
        <f>BF7+AT7</f>
        <v/>
      </c>
      <c r="BH7" s="54">
        <f>BG7+AU7</f>
        <v/>
      </c>
      <c r="BI7" s="54">
        <f>BC7</f>
        <v/>
      </c>
      <c r="BJ7" s="54">
        <f>IF(State!$B$14=1,CHOOSE(State!$B$43+1,D7,BD7,BE7,BF7,BG7,BH7,BI7),BK7)</f>
        <v/>
      </c>
      <c r="BK7" s="54">
        <f>CHOOSE(State!$B$43+1,D7,AJ7,AK7,AL7,AM7,AN7,AO7)</f>
        <v/>
      </c>
      <c r="BL7" s="54">
        <f>IF(State!$B$44=1,H7,0)</f>
        <v/>
      </c>
      <c r="BQ7" s="54">
        <f>D7-AP7</f>
        <v/>
      </c>
      <c r="BR7" s="54">
        <f>BQ7^2</f>
        <v/>
      </c>
      <c r="BS7" s="54">
        <f>(BQ7-BQ6)^2</f>
        <v/>
      </c>
      <c r="BT7" s="54">
        <f>IF(D7&gt;2000,ABS(BQ7)/D7,"")</f>
        <v/>
      </c>
      <c r="BU7" s="54" t="n">
        <v>396</v>
      </c>
      <c r="BV7" s="74" t="n">
        <v>0.5182</v>
      </c>
      <c r="BW7" s="54" t="n">
        <v>841.2</v>
      </c>
    </row>
    <row r="8">
      <c r="A8" s="73" t="n">
        <v>44948</v>
      </c>
      <c r="B8" s="53">
        <f>YEAR(A8)</f>
        <v/>
      </c>
      <c r="C8" s="53">
        <f>MONTH(A8)</f>
        <v/>
      </c>
      <c r="D8" s="54" t="n">
        <v>11484</v>
      </c>
      <c r="E8" s="55" t="n">
        <v>0.6149</v>
      </c>
      <c r="F8" s="55" t="n">
        <v>-0.0097</v>
      </c>
      <c r="G8" s="55" t="n">
        <v>0.7291</v>
      </c>
      <c r="H8" s="54" t="n">
        <v>141.44</v>
      </c>
      <c r="I8" s="54">
        <f>H8+State!$B$6/100*I7</f>
        <v/>
      </c>
      <c r="J8" s="54" t="n">
        <v>160.45</v>
      </c>
      <c r="K8" s="54" t="n">
        <v>547.86</v>
      </c>
      <c r="N8" s="54" t="n">
        <v>0</v>
      </c>
      <c r="O8" s="54" t="n">
        <v>0</v>
      </c>
      <c r="P8" s="54" t="n">
        <v>31.23</v>
      </c>
      <c r="Q8" s="54" t="n">
        <v>0</v>
      </c>
      <c r="R8" s="54" t="n">
        <v>98.72</v>
      </c>
      <c r="S8" s="54">
        <f>N8+Answers!$C$16/100*S7</f>
        <v/>
      </c>
      <c r="T8" s="54">
        <f>O8+Answers!$C$17/100*T7</f>
        <v/>
      </c>
      <c r="U8" s="54">
        <f>P8+Answers!$C$18/100*U7</f>
        <v/>
      </c>
      <c r="V8" s="54">
        <f>Q8+Answers!$C$19/100*V7</f>
        <v/>
      </c>
      <c r="W8" s="54">
        <f>R8+Answers!$C$20/100*W7</f>
        <v/>
      </c>
      <c r="X8" s="54">
        <f>State!$B$2*E8</f>
        <v/>
      </c>
      <c r="Y8" s="54">
        <f>-State!$B$3*F8</f>
        <v/>
      </c>
      <c r="Z8" s="54">
        <f>State!$B$4*G8</f>
        <v/>
      </c>
      <c r="AA8" s="54">
        <f>State!$B$5*(1-State!$B$6/100)*I8</f>
        <v/>
      </c>
      <c r="AB8" s="54">
        <f>State!$B$7*K8</f>
        <v/>
      </c>
      <c r="AE8" s="54">
        <f>State!$B$8*(1-Answers!$C$16/100)*S8</f>
        <v/>
      </c>
      <c r="AF8" s="54">
        <f>State!$B$9*(1-Answers!$C$17/100)*T8</f>
        <v/>
      </c>
      <c r="AG8" s="54">
        <f>State!$B$10*(1-Answers!$C$18/100)*U8</f>
        <v/>
      </c>
      <c r="AH8" s="54">
        <f>State!$B$11*(1-Answers!$C$19/100)*V8</f>
        <v/>
      </c>
      <c r="AI8" s="54">
        <f>State!$B$12*(1-Answers!$C$20/100)*W8</f>
        <v/>
      </c>
      <c r="AJ8" s="54">
        <f>X8</f>
        <v/>
      </c>
      <c r="AK8" s="54">
        <f>X8+Y8</f>
        <v/>
      </c>
      <c r="AL8" s="54">
        <f>AK8+Z8</f>
        <v/>
      </c>
      <c r="AM8" s="54">
        <f>AL8+AA8</f>
        <v/>
      </c>
      <c r="AN8" s="54">
        <f>AM8+AB8</f>
        <v/>
      </c>
      <c r="AO8" s="54">
        <f>AL8+AE8+AF8+AG8+AH8+AI8+AB8</f>
        <v/>
      </c>
      <c r="AP8" s="54">
        <f>IF(State!$B$46=1,AO8,AN8)</f>
        <v/>
      </c>
      <c r="AQ8" s="54" t="n">
        <v>538.4</v>
      </c>
      <c r="AR8" s="54" t="n">
        <v>9.199999999999999</v>
      </c>
      <c r="AS8" s="54" t="n">
        <v>5539.2</v>
      </c>
      <c r="AT8" s="54" t="n">
        <v>842.7</v>
      </c>
      <c r="AU8" s="54" t="n">
        <v>1845.8</v>
      </c>
      <c r="AX8" s="54" t="n">
        <v>0</v>
      </c>
      <c r="AY8" s="54" t="n">
        <v>0</v>
      </c>
      <c r="AZ8" s="54" t="n">
        <v>261.6</v>
      </c>
      <c r="BA8" s="54" t="n">
        <v>0</v>
      </c>
      <c r="BB8" s="54" t="n">
        <v>581.1</v>
      </c>
      <c r="BC8" s="54">
        <f>AQ8+AR8+AS8+AT8+AU8</f>
        <v/>
      </c>
      <c r="BD8" s="54">
        <f>AQ8</f>
        <v/>
      </c>
      <c r="BE8" s="54">
        <f>AQ8+AR8</f>
        <v/>
      </c>
      <c r="BF8" s="54">
        <f>BE8+AS8</f>
        <v/>
      </c>
      <c r="BG8" s="54">
        <f>BF8+AT8</f>
        <v/>
      </c>
      <c r="BH8" s="54">
        <f>BG8+AU8</f>
        <v/>
      </c>
      <c r="BI8" s="54">
        <f>BC8</f>
        <v/>
      </c>
      <c r="BJ8" s="54">
        <f>IF(State!$B$14=1,CHOOSE(State!$B$43+1,D8,BD8,BE8,BF8,BG8,BH8,BI8),BK8)</f>
        <v/>
      </c>
      <c r="BK8" s="54">
        <f>CHOOSE(State!$B$43+1,D8,AJ8,AK8,AL8,AM8,AN8,AO8)</f>
        <v/>
      </c>
      <c r="BL8" s="54">
        <f>IF(State!$B$44=1,H8,0)</f>
        <v/>
      </c>
      <c r="BQ8" s="54">
        <f>D8-AP8</f>
        <v/>
      </c>
      <c r="BR8" s="54">
        <f>BQ8^2</f>
        <v/>
      </c>
      <c r="BS8" s="54">
        <f>(BQ8-BQ7)^2</f>
        <v/>
      </c>
      <c r="BT8" s="54">
        <f>IF(D8&gt;2000,ABS(BQ8)/D8,"")</f>
        <v/>
      </c>
      <c r="BU8" s="54" t="n">
        <v>273</v>
      </c>
      <c r="BV8" s="74" t="n">
        <v>0.5182</v>
      </c>
      <c r="BW8" s="54" t="n">
        <v>774.9</v>
      </c>
    </row>
    <row r="9">
      <c r="A9" s="73" t="n">
        <v>44955</v>
      </c>
      <c r="B9" s="53">
        <f>YEAR(A9)</f>
        <v/>
      </c>
      <c r="C9" s="53">
        <f>MONTH(A9)</f>
        <v/>
      </c>
      <c r="D9" s="54" t="n">
        <v>18475</v>
      </c>
      <c r="E9" s="55" t="n">
        <v>0.6039</v>
      </c>
      <c r="F9" s="55" t="n">
        <v>0.0454</v>
      </c>
      <c r="G9" s="55" t="n">
        <v>1.9628</v>
      </c>
      <c r="H9" s="54" t="n">
        <v>131.97</v>
      </c>
      <c r="I9" s="54">
        <f>H9+State!$B$6/100*I8</f>
        <v/>
      </c>
      <c r="J9" s="54" t="n">
        <v>131.51</v>
      </c>
      <c r="K9" s="54" t="n">
        <v>443.52</v>
      </c>
      <c r="N9" s="54" t="n">
        <v>0</v>
      </c>
      <c r="O9" s="54" t="n">
        <v>0</v>
      </c>
      <c r="P9" s="54" t="n">
        <v>36.57</v>
      </c>
      <c r="Q9" s="54" t="n">
        <v>0</v>
      </c>
      <c r="R9" s="54" t="n">
        <v>76.92</v>
      </c>
      <c r="S9" s="54">
        <f>N9+Answers!$C$16/100*S8</f>
        <v/>
      </c>
      <c r="T9" s="54">
        <f>O9+Answers!$C$17/100*T8</f>
        <v/>
      </c>
      <c r="U9" s="54">
        <f>P9+Answers!$C$18/100*U8</f>
        <v/>
      </c>
      <c r="V9" s="54">
        <f>Q9+Answers!$C$19/100*V8</f>
        <v/>
      </c>
      <c r="W9" s="54">
        <f>R9+Answers!$C$20/100*W8</f>
        <v/>
      </c>
      <c r="X9" s="54">
        <f>State!$B$2*E9</f>
        <v/>
      </c>
      <c r="Y9" s="54">
        <f>-State!$B$3*F9</f>
        <v/>
      </c>
      <c r="Z9" s="54">
        <f>State!$B$4*G9</f>
        <v/>
      </c>
      <c r="AA9" s="54">
        <f>State!$B$5*(1-State!$B$6/100)*I9</f>
        <v/>
      </c>
      <c r="AB9" s="54">
        <f>State!$B$7*K9</f>
        <v/>
      </c>
      <c r="AE9" s="54">
        <f>State!$B$8*(1-Answers!$C$16/100)*S9</f>
        <v/>
      </c>
      <c r="AF9" s="54">
        <f>State!$B$9*(1-Answers!$C$17/100)*T9</f>
        <v/>
      </c>
      <c r="AG9" s="54">
        <f>State!$B$10*(1-Answers!$C$18/100)*U9</f>
        <v/>
      </c>
      <c r="AH9" s="54">
        <f>State!$B$11*(1-Answers!$C$19/100)*V9</f>
        <v/>
      </c>
      <c r="AI9" s="54">
        <f>State!$B$12*(1-Answers!$C$20/100)*W9</f>
        <v/>
      </c>
      <c r="AJ9" s="54">
        <f>X9</f>
        <v/>
      </c>
      <c r="AK9" s="54">
        <f>X9+Y9</f>
        <v/>
      </c>
      <c r="AL9" s="54">
        <f>AK9+Z9</f>
        <v/>
      </c>
      <c r="AM9" s="54">
        <f>AL9+AA9</f>
        <v/>
      </c>
      <c r="AN9" s="54">
        <f>AM9+AB9</f>
        <v/>
      </c>
      <c r="AO9" s="54">
        <f>AL9+AE9+AF9+AG9+AH9+AI9+AB9</f>
        <v/>
      </c>
      <c r="AP9" s="54">
        <f>IF(State!$B$46=1,AO9,AN9)</f>
        <v/>
      </c>
      <c r="AQ9" s="54" t="n">
        <v>528.8</v>
      </c>
      <c r="AR9" s="54" t="n">
        <v>-43.3</v>
      </c>
      <c r="AS9" s="54" t="n">
        <v>14912.1</v>
      </c>
      <c r="AT9" s="54" t="n">
        <v>1029.9</v>
      </c>
      <c r="AU9" s="54" t="n">
        <v>1396.8</v>
      </c>
      <c r="AX9" s="54" t="n">
        <v>0</v>
      </c>
      <c r="AY9" s="54" t="n">
        <v>0</v>
      </c>
      <c r="AZ9" s="54" t="n">
        <v>318.3</v>
      </c>
      <c r="BA9" s="54" t="n">
        <v>0</v>
      </c>
      <c r="BB9" s="54" t="n">
        <v>711.6</v>
      </c>
      <c r="BC9" s="54">
        <f>AQ9+AR9+AS9+AT9+AU9</f>
        <v/>
      </c>
      <c r="BD9" s="54">
        <f>AQ9</f>
        <v/>
      </c>
      <c r="BE9" s="54">
        <f>AQ9+AR9</f>
        <v/>
      </c>
      <c r="BF9" s="54">
        <f>BE9+AS9</f>
        <v/>
      </c>
      <c r="BG9" s="54">
        <f>BF9+AT9</f>
        <v/>
      </c>
      <c r="BH9" s="54">
        <f>BG9+AU9</f>
        <v/>
      </c>
      <c r="BI9" s="54">
        <f>BC9</f>
        <v/>
      </c>
      <c r="BJ9" s="54">
        <f>IF(State!$B$14=1,CHOOSE(State!$B$43+1,D9,BD9,BE9,BF9,BG9,BH9,BI9),BK9)</f>
        <v/>
      </c>
      <c r="BK9" s="54">
        <f>CHOOSE(State!$B$43+1,D9,AJ9,AK9,AL9,AM9,AN9,AO9)</f>
        <v/>
      </c>
      <c r="BL9" s="54">
        <f>IF(State!$B$44=1,H9,0)</f>
        <v/>
      </c>
      <c r="BQ9" s="54">
        <f>D9-AP9</f>
        <v/>
      </c>
      <c r="BR9" s="54">
        <f>BQ9^2</f>
        <v/>
      </c>
      <c r="BS9" s="54">
        <f>(BQ9-BQ8)^2</f>
        <v/>
      </c>
      <c r="BT9" s="54">
        <f>IF(D9&gt;2000,ABS(BQ9)/D9,"")</f>
        <v/>
      </c>
      <c r="BU9" s="54" t="n">
        <v>308</v>
      </c>
      <c r="BV9" s="74" t="n">
        <v>0.4921</v>
      </c>
      <c r="BW9" s="54" t="n">
        <v>640.5</v>
      </c>
    </row>
    <row r="10">
      <c r="A10" s="73" t="n">
        <v>44962</v>
      </c>
      <c r="B10" s="53">
        <f>YEAR(A10)</f>
        <v/>
      </c>
      <c r="C10" s="53">
        <f>MONTH(A10)</f>
        <v/>
      </c>
      <c r="D10" s="54" t="n">
        <v>18825</v>
      </c>
      <c r="E10" s="55" t="n">
        <v>1.5192</v>
      </c>
      <c r="F10" s="55" t="n">
        <v>0.2578</v>
      </c>
      <c r="G10" s="55" t="n">
        <v>1.9628</v>
      </c>
      <c r="H10" s="54" t="n">
        <v>80.2</v>
      </c>
      <c r="I10" s="54">
        <f>H10+State!$B$6/100*I9</f>
        <v/>
      </c>
      <c r="J10" s="54" t="n">
        <v>541</v>
      </c>
      <c r="K10" s="54" t="n">
        <v>706.1799999999999</v>
      </c>
      <c r="N10" s="54" t="n">
        <v>0</v>
      </c>
      <c r="O10" s="54" t="n">
        <v>0</v>
      </c>
      <c r="P10" s="54" t="n">
        <v>29.67</v>
      </c>
      <c r="Q10" s="54" t="n">
        <v>0</v>
      </c>
      <c r="R10" s="54" t="n">
        <v>31.71</v>
      </c>
      <c r="S10" s="54">
        <f>N10+Answers!$C$16/100*S9</f>
        <v/>
      </c>
      <c r="T10" s="54">
        <f>O10+Answers!$C$17/100*T9</f>
        <v/>
      </c>
      <c r="U10" s="54">
        <f>P10+Answers!$C$18/100*U9</f>
        <v/>
      </c>
      <c r="V10" s="54">
        <f>Q10+Answers!$C$19/100*V9</f>
        <v/>
      </c>
      <c r="W10" s="54">
        <f>R10+Answers!$C$20/100*W9</f>
        <v/>
      </c>
      <c r="X10" s="54">
        <f>State!$B$2*E10</f>
        <v/>
      </c>
      <c r="Y10" s="54">
        <f>-State!$B$3*F10</f>
        <v/>
      </c>
      <c r="Z10" s="54">
        <f>State!$B$4*G10</f>
        <v/>
      </c>
      <c r="AA10" s="54">
        <f>State!$B$5*(1-State!$B$6/100)*I10</f>
        <v/>
      </c>
      <c r="AB10" s="54">
        <f>State!$B$7*K10</f>
        <v/>
      </c>
      <c r="AE10" s="54">
        <f>State!$B$8*(1-Answers!$C$16/100)*S10</f>
        <v/>
      </c>
      <c r="AF10" s="54">
        <f>State!$B$9*(1-Answers!$C$17/100)*T10</f>
        <v/>
      </c>
      <c r="AG10" s="54">
        <f>State!$B$10*(1-Answers!$C$18/100)*U10</f>
        <v/>
      </c>
      <c r="AH10" s="54">
        <f>State!$B$11*(1-Answers!$C$19/100)*V10</f>
        <v/>
      </c>
      <c r="AI10" s="54">
        <f>State!$B$12*(1-Answers!$C$20/100)*W10</f>
        <v/>
      </c>
      <c r="AJ10" s="54">
        <f>X10</f>
        <v/>
      </c>
      <c r="AK10" s="54">
        <f>X10+Y10</f>
        <v/>
      </c>
      <c r="AL10" s="54">
        <f>AK10+Z10</f>
        <v/>
      </c>
      <c r="AM10" s="54">
        <f>AL10+AA10</f>
        <v/>
      </c>
      <c r="AN10" s="54">
        <f>AM10+AB10</f>
        <v/>
      </c>
      <c r="AO10" s="54">
        <f>AL10+AE10+AF10+AG10+AH10+AI10+AB10</f>
        <v/>
      </c>
      <c r="AP10" s="54">
        <f>IF(State!$B$46=1,AO10,AN10)</f>
        <v/>
      </c>
      <c r="AQ10" s="54" t="n">
        <v>1330.3</v>
      </c>
      <c r="AR10" s="54" t="n">
        <v>-245.6</v>
      </c>
      <c r="AS10" s="54" t="n">
        <v>14912.1</v>
      </c>
      <c r="AT10" s="54" t="n">
        <v>1050</v>
      </c>
      <c r="AU10" s="54" t="n">
        <v>2428.9</v>
      </c>
      <c r="AX10" s="54" t="n">
        <v>0</v>
      </c>
      <c r="AY10" s="54" t="n">
        <v>0</v>
      </c>
      <c r="AZ10" s="54" t="n">
        <v>348.3</v>
      </c>
      <c r="BA10" s="54" t="n">
        <v>0</v>
      </c>
      <c r="BB10" s="54" t="n">
        <v>701.7</v>
      </c>
      <c r="BC10" s="54">
        <f>AQ10+AR10+AS10+AT10+AU10</f>
        <v/>
      </c>
      <c r="BD10" s="54">
        <f>AQ10</f>
        <v/>
      </c>
      <c r="BE10" s="54">
        <f>AQ10+AR10</f>
        <v/>
      </c>
      <c r="BF10" s="54">
        <f>BE10+AS10</f>
        <v/>
      </c>
      <c r="BG10" s="54">
        <f>BF10+AT10</f>
        <v/>
      </c>
      <c r="BH10" s="54">
        <f>BG10+AU10</f>
        <v/>
      </c>
      <c r="BI10" s="54">
        <f>BC10</f>
        <v/>
      </c>
      <c r="BJ10" s="54">
        <f>IF(State!$B$14=1,CHOOSE(State!$B$43+1,D10,BD10,BE10,BF10,BG10,BH10,BI10),BK10)</f>
        <v/>
      </c>
      <c r="BK10" s="54">
        <f>CHOOSE(State!$B$43+1,D10,AJ10,AK10,AL10,AM10,AN10,AO10)</f>
        <v/>
      </c>
      <c r="BL10" s="54">
        <f>IF(State!$B$44=1,H10,0)</f>
        <v/>
      </c>
      <c r="BQ10" s="54">
        <f>D10-AP10</f>
        <v/>
      </c>
      <c r="BR10" s="54">
        <f>BQ10^2</f>
        <v/>
      </c>
      <c r="BS10" s="54">
        <f>(BQ10-BQ9)^2</f>
        <v/>
      </c>
      <c r="BT10" s="54">
        <f>IF(D10&gt;2000,ABS(BQ10)/D10,"")</f>
        <v/>
      </c>
      <c r="BU10" s="54" t="n">
        <v>500</v>
      </c>
      <c r="BV10" s="74" t="n">
        <v>0.4817</v>
      </c>
      <c r="BW10" s="54" t="n">
        <v>833</v>
      </c>
    </row>
    <row r="11">
      <c r="A11" s="73" t="n">
        <v>44969</v>
      </c>
      <c r="B11" s="53">
        <f>YEAR(A11)</f>
        <v/>
      </c>
      <c r="C11" s="53">
        <f>MONTH(A11)</f>
        <v/>
      </c>
      <c r="D11" s="54" t="n">
        <v>2994</v>
      </c>
      <c r="E11" s="55" t="n">
        <v>0.7353</v>
      </c>
      <c r="F11" s="55" t="n">
        <v>1.6658</v>
      </c>
      <c r="G11" s="55" t="n">
        <v>0</v>
      </c>
      <c r="H11" s="54" t="n">
        <v>54.91</v>
      </c>
      <c r="I11" s="54">
        <f>H11+State!$B$6/100*I10</f>
        <v/>
      </c>
      <c r="J11" s="54" t="n">
        <v>182.23</v>
      </c>
      <c r="K11" s="54" t="n">
        <v>537.59</v>
      </c>
      <c r="N11" s="54" t="n">
        <v>0</v>
      </c>
      <c r="O11" s="54" t="n">
        <v>0</v>
      </c>
      <c r="P11" s="54" t="n">
        <v>32.31</v>
      </c>
      <c r="Q11" s="54" t="n">
        <v>0</v>
      </c>
      <c r="R11" s="54" t="n">
        <v>19.61</v>
      </c>
      <c r="S11" s="54">
        <f>N11+Answers!$C$16/100*S10</f>
        <v/>
      </c>
      <c r="T11" s="54">
        <f>O11+Answers!$C$17/100*T10</f>
        <v/>
      </c>
      <c r="U11" s="54">
        <f>P11+Answers!$C$18/100*U10</f>
        <v/>
      </c>
      <c r="V11" s="54">
        <f>Q11+Answers!$C$19/100*V10</f>
        <v/>
      </c>
      <c r="W11" s="54">
        <f>R11+Answers!$C$20/100*W10</f>
        <v/>
      </c>
      <c r="X11" s="54">
        <f>State!$B$2*E11</f>
        <v/>
      </c>
      <c r="Y11" s="54">
        <f>-State!$B$3*F11</f>
        <v/>
      </c>
      <c r="Z11" s="54">
        <f>State!$B$4*G11</f>
        <v/>
      </c>
      <c r="AA11" s="54">
        <f>State!$B$5*(1-State!$B$6/100)*I11</f>
        <v/>
      </c>
      <c r="AB11" s="54">
        <f>State!$B$7*K11</f>
        <v/>
      </c>
      <c r="AE11" s="54">
        <f>State!$B$8*(1-Answers!$C$16/100)*S11</f>
        <v/>
      </c>
      <c r="AF11" s="54">
        <f>State!$B$9*(1-Answers!$C$17/100)*T11</f>
        <v/>
      </c>
      <c r="AG11" s="54">
        <f>State!$B$10*(1-Answers!$C$18/100)*U11</f>
        <v/>
      </c>
      <c r="AH11" s="54">
        <f>State!$B$11*(1-Answers!$C$19/100)*V11</f>
        <v/>
      </c>
      <c r="AI11" s="54">
        <f>State!$B$12*(1-Answers!$C$20/100)*W11</f>
        <v/>
      </c>
      <c r="AJ11" s="54">
        <f>X11</f>
        <v/>
      </c>
      <c r="AK11" s="54">
        <f>X11+Y11</f>
        <v/>
      </c>
      <c r="AL11" s="54">
        <f>AK11+Z11</f>
        <v/>
      </c>
      <c r="AM11" s="54">
        <f>AL11+AA11</f>
        <v/>
      </c>
      <c r="AN11" s="54">
        <f>AM11+AB11</f>
        <v/>
      </c>
      <c r="AO11" s="54">
        <f>AL11+AE11+AF11+AG11+AH11+AI11+AB11</f>
        <v/>
      </c>
      <c r="AP11" s="54">
        <f>IF(State!$B$46=1,AO11,AN11)</f>
        <v/>
      </c>
      <c r="AQ11" s="54" t="n">
        <v>643.8</v>
      </c>
      <c r="AR11" s="54" t="n">
        <v>-1586.5</v>
      </c>
      <c r="AS11" s="54" t="n">
        <v>0</v>
      </c>
      <c r="AT11" s="54" t="n">
        <v>1042.9</v>
      </c>
      <c r="AU11" s="54" t="n">
        <v>1749.8</v>
      </c>
      <c r="AX11" s="54" t="n">
        <v>0</v>
      </c>
      <c r="AY11" s="54" t="n">
        <v>0</v>
      </c>
      <c r="AZ11" s="54" t="n">
        <v>380.8</v>
      </c>
      <c r="BA11" s="54" t="n">
        <v>0</v>
      </c>
      <c r="BB11" s="54" t="n">
        <v>662.1</v>
      </c>
      <c r="BC11" s="54">
        <f>AQ11+AR11+AS11+AT11+AU11</f>
        <v/>
      </c>
      <c r="BD11" s="54">
        <f>AQ11</f>
        <v/>
      </c>
      <c r="BE11" s="54">
        <f>AQ11+AR11</f>
        <v/>
      </c>
      <c r="BF11" s="54">
        <f>BE11+AS11</f>
        <v/>
      </c>
      <c r="BG11" s="54">
        <f>BF11+AT11</f>
        <v/>
      </c>
      <c r="BH11" s="54">
        <f>BG11+AU11</f>
        <v/>
      </c>
      <c r="BI11" s="54">
        <f>BC11</f>
        <v/>
      </c>
      <c r="BJ11" s="54">
        <f>IF(State!$B$14=1,CHOOSE(State!$B$43+1,D11,BD11,BE11,BF11,BG11,BH11,BI11),BK11)</f>
        <v/>
      </c>
      <c r="BK11" s="54">
        <f>CHOOSE(State!$B$43+1,D11,AJ11,AK11,AL11,AM11,AN11,AO11)</f>
        <v/>
      </c>
      <c r="BL11" s="54">
        <f>IF(State!$B$44=1,H11,0)</f>
        <v/>
      </c>
      <c r="BQ11" s="54">
        <f>D11-AP11</f>
        <v/>
      </c>
      <c r="BR11" s="54">
        <f>BQ11^2</f>
        <v/>
      </c>
      <c r="BS11" s="54">
        <f>(BQ11-BQ10)^2</f>
        <v/>
      </c>
      <c r="BT11" s="54">
        <f>IF(D11&gt;2000,ABS(BQ11)/D11,"")</f>
        <v/>
      </c>
      <c r="BU11" s="54" t="n">
        <v>462</v>
      </c>
      <c r="BV11" s="74" t="n">
        <v>0.4817</v>
      </c>
      <c r="BW11" s="54" t="n">
        <v>655.7</v>
      </c>
    </row>
    <row r="12">
      <c r="A12" s="73" t="n">
        <v>44976</v>
      </c>
      <c r="B12" s="53">
        <f>YEAR(A12)</f>
        <v/>
      </c>
      <c r="C12" s="53">
        <f>MONTH(A12)</f>
        <v/>
      </c>
      <c r="D12" s="54" t="n">
        <v>2443</v>
      </c>
      <c r="E12" s="55" t="n">
        <v>1.0168</v>
      </c>
      <c r="F12" s="55" t="n">
        <v>1.6344</v>
      </c>
      <c r="G12" s="55" t="n">
        <v>0</v>
      </c>
      <c r="H12" s="54" t="n">
        <v>53.59</v>
      </c>
      <c r="I12" s="54">
        <f>H12+State!$B$6/100*I11</f>
        <v/>
      </c>
      <c r="J12" s="54" t="n">
        <v>109.35</v>
      </c>
      <c r="K12" s="54" t="n">
        <v>243.78</v>
      </c>
      <c r="N12" s="54" t="n">
        <v>0</v>
      </c>
      <c r="O12" s="54" t="n">
        <v>0</v>
      </c>
      <c r="P12" s="54" t="n">
        <v>32.09</v>
      </c>
      <c r="Q12" s="54" t="n">
        <v>0</v>
      </c>
      <c r="R12" s="54" t="n">
        <v>19.06</v>
      </c>
      <c r="S12" s="54">
        <f>N12+Answers!$C$16/100*S11</f>
        <v/>
      </c>
      <c r="T12" s="54">
        <f>O12+Answers!$C$17/100*T11</f>
        <v/>
      </c>
      <c r="U12" s="54">
        <f>P12+Answers!$C$18/100*U11</f>
        <v/>
      </c>
      <c r="V12" s="54">
        <f>Q12+Answers!$C$19/100*V11</f>
        <v/>
      </c>
      <c r="W12" s="54">
        <f>R12+Answers!$C$20/100*W11</f>
        <v/>
      </c>
      <c r="X12" s="54">
        <f>State!$B$2*E12</f>
        <v/>
      </c>
      <c r="Y12" s="54">
        <f>-State!$B$3*F12</f>
        <v/>
      </c>
      <c r="Z12" s="54">
        <f>State!$B$4*G12</f>
        <v/>
      </c>
      <c r="AA12" s="54">
        <f>State!$B$5*(1-State!$B$6/100)*I12</f>
        <v/>
      </c>
      <c r="AB12" s="54">
        <f>State!$B$7*K12</f>
        <v/>
      </c>
      <c r="AE12" s="54">
        <f>State!$B$8*(1-Answers!$C$16/100)*S12</f>
        <v/>
      </c>
      <c r="AF12" s="54">
        <f>State!$B$9*(1-Answers!$C$17/100)*T12</f>
        <v/>
      </c>
      <c r="AG12" s="54">
        <f>State!$B$10*(1-Answers!$C$18/100)*U12</f>
        <v/>
      </c>
      <c r="AH12" s="54">
        <f>State!$B$11*(1-Answers!$C$19/100)*V12</f>
        <v/>
      </c>
      <c r="AI12" s="54">
        <f>State!$B$12*(1-Answers!$C$20/100)*W12</f>
        <v/>
      </c>
      <c r="AJ12" s="54">
        <f>X12</f>
        <v/>
      </c>
      <c r="AK12" s="54">
        <f>X12+Y12</f>
        <v/>
      </c>
      <c r="AL12" s="54">
        <f>AK12+Z12</f>
        <v/>
      </c>
      <c r="AM12" s="54">
        <f>AL12+AA12</f>
        <v/>
      </c>
      <c r="AN12" s="54">
        <f>AM12+AB12</f>
        <v/>
      </c>
      <c r="AO12" s="54">
        <f>AL12+AE12+AF12+AG12+AH12+AI12+AB12</f>
        <v/>
      </c>
      <c r="AP12" s="54">
        <f>IF(State!$B$46=1,AO12,AN12)</f>
        <v/>
      </c>
      <c r="AQ12" s="54" t="n">
        <v>890.3</v>
      </c>
      <c r="AR12" s="54" t="n">
        <v>-1556.6</v>
      </c>
      <c r="AS12" s="54" t="n">
        <v>0</v>
      </c>
      <c r="AT12" s="54" t="n">
        <v>1033.7</v>
      </c>
      <c r="AU12" s="54" t="n">
        <v>714.6</v>
      </c>
      <c r="AX12" s="54" t="n">
        <v>0</v>
      </c>
      <c r="AY12" s="54" t="n">
        <v>0</v>
      </c>
      <c r="AZ12" s="54" t="n">
        <v>407.8</v>
      </c>
      <c r="BA12" s="54" t="n">
        <v>0</v>
      </c>
      <c r="BB12" s="54" t="n">
        <v>625.9</v>
      </c>
      <c r="BC12" s="54">
        <f>AQ12+AR12+AS12+AT12+AU12</f>
        <v/>
      </c>
      <c r="BD12" s="54">
        <f>AQ12</f>
        <v/>
      </c>
      <c r="BE12" s="54">
        <f>AQ12+AR12</f>
        <v/>
      </c>
      <c r="BF12" s="54">
        <f>BE12+AS12</f>
        <v/>
      </c>
      <c r="BG12" s="54">
        <f>BF12+AT12</f>
        <v/>
      </c>
      <c r="BH12" s="54">
        <f>BG12+AU12</f>
        <v/>
      </c>
      <c r="BI12" s="54">
        <f>BC12</f>
        <v/>
      </c>
      <c r="BJ12" s="54">
        <f>IF(State!$B$14=1,CHOOSE(State!$B$43+1,D12,BD12,BE12,BF12,BG12,BH12,BI12),BK12)</f>
        <v/>
      </c>
      <c r="BK12" s="54">
        <f>CHOOSE(State!$B$43+1,D12,AJ12,AK12,AL12,AM12,AN12,AO12)</f>
        <v/>
      </c>
      <c r="BL12" s="54">
        <f>IF(State!$B$44=1,H12,0)</f>
        <v/>
      </c>
      <c r="BQ12" s="54">
        <f>D12-AP12</f>
        <v/>
      </c>
      <c r="BR12" s="54">
        <f>BQ12^2</f>
        <v/>
      </c>
      <c r="BS12" s="54">
        <f>(BQ12-BQ11)^2</f>
        <v/>
      </c>
      <c r="BT12" s="54">
        <f>IF(D12&gt;2000,ABS(BQ12)/D12,"")</f>
        <v/>
      </c>
      <c r="BU12" s="54" t="n">
        <v>406</v>
      </c>
      <c r="BV12" s="74" t="n">
        <v>0.4817</v>
      </c>
      <c r="BW12" s="54" t="n">
        <v>396.9</v>
      </c>
    </row>
    <row r="13">
      <c r="A13" s="73" t="n">
        <v>44983</v>
      </c>
      <c r="B13" s="53">
        <f>YEAR(A13)</f>
        <v/>
      </c>
      <c r="C13" s="53">
        <f>MONTH(A13)</f>
        <v/>
      </c>
      <c r="D13" s="54" t="n">
        <v>2875</v>
      </c>
      <c r="E13" s="55" t="n">
        <v>0.656</v>
      </c>
      <c r="F13" s="55" t="n">
        <v>1.6134</v>
      </c>
      <c r="G13" s="55" t="n">
        <v>0</v>
      </c>
      <c r="H13" s="54" t="n">
        <v>54.36</v>
      </c>
      <c r="I13" s="54">
        <f>H13+State!$B$6/100*I12</f>
        <v/>
      </c>
      <c r="J13" s="54" t="n">
        <v>98.98999999999999</v>
      </c>
      <c r="K13" s="54" t="n">
        <v>424.79</v>
      </c>
      <c r="N13" s="54" t="n">
        <v>0</v>
      </c>
      <c r="O13" s="54" t="n">
        <v>0</v>
      </c>
      <c r="P13" s="54" t="n">
        <v>31.71</v>
      </c>
      <c r="Q13" s="54" t="n">
        <v>0</v>
      </c>
      <c r="R13" s="54" t="n">
        <v>19.77</v>
      </c>
      <c r="S13" s="54">
        <f>N13+Answers!$C$16/100*S12</f>
        <v/>
      </c>
      <c r="T13" s="54">
        <f>O13+Answers!$C$17/100*T12</f>
        <v/>
      </c>
      <c r="U13" s="54">
        <f>P13+Answers!$C$18/100*U12</f>
        <v/>
      </c>
      <c r="V13" s="54">
        <f>Q13+Answers!$C$19/100*V12</f>
        <v/>
      </c>
      <c r="W13" s="54">
        <f>R13+Answers!$C$20/100*W12</f>
        <v/>
      </c>
      <c r="X13" s="54">
        <f>State!$B$2*E13</f>
        <v/>
      </c>
      <c r="Y13" s="54">
        <f>-State!$B$3*F13</f>
        <v/>
      </c>
      <c r="Z13" s="54">
        <f>State!$B$4*G13</f>
        <v/>
      </c>
      <c r="AA13" s="54">
        <f>State!$B$5*(1-State!$B$6/100)*I13</f>
        <v/>
      </c>
      <c r="AB13" s="54">
        <f>State!$B$7*K13</f>
        <v/>
      </c>
      <c r="AE13" s="54">
        <f>State!$B$8*(1-Answers!$C$16/100)*S13</f>
        <v/>
      </c>
      <c r="AF13" s="54">
        <f>State!$B$9*(1-Answers!$C$17/100)*T13</f>
        <v/>
      </c>
      <c r="AG13" s="54">
        <f>State!$B$10*(1-Answers!$C$18/100)*U13</f>
        <v/>
      </c>
      <c r="AH13" s="54">
        <f>State!$B$11*(1-Answers!$C$19/100)*V13</f>
        <v/>
      </c>
      <c r="AI13" s="54">
        <f>State!$B$12*(1-Answers!$C$20/100)*W13</f>
        <v/>
      </c>
      <c r="AJ13" s="54">
        <f>X13</f>
        <v/>
      </c>
      <c r="AK13" s="54">
        <f>X13+Y13</f>
        <v/>
      </c>
      <c r="AL13" s="54">
        <f>AK13+Z13</f>
        <v/>
      </c>
      <c r="AM13" s="54">
        <f>AL13+AA13</f>
        <v/>
      </c>
      <c r="AN13" s="54">
        <f>AM13+AB13</f>
        <v/>
      </c>
      <c r="AO13" s="54">
        <f>AL13+AE13+AF13+AG13+AH13+AI13+AB13</f>
        <v/>
      </c>
      <c r="AP13" s="54">
        <f>IF(State!$B$46=1,AO13,AN13)</f>
        <v/>
      </c>
      <c r="AQ13" s="54" t="n">
        <v>574.4</v>
      </c>
      <c r="AR13" s="54" t="n">
        <v>-1536.6</v>
      </c>
      <c r="AS13" s="54" t="n">
        <v>0</v>
      </c>
      <c r="AT13" s="54" t="n">
        <v>1022</v>
      </c>
      <c r="AU13" s="54" t="n">
        <v>1375.5</v>
      </c>
      <c r="AX13" s="54" t="n">
        <v>0</v>
      </c>
      <c r="AY13" s="54" t="n">
        <v>0</v>
      </c>
      <c r="AZ13" s="54" t="n">
        <v>429.8</v>
      </c>
      <c r="BA13" s="54" t="n">
        <v>0</v>
      </c>
      <c r="BB13" s="54" t="n">
        <v>592.2</v>
      </c>
      <c r="BC13" s="54">
        <f>AQ13+AR13+AS13+AT13+AU13</f>
        <v/>
      </c>
      <c r="BD13" s="54">
        <f>AQ13</f>
        <v/>
      </c>
      <c r="BE13" s="54">
        <f>AQ13+AR13</f>
        <v/>
      </c>
      <c r="BF13" s="54">
        <f>BE13+AS13</f>
        <v/>
      </c>
      <c r="BG13" s="54">
        <f>BF13+AT13</f>
        <v/>
      </c>
      <c r="BH13" s="54">
        <f>BG13+AU13</f>
        <v/>
      </c>
      <c r="BI13" s="54">
        <f>BC13</f>
        <v/>
      </c>
      <c r="BJ13" s="54">
        <f>IF(State!$B$14=1,CHOOSE(State!$B$43+1,D13,BD13,BE13,BF13,BG13,BH13,BI13),BK13)</f>
        <v/>
      </c>
      <c r="BK13" s="54">
        <f>CHOOSE(State!$B$43+1,D13,AJ13,AK13,AL13,AM13,AN13,AO13)</f>
        <v/>
      </c>
      <c r="BL13" s="54">
        <f>IF(State!$B$44=1,H13,0)</f>
        <v/>
      </c>
      <c r="BQ13" s="54">
        <f>D13-AP13</f>
        <v/>
      </c>
      <c r="BR13" s="54">
        <f>BQ13^2</f>
        <v/>
      </c>
      <c r="BS13" s="54">
        <f>(BQ13-BQ12)^2</f>
        <v/>
      </c>
      <c r="BT13" s="54">
        <f>IF(D13&gt;2000,ABS(BQ13)/D13,"")</f>
        <v/>
      </c>
      <c r="BU13" s="54" t="n">
        <v>344</v>
      </c>
      <c r="BV13" s="74" t="n">
        <v>0.4868</v>
      </c>
      <c r="BW13" s="54" t="n">
        <v>598.8</v>
      </c>
    </row>
    <row r="14">
      <c r="A14" s="73" t="n">
        <v>44990</v>
      </c>
      <c r="B14" s="53">
        <f>YEAR(A14)</f>
        <v/>
      </c>
      <c r="C14" s="53">
        <f>MONTH(A14)</f>
        <v/>
      </c>
      <c r="D14" s="54" t="n">
        <v>4349</v>
      </c>
      <c r="E14" s="55" t="n">
        <v>0.6973</v>
      </c>
      <c r="F14" s="55" t="n">
        <v>1.7935</v>
      </c>
      <c r="G14" s="55" t="n">
        <v>0</v>
      </c>
      <c r="H14" s="54" t="n">
        <v>42.52</v>
      </c>
      <c r="I14" s="54">
        <f>H14+State!$B$6/100*I13</f>
        <v/>
      </c>
      <c r="J14" s="54" t="n">
        <v>102.46</v>
      </c>
      <c r="K14" s="54" t="n">
        <v>172.1</v>
      </c>
      <c r="N14" s="54" t="n">
        <v>0</v>
      </c>
      <c r="O14" s="54" t="n">
        <v>0</v>
      </c>
      <c r="P14" s="54" t="n">
        <v>3.75</v>
      </c>
      <c r="Q14" s="54" t="n">
        <v>0</v>
      </c>
      <c r="R14" s="54" t="n">
        <v>34.42</v>
      </c>
      <c r="S14" s="54">
        <f>N14+Answers!$C$16/100*S13</f>
        <v/>
      </c>
      <c r="T14" s="54">
        <f>O14+Answers!$C$17/100*T13</f>
        <v/>
      </c>
      <c r="U14" s="54">
        <f>P14+Answers!$C$18/100*U13</f>
        <v/>
      </c>
      <c r="V14" s="54">
        <f>Q14+Answers!$C$19/100*V13</f>
        <v/>
      </c>
      <c r="W14" s="54">
        <f>R14+Answers!$C$20/100*W13</f>
        <v/>
      </c>
      <c r="X14" s="54">
        <f>State!$B$2*E14</f>
        <v/>
      </c>
      <c r="Y14" s="54">
        <f>-State!$B$3*F14</f>
        <v/>
      </c>
      <c r="Z14" s="54">
        <f>State!$B$4*G14</f>
        <v/>
      </c>
      <c r="AA14" s="54">
        <f>State!$B$5*(1-State!$B$6/100)*I14</f>
        <v/>
      </c>
      <c r="AB14" s="54">
        <f>State!$B$7*K14</f>
        <v/>
      </c>
      <c r="AE14" s="54">
        <f>State!$B$8*(1-Answers!$C$16/100)*S14</f>
        <v/>
      </c>
      <c r="AF14" s="54">
        <f>State!$B$9*(1-Answers!$C$17/100)*T14</f>
        <v/>
      </c>
      <c r="AG14" s="54">
        <f>State!$B$10*(1-Answers!$C$18/100)*U14</f>
        <v/>
      </c>
      <c r="AH14" s="54">
        <f>State!$B$11*(1-Answers!$C$19/100)*V14</f>
        <v/>
      </c>
      <c r="AI14" s="54">
        <f>State!$B$12*(1-Answers!$C$20/100)*W14</f>
        <v/>
      </c>
      <c r="AJ14" s="54">
        <f>X14</f>
        <v/>
      </c>
      <c r="AK14" s="54">
        <f>X14+Y14</f>
        <v/>
      </c>
      <c r="AL14" s="54">
        <f>AK14+Z14</f>
        <v/>
      </c>
      <c r="AM14" s="54">
        <f>AL14+AA14</f>
        <v/>
      </c>
      <c r="AN14" s="54">
        <f>AM14+AB14</f>
        <v/>
      </c>
      <c r="AO14" s="54">
        <f>AL14+AE14+AF14+AG14+AH14+AI14+AB14</f>
        <v/>
      </c>
      <c r="AP14" s="54">
        <f>IF(State!$B$46=1,AO14,AN14)</f>
        <v/>
      </c>
      <c r="AQ14" s="54" t="n">
        <v>610.6</v>
      </c>
      <c r="AR14" s="54" t="n">
        <v>-1708.2</v>
      </c>
      <c r="AS14" s="54" t="n">
        <v>0</v>
      </c>
      <c r="AT14" s="54" t="n">
        <v>976.8</v>
      </c>
      <c r="AU14" s="54" t="n">
        <v>594.5</v>
      </c>
      <c r="AX14" s="54" t="n">
        <v>0</v>
      </c>
      <c r="AY14" s="54" t="n">
        <v>0</v>
      </c>
      <c r="AZ14" s="54" t="n">
        <v>375.2</v>
      </c>
      <c r="BA14" s="54" t="n">
        <v>0</v>
      </c>
      <c r="BB14" s="54" t="n">
        <v>601.6</v>
      </c>
      <c r="BC14" s="54">
        <f>AQ14+AR14+AS14+AT14+AU14</f>
        <v/>
      </c>
      <c r="BD14" s="54">
        <f>AQ14</f>
        <v/>
      </c>
      <c r="BE14" s="54">
        <f>AQ14+AR14</f>
        <v/>
      </c>
      <c r="BF14" s="54">
        <f>BE14+AS14</f>
        <v/>
      </c>
      <c r="BG14" s="54">
        <f>BF14+AT14</f>
        <v/>
      </c>
      <c r="BH14" s="54">
        <f>BG14+AU14</f>
        <v/>
      </c>
      <c r="BI14" s="54">
        <f>BC14</f>
        <v/>
      </c>
      <c r="BJ14" s="54">
        <f>IF(State!$B$14=1,CHOOSE(State!$B$43+1,D14,BD14,BE14,BF14,BG14,BH14,BI14),BK14)</f>
        <v/>
      </c>
      <c r="BK14" s="54">
        <f>CHOOSE(State!$B$43+1,D14,AJ14,AK14,AL14,AM14,AN14,AO14)</f>
        <v/>
      </c>
      <c r="BL14" s="54">
        <f>IF(State!$B$44=1,H14,0)</f>
        <v/>
      </c>
      <c r="BQ14" s="54">
        <f>D14-AP14</f>
        <v/>
      </c>
      <c r="BR14" s="54">
        <f>BQ14^2</f>
        <v/>
      </c>
      <c r="BS14" s="54">
        <f>(BQ14-BQ13)^2</f>
        <v/>
      </c>
      <c r="BT14" s="54">
        <f>IF(D14&gt;2000,ABS(BQ14)/D14,"")</f>
        <v/>
      </c>
      <c r="BU14" s="54" t="n">
        <v>249</v>
      </c>
      <c r="BV14" s="74" t="n">
        <v>0.4889</v>
      </c>
      <c r="BW14" s="54" t="n">
        <v>308.4</v>
      </c>
    </row>
    <row r="15">
      <c r="A15" s="73" t="n">
        <v>44997</v>
      </c>
      <c r="B15" s="53">
        <f>YEAR(A15)</f>
        <v/>
      </c>
      <c r="C15" s="53">
        <f>MONTH(A15)</f>
        <v/>
      </c>
      <c r="D15" s="54" t="n">
        <v>4234</v>
      </c>
      <c r="E15" s="55" t="n">
        <v>0.6036</v>
      </c>
      <c r="F15" s="55" t="n">
        <v>1.6714</v>
      </c>
      <c r="G15" s="55" t="n">
        <v>0</v>
      </c>
      <c r="H15" s="54" t="n">
        <v>118.1</v>
      </c>
      <c r="I15" s="54">
        <f>H15+State!$B$6/100*I14</f>
        <v/>
      </c>
      <c r="J15" s="54" t="n">
        <v>110.19</v>
      </c>
      <c r="K15" s="54" t="n">
        <v>204.7</v>
      </c>
      <c r="N15" s="54" t="n">
        <v>0</v>
      </c>
      <c r="O15" s="54" t="n">
        <v>0</v>
      </c>
      <c r="P15" s="54" t="n">
        <v>56.51</v>
      </c>
      <c r="Q15" s="54" t="n">
        <v>0</v>
      </c>
      <c r="R15" s="54" t="n">
        <v>57.35</v>
      </c>
      <c r="S15" s="54">
        <f>N15+Answers!$C$16/100*S14</f>
        <v/>
      </c>
      <c r="T15" s="54">
        <f>O15+Answers!$C$17/100*T14</f>
        <v/>
      </c>
      <c r="U15" s="54">
        <f>P15+Answers!$C$18/100*U14</f>
        <v/>
      </c>
      <c r="V15" s="54">
        <f>Q15+Answers!$C$19/100*V14</f>
        <v/>
      </c>
      <c r="W15" s="54">
        <f>R15+Answers!$C$20/100*W14</f>
        <v/>
      </c>
      <c r="X15" s="54">
        <f>State!$B$2*E15</f>
        <v/>
      </c>
      <c r="Y15" s="54">
        <f>-State!$B$3*F15</f>
        <v/>
      </c>
      <c r="Z15" s="54">
        <f>State!$B$4*G15</f>
        <v/>
      </c>
      <c r="AA15" s="54">
        <f>State!$B$5*(1-State!$B$6/100)*I15</f>
        <v/>
      </c>
      <c r="AB15" s="54">
        <f>State!$B$7*K15</f>
        <v/>
      </c>
      <c r="AE15" s="54">
        <f>State!$B$8*(1-Answers!$C$16/100)*S15</f>
        <v/>
      </c>
      <c r="AF15" s="54">
        <f>State!$B$9*(1-Answers!$C$17/100)*T15</f>
        <v/>
      </c>
      <c r="AG15" s="54">
        <f>State!$B$10*(1-Answers!$C$18/100)*U15</f>
        <v/>
      </c>
      <c r="AH15" s="54">
        <f>State!$B$11*(1-Answers!$C$19/100)*V15</f>
        <v/>
      </c>
      <c r="AI15" s="54">
        <f>State!$B$12*(1-Answers!$C$20/100)*W15</f>
        <v/>
      </c>
      <c r="AJ15" s="54">
        <f>X15</f>
        <v/>
      </c>
      <c r="AK15" s="54">
        <f>X15+Y15</f>
        <v/>
      </c>
      <c r="AL15" s="54">
        <f>AK15+Z15</f>
        <v/>
      </c>
      <c r="AM15" s="54">
        <f>AL15+AA15</f>
        <v/>
      </c>
      <c r="AN15" s="54">
        <f>AM15+AB15</f>
        <v/>
      </c>
      <c r="AO15" s="54">
        <f>AL15+AE15+AF15+AG15+AH15+AI15+AB15</f>
        <v/>
      </c>
      <c r="AP15" s="54">
        <f>IF(State!$B$46=1,AO15,AN15)</f>
        <v/>
      </c>
      <c r="AQ15" s="54" t="n">
        <v>528.5</v>
      </c>
      <c r="AR15" s="54" t="n">
        <v>-1591.8</v>
      </c>
      <c r="AS15" s="54" t="n">
        <v>0</v>
      </c>
      <c r="AT15" s="54" t="n">
        <v>1140.2</v>
      </c>
      <c r="AU15" s="54" t="n">
        <v>763.4</v>
      </c>
      <c r="AX15" s="54" t="n">
        <v>0</v>
      </c>
      <c r="AY15" s="54" t="n">
        <v>0</v>
      </c>
      <c r="AZ15" s="54" t="n">
        <v>467.1</v>
      </c>
      <c r="BA15" s="54" t="n">
        <v>0</v>
      </c>
      <c r="BB15" s="54" t="n">
        <v>673.2</v>
      </c>
      <c r="BC15" s="54">
        <f>AQ15+AR15+AS15+AT15+AU15</f>
        <v/>
      </c>
      <c r="BD15" s="54">
        <f>AQ15</f>
        <v/>
      </c>
      <c r="BE15" s="54">
        <f>AQ15+AR15</f>
        <v/>
      </c>
      <c r="BF15" s="54">
        <f>BE15+AS15</f>
        <v/>
      </c>
      <c r="BG15" s="54">
        <f>BF15+AT15</f>
        <v/>
      </c>
      <c r="BH15" s="54">
        <f>BG15+AU15</f>
        <v/>
      </c>
      <c r="BI15" s="54">
        <f>BC15</f>
        <v/>
      </c>
      <c r="BJ15" s="54">
        <f>IF(State!$B$14=1,CHOOSE(State!$B$43+1,D15,BD15,BE15,BF15,BG15,BH15,BI15),BK15)</f>
        <v/>
      </c>
      <c r="BK15" s="54">
        <f>CHOOSE(State!$B$43+1,D15,AJ15,AK15,AL15,AM15,AN15,AO15)</f>
        <v/>
      </c>
      <c r="BL15" s="54">
        <f>IF(State!$B$44=1,H15,0)</f>
        <v/>
      </c>
      <c r="BQ15" s="54">
        <f>D15-AP15</f>
        <v/>
      </c>
      <c r="BR15" s="54">
        <f>BQ15^2</f>
        <v/>
      </c>
      <c r="BS15" s="54">
        <f>(BQ15-BQ14)^2</f>
        <v/>
      </c>
      <c r="BT15" s="54">
        <f>IF(D15&gt;2000,ABS(BQ15)/D15,"")</f>
        <v/>
      </c>
      <c r="BU15" s="54" t="n">
        <v>248</v>
      </c>
      <c r="BV15" s="74" t="n">
        <v>0.4889</v>
      </c>
      <c r="BW15" s="54" t="n">
        <v>383.5</v>
      </c>
    </row>
    <row r="16">
      <c r="A16" s="73" t="n">
        <v>45004</v>
      </c>
      <c r="B16" s="53">
        <f>YEAR(A16)</f>
        <v/>
      </c>
      <c r="C16" s="53">
        <f>MONTH(A16)</f>
        <v/>
      </c>
      <c r="D16" s="54" t="n">
        <v>4847</v>
      </c>
      <c r="E16" s="55" t="n">
        <v>0.6032</v>
      </c>
      <c r="F16" s="55" t="n">
        <v>1.4405</v>
      </c>
      <c r="G16" s="55" t="n">
        <v>0</v>
      </c>
      <c r="H16" s="54" t="n">
        <v>138.36</v>
      </c>
      <c r="I16" s="54">
        <f>H16+State!$B$6/100*I15</f>
        <v/>
      </c>
      <c r="J16" s="54" t="n">
        <v>106.94</v>
      </c>
      <c r="K16" s="54" t="n">
        <v>294.83</v>
      </c>
      <c r="N16" s="54" t="n">
        <v>0</v>
      </c>
      <c r="O16" s="54" t="n">
        <v>0</v>
      </c>
      <c r="P16" s="54" t="n">
        <v>39.38</v>
      </c>
      <c r="Q16" s="54" t="n">
        <v>0</v>
      </c>
      <c r="R16" s="54" t="n">
        <v>94.14</v>
      </c>
      <c r="S16" s="54">
        <f>N16+Answers!$C$16/100*S15</f>
        <v/>
      </c>
      <c r="T16" s="54">
        <f>O16+Answers!$C$17/100*T15</f>
        <v/>
      </c>
      <c r="U16" s="54">
        <f>P16+Answers!$C$18/100*U15</f>
        <v/>
      </c>
      <c r="V16" s="54">
        <f>Q16+Answers!$C$19/100*V15</f>
        <v/>
      </c>
      <c r="W16" s="54">
        <f>R16+Answers!$C$20/100*W15</f>
        <v/>
      </c>
      <c r="X16" s="54">
        <f>State!$B$2*E16</f>
        <v/>
      </c>
      <c r="Y16" s="54">
        <f>-State!$B$3*F16</f>
        <v/>
      </c>
      <c r="Z16" s="54">
        <f>State!$B$4*G16</f>
        <v/>
      </c>
      <c r="AA16" s="54">
        <f>State!$B$5*(1-State!$B$6/100)*I16</f>
        <v/>
      </c>
      <c r="AB16" s="54">
        <f>State!$B$7*K16</f>
        <v/>
      </c>
      <c r="AE16" s="54">
        <f>State!$B$8*(1-Answers!$C$16/100)*S16</f>
        <v/>
      </c>
      <c r="AF16" s="54">
        <f>State!$B$9*(1-Answers!$C$17/100)*T16</f>
        <v/>
      </c>
      <c r="AG16" s="54">
        <f>State!$B$10*(1-Answers!$C$18/100)*U16</f>
        <v/>
      </c>
      <c r="AH16" s="54">
        <f>State!$B$11*(1-Answers!$C$19/100)*V16</f>
        <v/>
      </c>
      <c r="AI16" s="54">
        <f>State!$B$12*(1-Answers!$C$20/100)*W16</f>
        <v/>
      </c>
      <c r="AJ16" s="54">
        <f>X16</f>
        <v/>
      </c>
      <c r="AK16" s="54">
        <f>X16+Y16</f>
        <v/>
      </c>
      <c r="AL16" s="54">
        <f>AK16+Z16</f>
        <v/>
      </c>
      <c r="AM16" s="54">
        <f>AL16+AA16</f>
        <v/>
      </c>
      <c r="AN16" s="54">
        <f>AM16+AB16</f>
        <v/>
      </c>
      <c r="AO16" s="54">
        <f>AL16+AE16+AF16+AG16+AH16+AI16+AB16</f>
        <v/>
      </c>
      <c r="AP16" s="54">
        <f>IF(State!$B$46=1,AO16,AN16)</f>
        <v/>
      </c>
      <c r="AQ16" s="54" t="n">
        <v>528.2</v>
      </c>
      <c r="AR16" s="54" t="n">
        <v>-1372</v>
      </c>
      <c r="AS16" s="54" t="n">
        <v>0</v>
      </c>
      <c r="AT16" s="54" t="n">
        <v>1329.2</v>
      </c>
      <c r="AU16" s="54" t="n">
        <v>1101.5</v>
      </c>
      <c r="AX16" s="54" t="n">
        <v>0</v>
      </c>
      <c r="AY16" s="54" t="n">
        <v>0</v>
      </c>
      <c r="AZ16" s="54" t="n">
        <v>500.3</v>
      </c>
      <c r="BA16" s="54" t="n">
        <v>0</v>
      </c>
      <c r="BB16" s="54" t="n">
        <v>828.9</v>
      </c>
      <c r="BC16" s="54">
        <f>AQ16+AR16+AS16+AT16+AU16</f>
        <v/>
      </c>
      <c r="BD16" s="54">
        <f>AQ16</f>
        <v/>
      </c>
      <c r="BE16" s="54">
        <f>AQ16+AR16</f>
        <v/>
      </c>
      <c r="BF16" s="54">
        <f>BE16+AS16</f>
        <v/>
      </c>
      <c r="BG16" s="54">
        <f>BF16+AT16</f>
        <v/>
      </c>
      <c r="BH16" s="54">
        <f>BG16+AU16</f>
        <v/>
      </c>
      <c r="BI16" s="54">
        <f>BC16</f>
        <v/>
      </c>
      <c r="BJ16" s="54">
        <f>IF(State!$B$14=1,CHOOSE(State!$B$43+1,D16,BD16,BE16,BF16,BG16,BH16,BI16),BK16)</f>
        <v/>
      </c>
      <c r="BK16" s="54">
        <f>CHOOSE(State!$B$43+1,D16,AJ16,AK16,AL16,AM16,AN16,AO16)</f>
        <v/>
      </c>
      <c r="BL16" s="54">
        <f>IF(State!$B$44=1,H16,0)</f>
        <v/>
      </c>
      <c r="BQ16" s="54">
        <f>D16-AP16</f>
        <v/>
      </c>
      <c r="BR16" s="54">
        <f>BQ16^2</f>
        <v/>
      </c>
      <c r="BS16" s="54">
        <f>(BQ16-BQ15)^2</f>
        <v/>
      </c>
      <c r="BT16" s="54">
        <f>IF(D16&gt;2000,ABS(BQ16)/D16,"")</f>
        <v/>
      </c>
      <c r="BU16" s="54" t="n">
        <v>209</v>
      </c>
      <c r="BV16" s="74" t="n">
        <v>0.4889</v>
      </c>
      <c r="BW16" s="54" t="n">
        <v>493.8</v>
      </c>
    </row>
    <row r="17">
      <c r="A17" s="73" t="n">
        <v>45011</v>
      </c>
      <c r="B17" s="53">
        <f>YEAR(A17)</f>
        <v/>
      </c>
      <c r="C17" s="53">
        <f>MONTH(A17)</f>
        <v/>
      </c>
      <c r="D17" s="54" t="n">
        <v>8370</v>
      </c>
      <c r="E17" s="55" t="n">
        <v>0.6306</v>
      </c>
      <c r="F17" s="55" t="n">
        <v>0.9197</v>
      </c>
      <c r="G17" s="55" t="n">
        <v>0.4166</v>
      </c>
      <c r="H17" s="54" t="n">
        <v>757.46</v>
      </c>
      <c r="I17" s="54">
        <f>H17+State!$B$6/100*I16</f>
        <v/>
      </c>
      <c r="J17" s="54" t="n">
        <v>78.76000000000001</v>
      </c>
      <c r="K17" s="54" t="n">
        <v>164.31</v>
      </c>
      <c r="N17" s="54" t="n">
        <v>594.47</v>
      </c>
      <c r="O17" s="54" t="n">
        <v>108.03</v>
      </c>
      <c r="P17" s="54" t="n">
        <v>0</v>
      </c>
      <c r="Q17" s="54" t="n">
        <v>0</v>
      </c>
      <c r="R17" s="54" t="n">
        <v>46.59</v>
      </c>
      <c r="S17" s="54">
        <f>N17+Answers!$C$16/100*S16</f>
        <v/>
      </c>
      <c r="T17" s="54">
        <f>O17+Answers!$C$17/100*T16</f>
        <v/>
      </c>
      <c r="U17" s="54">
        <f>P17+Answers!$C$18/100*U16</f>
        <v/>
      </c>
      <c r="V17" s="54">
        <f>Q17+Answers!$C$19/100*V16</f>
        <v/>
      </c>
      <c r="W17" s="54">
        <f>R17+Answers!$C$20/100*W16</f>
        <v/>
      </c>
      <c r="X17" s="54">
        <f>State!$B$2*E17</f>
        <v/>
      </c>
      <c r="Y17" s="54">
        <f>-State!$B$3*F17</f>
        <v/>
      </c>
      <c r="Z17" s="54">
        <f>State!$B$4*G17</f>
        <v/>
      </c>
      <c r="AA17" s="54">
        <f>State!$B$5*(1-State!$B$6/100)*I17</f>
        <v/>
      </c>
      <c r="AB17" s="54">
        <f>State!$B$7*K17</f>
        <v/>
      </c>
      <c r="AE17" s="54">
        <f>State!$B$8*(1-Answers!$C$16/100)*S17</f>
        <v/>
      </c>
      <c r="AF17" s="54">
        <f>State!$B$9*(1-Answers!$C$17/100)*T17</f>
        <v/>
      </c>
      <c r="AG17" s="54">
        <f>State!$B$10*(1-Answers!$C$18/100)*U17</f>
        <v/>
      </c>
      <c r="AH17" s="54">
        <f>State!$B$11*(1-Answers!$C$19/100)*V17</f>
        <v/>
      </c>
      <c r="AI17" s="54">
        <f>State!$B$12*(1-Answers!$C$20/100)*W17</f>
        <v/>
      </c>
      <c r="AJ17" s="54">
        <f>X17</f>
        <v/>
      </c>
      <c r="AK17" s="54">
        <f>X17+Y17</f>
        <v/>
      </c>
      <c r="AL17" s="54">
        <f>AK17+Z17</f>
        <v/>
      </c>
      <c r="AM17" s="54">
        <f>AL17+AA17</f>
        <v/>
      </c>
      <c r="AN17" s="54">
        <f>AM17+AB17</f>
        <v/>
      </c>
      <c r="AO17" s="54">
        <f>AL17+AE17+AF17+AG17+AH17+AI17+AB17</f>
        <v/>
      </c>
      <c r="AP17" s="54">
        <f>IF(State!$B$46=1,AO17,AN17)</f>
        <v/>
      </c>
      <c r="AQ17" s="54" t="n">
        <v>552.2</v>
      </c>
      <c r="AR17" s="54" t="n">
        <v>-875.9</v>
      </c>
      <c r="AS17" s="54" t="n">
        <v>3165.3</v>
      </c>
      <c r="AT17" s="54" t="n">
        <v>3107.8</v>
      </c>
      <c r="AU17" s="54" t="n">
        <v>619</v>
      </c>
      <c r="AX17" s="54" t="n">
        <v>1561.9</v>
      </c>
      <c r="AY17" s="54" t="n">
        <v>282.7</v>
      </c>
      <c r="AZ17" s="54" t="n">
        <v>425.2</v>
      </c>
      <c r="BA17" s="54" t="n">
        <v>0</v>
      </c>
      <c r="BB17" s="54" t="n">
        <v>837.9</v>
      </c>
      <c r="BC17" s="54">
        <f>AQ17+AR17+AS17+AT17+AU17</f>
        <v/>
      </c>
      <c r="BD17" s="54">
        <f>AQ17</f>
        <v/>
      </c>
      <c r="BE17" s="54">
        <f>AQ17+AR17</f>
        <v/>
      </c>
      <c r="BF17" s="54">
        <f>BE17+AS17</f>
        <v/>
      </c>
      <c r="BG17" s="54">
        <f>BF17+AT17</f>
        <v/>
      </c>
      <c r="BH17" s="54">
        <f>BG17+AU17</f>
        <v/>
      </c>
      <c r="BI17" s="54">
        <f>BC17</f>
        <v/>
      </c>
      <c r="BJ17" s="54">
        <f>IF(State!$B$14=1,CHOOSE(State!$B$43+1,D17,BD17,BE17,BF17,BG17,BH17,BI17),BK17)</f>
        <v/>
      </c>
      <c r="BK17" s="54">
        <f>CHOOSE(State!$B$43+1,D17,AJ17,AK17,AL17,AM17,AN17,AO17)</f>
        <v/>
      </c>
      <c r="BL17" s="54">
        <f>IF(State!$B$44=1,H17,0)</f>
        <v/>
      </c>
      <c r="BQ17" s="54">
        <f>D17-AP17</f>
        <v/>
      </c>
      <c r="BR17" s="54">
        <f>BQ17^2</f>
        <v/>
      </c>
      <c r="BS17" s="54">
        <f>(BQ17-BQ16)^2</f>
        <v/>
      </c>
      <c r="BT17" s="54">
        <f>IF(D17&gt;2000,ABS(BQ17)/D17,"")</f>
        <v/>
      </c>
      <c r="BU17" s="54" t="n">
        <v>237</v>
      </c>
      <c r="BV17" s="74" t="n">
        <v>0.498</v>
      </c>
      <c r="BW17" s="54" t="n">
        <v>1020.4</v>
      </c>
    </row>
    <row r="18">
      <c r="A18" s="73" t="n">
        <v>45018</v>
      </c>
      <c r="B18" s="53">
        <f>YEAR(A18)</f>
        <v/>
      </c>
      <c r="C18" s="53">
        <f>MONTH(A18)</f>
        <v/>
      </c>
      <c r="D18" s="54" t="n">
        <v>12608</v>
      </c>
      <c r="E18" s="55" t="n">
        <v>0.6303</v>
      </c>
      <c r="F18" s="55" t="n">
        <v>0.7204</v>
      </c>
      <c r="G18" s="55" t="n">
        <v>0.7291</v>
      </c>
      <c r="H18" s="54" t="n">
        <v>899.77</v>
      </c>
      <c r="I18" s="54">
        <f>H18+State!$B$6/100*I17</f>
        <v/>
      </c>
      <c r="J18" s="54" t="n">
        <v>82.76000000000001</v>
      </c>
      <c r="K18" s="54" t="n">
        <v>190.52</v>
      </c>
      <c r="N18" s="54" t="n">
        <v>517.88</v>
      </c>
      <c r="O18" s="54" t="n">
        <v>121.3</v>
      </c>
      <c r="P18" s="54" t="n">
        <v>48.66</v>
      </c>
      <c r="Q18" s="54" t="n">
        <v>71.54000000000001</v>
      </c>
      <c r="R18" s="54" t="n">
        <v>127.78</v>
      </c>
      <c r="S18" s="54">
        <f>N18+Answers!$C$16/100*S17</f>
        <v/>
      </c>
      <c r="T18" s="54">
        <f>O18+Answers!$C$17/100*T17</f>
        <v/>
      </c>
      <c r="U18" s="54">
        <f>P18+Answers!$C$18/100*U17</f>
        <v/>
      </c>
      <c r="V18" s="54">
        <f>Q18+Answers!$C$19/100*V17</f>
        <v/>
      </c>
      <c r="W18" s="54">
        <f>R18+Answers!$C$20/100*W17</f>
        <v/>
      </c>
      <c r="X18" s="54">
        <f>State!$B$2*E18</f>
        <v/>
      </c>
      <c r="Y18" s="54">
        <f>-State!$B$3*F18</f>
        <v/>
      </c>
      <c r="Z18" s="54">
        <f>State!$B$4*G18</f>
        <v/>
      </c>
      <c r="AA18" s="54">
        <f>State!$B$5*(1-State!$B$6/100)*I18</f>
        <v/>
      </c>
      <c r="AB18" s="54">
        <f>State!$B$7*K18</f>
        <v/>
      </c>
      <c r="AE18" s="54">
        <f>State!$B$8*(1-Answers!$C$16/100)*S18</f>
        <v/>
      </c>
      <c r="AF18" s="54">
        <f>State!$B$9*(1-Answers!$C$17/100)*T18</f>
        <v/>
      </c>
      <c r="AG18" s="54">
        <f>State!$B$10*(1-Answers!$C$18/100)*U18</f>
        <v/>
      </c>
      <c r="AH18" s="54">
        <f>State!$B$11*(1-Answers!$C$19/100)*V18</f>
        <v/>
      </c>
      <c r="AI18" s="54">
        <f>State!$B$12*(1-Answers!$C$20/100)*W18</f>
        <v/>
      </c>
      <c r="AJ18" s="54">
        <f>X18</f>
        <v/>
      </c>
      <c r="AK18" s="54">
        <f>X18+Y18</f>
        <v/>
      </c>
      <c r="AL18" s="54">
        <f>AK18+Z18</f>
        <v/>
      </c>
      <c r="AM18" s="54">
        <f>AL18+AA18</f>
        <v/>
      </c>
      <c r="AN18" s="54">
        <f>AM18+AB18</f>
        <v/>
      </c>
      <c r="AO18" s="54">
        <f>AL18+AE18+AF18+AG18+AH18+AI18+AB18</f>
        <v/>
      </c>
      <c r="AP18" s="54">
        <f>IF(State!$B$46=1,AO18,AN18)</f>
        <v/>
      </c>
      <c r="AQ18" s="54" t="n">
        <v>551.9</v>
      </c>
      <c r="AR18" s="54" t="n">
        <v>-686.1</v>
      </c>
      <c r="AS18" s="54" t="n">
        <v>5539.2</v>
      </c>
      <c r="AT18" s="54" t="n">
        <v>4879.1</v>
      </c>
      <c r="AU18" s="54" t="n">
        <v>707.6</v>
      </c>
      <c r="AX18" s="54" t="n">
        <v>2687.4</v>
      </c>
      <c r="AY18" s="54" t="n">
        <v>557.8</v>
      </c>
      <c r="AZ18" s="54" t="n">
        <v>489.1</v>
      </c>
      <c r="BA18" s="54" t="n">
        <v>90.40000000000001</v>
      </c>
      <c r="BB18" s="54" t="n">
        <v>1054.4</v>
      </c>
      <c r="BC18" s="54">
        <f>AQ18+AR18+AS18+AT18+AU18</f>
        <v/>
      </c>
      <c r="BD18" s="54">
        <f>AQ18</f>
        <v/>
      </c>
      <c r="BE18" s="54">
        <f>AQ18+AR18</f>
        <v/>
      </c>
      <c r="BF18" s="54">
        <f>BE18+AS18</f>
        <v/>
      </c>
      <c r="BG18" s="54">
        <f>BF18+AT18</f>
        <v/>
      </c>
      <c r="BH18" s="54">
        <f>BG18+AU18</f>
        <v/>
      </c>
      <c r="BI18" s="54">
        <f>BC18</f>
        <v/>
      </c>
      <c r="BJ18" s="54">
        <f>IF(State!$B$14=1,CHOOSE(State!$B$43+1,D18,BD18,BE18,BF18,BG18,BH18,BI18),BK18)</f>
        <v/>
      </c>
      <c r="BK18" s="54">
        <f>CHOOSE(State!$B$43+1,D18,AJ18,AK18,AL18,AM18,AN18,AO18)</f>
        <v/>
      </c>
      <c r="BL18" s="54">
        <f>IF(State!$B$44=1,H18,0)</f>
        <v/>
      </c>
      <c r="BQ18" s="54">
        <f>D18-AP18</f>
        <v/>
      </c>
      <c r="BR18" s="54">
        <f>BQ18^2</f>
        <v/>
      </c>
      <c r="BS18" s="54">
        <f>(BQ18-BQ17)^2</f>
        <v/>
      </c>
      <c r="BT18" s="54">
        <f>IF(D18&gt;2000,ABS(BQ18)/D18,"")</f>
        <v/>
      </c>
      <c r="BU18" s="54" t="n">
        <v>221</v>
      </c>
      <c r="BV18" s="74" t="n">
        <v>0.5206</v>
      </c>
      <c r="BW18" s="54" t="n">
        <v>1138.5</v>
      </c>
    </row>
    <row r="19">
      <c r="A19" s="73" t="n">
        <v>45025</v>
      </c>
      <c r="B19" s="53">
        <f>YEAR(A19)</f>
        <v/>
      </c>
      <c r="C19" s="53">
        <f>MONTH(A19)</f>
        <v/>
      </c>
      <c r="D19" s="54" t="n">
        <v>9003</v>
      </c>
      <c r="E19" s="55" t="n">
        <v>0.6435</v>
      </c>
      <c r="F19" s="55" t="n">
        <v>0.7199</v>
      </c>
      <c r="G19" s="55" t="n">
        <v>0.7291</v>
      </c>
      <c r="H19" s="54" t="n">
        <v>399.64</v>
      </c>
      <c r="I19" s="54">
        <f>H19+State!$B$6/100*I18</f>
        <v/>
      </c>
      <c r="J19" s="54" t="n">
        <v>658.05</v>
      </c>
      <c r="K19" s="54" t="n">
        <v>696.28</v>
      </c>
      <c r="N19" s="54" t="n">
        <v>51.59</v>
      </c>
      <c r="O19" s="54" t="n">
        <v>82.47</v>
      </c>
      <c r="P19" s="54" t="n">
        <v>38.63</v>
      </c>
      <c r="Q19" s="54" t="n">
        <v>71.79000000000001</v>
      </c>
      <c r="R19" s="54" t="n">
        <v>146.16</v>
      </c>
      <c r="S19" s="54">
        <f>N19+Answers!$C$16/100*S18</f>
        <v/>
      </c>
      <c r="T19" s="54">
        <f>O19+Answers!$C$17/100*T18</f>
        <v/>
      </c>
      <c r="U19" s="54">
        <f>P19+Answers!$C$18/100*U18</f>
        <v/>
      </c>
      <c r="V19" s="54">
        <f>Q19+Answers!$C$19/100*V18</f>
        <v/>
      </c>
      <c r="W19" s="54">
        <f>R19+Answers!$C$20/100*W18</f>
        <v/>
      </c>
      <c r="X19" s="54">
        <f>State!$B$2*E19</f>
        <v/>
      </c>
      <c r="Y19" s="54">
        <f>-State!$B$3*F19</f>
        <v/>
      </c>
      <c r="Z19" s="54">
        <f>State!$B$4*G19</f>
        <v/>
      </c>
      <c r="AA19" s="54">
        <f>State!$B$5*(1-State!$B$6/100)*I19</f>
        <v/>
      </c>
      <c r="AB19" s="54">
        <f>State!$B$7*K19</f>
        <v/>
      </c>
      <c r="AE19" s="54">
        <f>State!$B$8*(1-Answers!$C$16/100)*S19</f>
        <v/>
      </c>
      <c r="AF19" s="54">
        <f>State!$B$9*(1-Answers!$C$17/100)*T19</f>
        <v/>
      </c>
      <c r="AG19" s="54">
        <f>State!$B$10*(1-Answers!$C$18/100)*U19</f>
        <v/>
      </c>
      <c r="AH19" s="54">
        <f>State!$B$11*(1-Answers!$C$19/100)*V19</f>
        <v/>
      </c>
      <c r="AI19" s="54">
        <f>State!$B$12*(1-Answers!$C$20/100)*W19</f>
        <v/>
      </c>
      <c r="AJ19" s="54">
        <f>X19</f>
        <v/>
      </c>
      <c r="AK19" s="54">
        <f>X19+Y19</f>
        <v/>
      </c>
      <c r="AL19" s="54">
        <f>AK19+Z19</f>
        <v/>
      </c>
      <c r="AM19" s="54">
        <f>AL19+AA19</f>
        <v/>
      </c>
      <c r="AN19" s="54">
        <f>AM19+AB19</f>
        <v/>
      </c>
      <c r="AO19" s="54">
        <f>AL19+AE19+AF19+AG19+AH19+AI19+AB19</f>
        <v/>
      </c>
      <c r="AP19" s="54">
        <f>IF(State!$B$46=1,AO19,AN19)</f>
        <v/>
      </c>
      <c r="AQ19" s="54" t="n">
        <v>563.5</v>
      </c>
      <c r="AR19" s="54" t="n">
        <v>-685.7</v>
      </c>
      <c r="AS19" s="54" t="n">
        <v>5539.2</v>
      </c>
      <c r="AT19" s="54" t="n">
        <v>5092.6</v>
      </c>
      <c r="AU19" s="54" t="n">
        <v>2683</v>
      </c>
      <c r="AX19" s="54" t="n">
        <v>2418.1</v>
      </c>
      <c r="AY19" s="54" t="n">
        <v>690</v>
      </c>
      <c r="AZ19" s="54" t="n">
        <v>517</v>
      </c>
      <c r="BA19" s="54" t="n">
        <v>167.5</v>
      </c>
      <c r="BB19" s="54" t="n">
        <v>1300</v>
      </c>
      <c r="BC19" s="54">
        <f>AQ19+AR19+AS19+AT19+AU19</f>
        <v/>
      </c>
      <c r="BD19" s="54">
        <f>AQ19</f>
        <v/>
      </c>
      <c r="BE19" s="54">
        <f>AQ19+AR19</f>
        <v/>
      </c>
      <c r="BF19" s="54">
        <f>BE19+AS19</f>
        <v/>
      </c>
      <c r="BG19" s="54">
        <f>BF19+AT19</f>
        <v/>
      </c>
      <c r="BH19" s="54">
        <f>BG19+AU19</f>
        <v/>
      </c>
      <c r="BI19" s="54">
        <f>BC19</f>
        <v/>
      </c>
      <c r="BJ19" s="54">
        <f>IF(State!$B$14=1,CHOOSE(State!$B$43+1,D19,BD19,BE19,BF19,BG19,BH19,BI19),BK19)</f>
        <v/>
      </c>
      <c r="BK19" s="54">
        <f>CHOOSE(State!$B$43+1,D19,AJ19,AK19,AL19,AM19,AN19,AO19)</f>
        <v/>
      </c>
      <c r="BL19" s="54">
        <f>IF(State!$B$44=1,H19,0)</f>
        <v/>
      </c>
      <c r="BQ19" s="54">
        <f>D19-AP19</f>
        <v/>
      </c>
      <c r="BR19" s="54">
        <f>BQ19^2</f>
        <v/>
      </c>
      <c r="BS19" s="54">
        <f>(BQ19-BQ18)^2</f>
        <v/>
      </c>
      <c r="BT19" s="54">
        <f>IF(D19&gt;2000,ABS(BQ19)/D19,"")</f>
        <v/>
      </c>
      <c r="BU19" s="54" t="n">
        <v>282</v>
      </c>
      <c r="BV19" s="74" t="n">
        <v>0.5206</v>
      </c>
      <c r="BW19" s="54" t="n">
        <v>1170.1</v>
      </c>
    </row>
    <row r="20">
      <c r="A20" s="73" t="n">
        <v>45032</v>
      </c>
      <c r="B20" s="53">
        <f>YEAR(A20)</f>
        <v/>
      </c>
      <c r="C20" s="53">
        <f>MONTH(A20)</f>
        <v/>
      </c>
      <c r="D20" s="54" t="n">
        <v>10034</v>
      </c>
      <c r="E20" s="55" t="n">
        <v>1.3276</v>
      </c>
      <c r="F20" s="55" t="n">
        <v>0.6912</v>
      </c>
      <c r="G20" s="55" t="n">
        <v>0.7291</v>
      </c>
      <c r="H20" s="54" t="n">
        <v>308.33</v>
      </c>
      <c r="I20" s="54">
        <f>H20+State!$B$6/100*I19</f>
        <v/>
      </c>
      <c r="J20" s="54" t="n">
        <v>594.3099999999999</v>
      </c>
      <c r="K20" s="54" t="n">
        <v>635.91</v>
      </c>
      <c r="N20" s="54" t="n">
        <v>40.66</v>
      </c>
      <c r="O20" s="54" t="n">
        <v>84.76000000000001</v>
      </c>
      <c r="P20" s="54" t="n">
        <v>39.57</v>
      </c>
      <c r="Q20" s="54" t="n">
        <v>14.28</v>
      </c>
      <c r="R20" s="54" t="n">
        <v>119.02</v>
      </c>
      <c r="S20" s="54">
        <f>N20+Answers!$C$16/100*S19</f>
        <v/>
      </c>
      <c r="T20" s="54">
        <f>O20+Answers!$C$17/100*T19</f>
        <v/>
      </c>
      <c r="U20" s="54">
        <f>P20+Answers!$C$18/100*U19</f>
        <v/>
      </c>
      <c r="V20" s="54">
        <f>Q20+Answers!$C$19/100*V19</f>
        <v/>
      </c>
      <c r="W20" s="54">
        <f>R20+Answers!$C$20/100*W19</f>
        <v/>
      </c>
      <c r="X20" s="54">
        <f>State!$B$2*E20</f>
        <v/>
      </c>
      <c r="Y20" s="54">
        <f>-State!$B$3*F20</f>
        <v/>
      </c>
      <c r="Z20" s="54">
        <f>State!$B$4*G20</f>
        <v/>
      </c>
      <c r="AA20" s="54">
        <f>State!$B$5*(1-State!$B$6/100)*I20</f>
        <v/>
      </c>
      <c r="AB20" s="54">
        <f>State!$B$7*K20</f>
        <v/>
      </c>
      <c r="AE20" s="54">
        <f>State!$B$8*(1-Answers!$C$16/100)*S20</f>
        <v/>
      </c>
      <c r="AF20" s="54">
        <f>State!$B$9*(1-Answers!$C$17/100)*T20</f>
        <v/>
      </c>
      <c r="AG20" s="54">
        <f>State!$B$10*(1-Answers!$C$18/100)*U20</f>
        <v/>
      </c>
      <c r="AH20" s="54">
        <f>State!$B$11*(1-Answers!$C$19/100)*V20</f>
        <v/>
      </c>
      <c r="AI20" s="54">
        <f>State!$B$12*(1-Answers!$C$20/100)*W20</f>
        <v/>
      </c>
      <c r="AJ20" s="54">
        <f>X20</f>
        <v/>
      </c>
      <c r="AK20" s="54">
        <f>X20+Y20</f>
        <v/>
      </c>
      <c r="AL20" s="54">
        <f>AK20+Z20</f>
        <v/>
      </c>
      <c r="AM20" s="54">
        <f>AL20+AA20</f>
        <v/>
      </c>
      <c r="AN20" s="54">
        <f>AM20+AB20</f>
        <v/>
      </c>
      <c r="AO20" s="54">
        <f>AL20+AE20+AF20+AG20+AH20+AI20+AB20</f>
        <v/>
      </c>
      <c r="AP20" s="54">
        <f>IF(State!$B$46=1,AO20,AN20)</f>
        <v/>
      </c>
      <c r="AQ20" s="54" t="n">
        <v>1162.5</v>
      </c>
      <c r="AR20" s="54" t="n">
        <v>-658.3</v>
      </c>
      <c r="AS20" s="54" t="n">
        <v>5539.2</v>
      </c>
      <c r="AT20" s="54" t="n">
        <v>5110.6</v>
      </c>
      <c r="AU20" s="54" t="n">
        <v>2446.3</v>
      </c>
      <c r="AX20" s="54" t="n">
        <v>2160.9</v>
      </c>
      <c r="AY20" s="54" t="n">
        <v>808.3</v>
      </c>
      <c r="AZ20" s="54" t="n">
        <v>543.2</v>
      </c>
      <c r="BA20" s="54" t="n">
        <v>160.4</v>
      </c>
      <c r="BB20" s="54" t="n">
        <v>1437.6</v>
      </c>
      <c r="BC20" s="54">
        <f>AQ20+AR20+AS20+AT20+AU20</f>
        <v/>
      </c>
      <c r="BD20" s="54">
        <f>AQ20</f>
        <v/>
      </c>
      <c r="BE20" s="54">
        <f>AQ20+AR20</f>
        <v/>
      </c>
      <c r="BF20" s="54">
        <f>BE20+AS20</f>
        <v/>
      </c>
      <c r="BG20" s="54">
        <f>BF20+AT20</f>
        <v/>
      </c>
      <c r="BH20" s="54">
        <f>BG20+AU20</f>
        <v/>
      </c>
      <c r="BI20" s="54">
        <f>BC20</f>
        <v/>
      </c>
      <c r="BJ20" s="54">
        <f>IF(State!$B$14=1,CHOOSE(State!$B$43+1,D20,BD20,BE20,BF20,BG20,BH20,BI20),BK20)</f>
        <v/>
      </c>
      <c r="BK20" s="54">
        <f>CHOOSE(State!$B$43+1,D20,AJ20,AK20,AL20,AM20,AN20,AO20)</f>
        <v/>
      </c>
      <c r="BL20" s="54">
        <f>IF(State!$B$44=1,H20,0)</f>
        <v/>
      </c>
      <c r="BQ20" s="54">
        <f>D20-AP20</f>
        <v/>
      </c>
      <c r="BR20" s="54">
        <f>BQ20^2</f>
        <v/>
      </c>
      <c r="BS20" s="54">
        <f>(BQ20-BQ19)^2</f>
        <v/>
      </c>
      <c r="BT20" s="54">
        <f>IF(D20&gt;2000,ABS(BQ20)/D20,"")</f>
        <v/>
      </c>
      <c r="BU20" s="54" t="n">
        <v>336</v>
      </c>
      <c r="BV20" s="74" t="n">
        <v>0.5206</v>
      </c>
      <c r="BW20" s="54" t="n">
        <v>1100.7</v>
      </c>
    </row>
    <row r="21">
      <c r="A21" s="73" t="n">
        <v>45039</v>
      </c>
      <c r="B21" s="53">
        <f>YEAR(A21)</f>
        <v/>
      </c>
      <c r="C21" s="53">
        <f>MONTH(A21)</f>
        <v/>
      </c>
      <c r="D21" s="54" t="n">
        <v>12711</v>
      </c>
      <c r="E21" s="55" t="n">
        <v>0.701</v>
      </c>
      <c r="F21" s="55" t="n">
        <v>0.6316000000000001</v>
      </c>
      <c r="G21" s="55" t="n">
        <v>0.7291</v>
      </c>
      <c r="H21" s="54" t="n">
        <v>458.48</v>
      </c>
      <c r="I21" s="54">
        <f>H21+State!$B$6/100*I20</f>
        <v/>
      </c>
      <c r="J21" s="54" t="n">
        <v>66.09999999999999</v>
      </c>
      <c r="K21" s="54" t="n">
        <v>534.84</v>
      </c>
      <c r="N21" s="54" t="n">
        <v>44.59</v>
      </c>
      <c r="O21" s="54" t="n">
        <v>70.89</v>
      </c>
      <c r="P21" s="54" t="n">
        <v>42.7</v>
      </c>
      <c r="Q21" s="54" t="n">
        <v>14.28</v>
      </c>
      <c r="R21" s="54" t="n">
        <v>273.31</v>
      </c>
      <c r="S21" s="54">
        <f>N21+Answers!$C$16/100*S20</f>
        <v/>
      </c>
      <c r="T21" s="54">
        <f>O21+Answers!$C$17/100*T20</f>
        <v/>
      </c>
      <c r="U21" s="54">
        <f>P21+Answers!$C$18/100*U20</f>
        <v/>
      </c>
      <c r="V21" s="54">
        <f>Q21+Answers!$C$19/100*V20</f>
        <v/>
      </c>
      <c r="W21" s="54">
        <f>R21+Answers!$C$20/100*W20</f>
        <v/>
      </c>
      <c r="X21" s="54">
        <f>State!$B$2*E21</f>
        <v/>
      </c>
      <c r="Y21" s="54">
        <f>-State!$B$3*F21</f>
        <v/>
      </c>
      <c r="Z21" s="54">
        <f>State!$B$4*G21</f>
        <v/>
      </c>
      <c r="AA21" s="54">
        <f>State!$B$5*(1-State!$B$6/100)*I21</f>
        <v/>
      </c>
      <c r="AB21" s="54">
        <f>State!$B$7*K21</f>
        <v/>
      </c>
      <c r="AE21" s="54">
        <f>State!$B$8*(1-Answers!$C$16/100)*S21</f>
        <v/>
      </c>
      <c r="AF21" s="54">
        <f>State!$B$9*(1-Answers!$C$17/100)*T21</f>
        <v/>
      </c>
      <c r="AG21" s="54">
        <f>State!$B$10*(1-Answers!$C$18/100)*U21</f>
        <v/>
      </c>
      <c r="AH21" s="54">
        <f>State!$B$11*(1-Answers!$C$19/100)*V21</f>
        <v/>
      </c>
      <c r="AI21" s="54">
        <f>State!$B$12*(1-Answers!$C$20/100)*W21</f>
        <v/>
      </c>
      <c r="AJ21" s="54">
        <f>X21</f>
        <v/>
      </c>
      <c r="AK21" s="54">
        <f>X21+Y21</f>
        <v/>
      </c>
      <c r="AL21" s="54">
        <f>AK21+Z21</f>
        <v/>
      </c>
      <c r="AM21" s="54">
        <f>AL21+AA21</f>
        <v/>
      </c>
      <c r="AN21" s="54">
        <f>AM21+AB21</f>
        <v/>
      </c>
      <c r="AO21" s="54">
        <f>AL21+AE21+AF21+AG21+AH21+AI21+AB21</f>
        <v/>
      </c>
      <c r="AP21" s="54">
        <f>IF(State!$B$46=1,AO21,AN21)</f>
        <v/>
      </c>
      <c r="AQ21" s="54" t="n">
        <v>613.8</v>
      </c>
      <c r="AR21" s="54" t="n">
        <v>-601.6</v>
      </c>
      <c r="AS21" s="54" t="n">
        <v>5539.2</v>
      </c>
      <c r="AT21" s="54" t="n">
        <v>5511.9</v>
      </c>
      <c r="AU21" s="54" t="n">
        <v>1953.7</v>
      </c>
      <c r="AX21" s="54" t="n">
        <v>1952.5</v>
      </c>
      <c r="AY21" s="54" t="n">
        <v>872.6</v>
      </c>
      <c r="AZ21" s="54" t="n">
        <v>573.7</v>
      </c>
      <c r="BA21" s="54" t="n">
        <v>154.4</v>
      </c>
      <c r="BB21" s="54" t="n">
        <v>1958.7</v>
      </c>
      <c r="BC21" s="54">
        <f>AQ21+AR21+AS21+AT21+AU21</f>
        <v/>
      </c>
      <c r="BD21" s="54">
        <f>AQ21</f>
        <v/>
      </c>
      <c r="BE21" s="54">
        <f>AQ21+AR21</f>
        <v/>
      </c>
      <c r="BF21" s="54">
        <f>BE21+AS21</f>
        <v/>
      </c>
      <c r="BG21" s="54">
        <f>BF21+AT21</f>
        <v/>
      </c>
      <c r="BH21" s="54">
        <f>BG21+AU21</f>
        <v/>
      </c>
      <c r="BI21" s="54">
        <f>BC21</f>
        <v/>
      </c>
      <c r="BJ21" s="54">
        <f>IF(State!$B$14=1,CHOOSE(State!$B$43+1,D21,BD21,BE21,BF21,BG21,BH21,BI21),BK21)</f>
        <v/>
      </c>
      <c r="BK21" s="54">
        <f>CHOOSE(State!$B$43+1,D21,AJ21,AK21,AL21,AM21,AN21,AO21)</f>
        <v/>
      </c>
      <c r="BL21" s="54">
        <f>IF(State!$B$44=1,H21,0)</f>
        <v/>
      </c>
      <c r="BQ21" s="54">
        <f>D21-AP21</f>
        <v/>
      </c>
      <c r="BR21" s="54">
        <f>BQ21^2</f>
        <v/>
      </c>
      <c r="BS21" s="54">
        <f>(BQ21-BQ20)^2</f>
        <v/>
      </c>
      <c r="BT21" s="54">
        <f>IF(D21&gt;2000,ABS(BQ21)/D21,"")</f>
        <v/>
      </c>
      <c r="BU21" s="54" t="n">
        <v>246</v>
      </c>
      <c r="BV21" s="74" t="n">
        <v>0.5206</v>
      </c>
      <c r="BW21" s="54" t="n">
        <v>1093</v>
      </c>
    </row>
    <row r="22">
      <c r="A22" s="73" t="n">
        <v>45046</v>
      </c>
      <c r="B22" s="53">
        <f>YEAR(A22)</f>
        <v/>
      </c>
      <c r="C22" s="53">
        <f>MONTH(A22)</f>
        <v/>
      </c>
      <c r="D22" s="54" t="n">
        <v>21782</v>
      </c>
      <c r="E22" s="55" t="n">
        <v>0.6995</v>
      </c>
      <c r="F22" s="55" t="n">
        <v>0.6955</v>
      </c>
      <c r="G22" s="55" t="n">
        <v>1.7411</v>
      </c>
      <c r="H22" s="54" t="n">
        <v>290.04</v>
      </c>
      <c r="I22" s="54">
        <f>H22+State!$B$6/100*I21</f>
        <v/>
      </c>
      <c r="J22" s="54" t="n">
        <v>54.65</v>
      </c>
      <c r="K22" s="54" t="n">
        <v>552.88</v>
      </c>
      <c r="N22" s="54" t="n">
        <v>51</v>
      </c>
      <c r="O22" s="54" t="n">
        <v>60.05</v>
      </c>
      <c r="P22" s="54" t="n">
        <v>41.61</v>
      </c>
      <c r="Q22" s="54" t="n">
        <v>0</v>
      </c>
      <c r="R22" s="54" t="n">
        <v>115.6</v>
      </c>
      <c r="S22" s="54">
        <f>N22+Answers!$C$16/100*S21</f>
        <v/>
      </c>
      <c r="T22" s="54">
        <f>O22+Answers!$C$17/100*T21</f>
        <v/>
      </c>
      <c r="U22" s="54">
        <f>P22+Answers!$C$18/100*U21</f>
        <v/>
      </c>
      <c r="V22" s="54">
        <f>Q22+Answers!$C$19/100*V21</f>
        <v/>
      </c>
      <c r="W22" s="54">
        <f>R22+Answers!$C$20/100*W21</f>
        <v/>
      </c>
      <c r="X22" s="54">
        <f>State!$B$2*E22</f>
        <v/>
      </c>
      <c r="Y22" s="54">
        <f>-State!$B$3*F22</f>
        <v/>
      </c>
      <c r="Z22" s="54">
        <f>State!$B$4*G22</f>
        <v/>
      </c>
      <c r="AA22" s="54">
        <f>State!$B$5*(1-State!$B$6/100)*I22</f>
        <v/>
      </c>
      <c r="AB22" s="54">
        <f>State!$B$7*K22</f>
        <v/>
      </c>
      <c r="AE22" s="54">
        <f>State!$B$8*(1-Answers!$C$16/100)*S22</f>
        <v/>
      </c>
      <c r="AF22" s="54">
        <f>State!$B$9*(1-Answers!$C$17/100)*T22</f>
        <v/>
      </c>
      <c r="AG22" s="54">
        <f>State!$B$10*(1-Answers!$C$18/100)*U22</f>
        <v/>
      </c>
      <c r="AH22" s="54">
        <f>State!$B$11*(1-Answers!$C$19/100)*V22</f>
        <v/>
      </c>
      <c r="AI22" s="54">
        <f>State!$B$12*(1-Answers!$C$20/100)*W22</f>
        <v/>
      </c>
      <c r="AJ22" s="54">
        <f>X22</f>
        <v/>
      </c>
      <c r="AK22" s="54">
        <f>X22+Y22</f>
        <v/>
      </c>
      <c r="AL22" s="54">
        <f>AK22+Z22</f>
        <v/>
      </c>
      <c r="AM22" s="54">
        <f>AL22+AA22</f>
        <v/>
      </c>
      <c r="AN22" s="54">
        <f>AM22+AB22</f>
        <v/>
      </c>
      <c r="AO22" s="54">
        <f>AL22+AE22+AF22+AG22+AH22+AI22+AB22</f>
        <v/>
      </c>
      <c r="AP22" s="54">
        <f>IF(State!$B$46=1,AO22,AN22)</f>
        <v/>
      </c>
      <c r="AQ22" s="54" t="n">
        <v>612.5</v>
      </c>
      <c r="AR22" s="54" t="n">
        <v>-662.4</v>
      </c>
      <c r="AS22" s="54" t="n">
        <v>13227.7</v>
      </c>
      <c r="AT22" s="54" t="n">
        <v>5401.4</v>
      </c>
      <c r="AU22" s="54" t="n">
        <v>2018.5</v>
      </c>
      <c r="AX22" s="54" t="n">
        <v>1791.9</v>
      </c>
      <c r="AY22" s="54" t="n">
        <v>898.9</v>
      </c>
      <c r="AZ22" s="54" t="n">
        <v>596.8</v>
      </c>
      <c r="BA22" s="54" t="n">
        <v>131.3</v>
      </c>
      <c r="BB22" s="54" t="n">
        <v>1982.5</v>
      </c>
      <c r="BC22" s="54">
        <f>AQ22+AR22+AS22+AT22+AU22</f>
        <v/>
      </c>
      <c r="BD22" s="54">
        <f>AQ22</f>
        <v/>
      </c>
      <c r="BE22" s="54">
        <f>AQ22+AR22</f>
        <v/>
      </c>
      <c r="BF22" s="54">
        <f>BE22+AS22</f>
        <v/>
      </c>
      <c r="BG22" s="54">
        <f>BF22+AT22</f>
        <v/>
      </c>
      <c r="BH22" s="54">
        <f>BG22+AU22</f>
        <v/>
      </c>
      <c r="BI22" s="54">
        <f>BC22</f>
        <v/>
      </c>
      <c r="BJ22" s="54">
        <f>IF(State!$B$14=1,CHOOSE(State!$B$43+1,D22,BD22,BE22,BF22,BG22,BH22,BI22),BK22)</f>
        <v/>
      </c>
      <c r="BK22" s="54">
        <f>CHOOSE(State!$B$43+1,D22,AJ22,AK22,AL22,AM22,AN22,AO22)</f>
        <v/>
      </c>
      <c r="BL22" s="54">
        <f>IF(State!$B$44=1,H22,0)</f>
        <v/>
      </c>
      <c r="BQ22" s="54">
        <f>D22-AP22</f>
        <v/>
      </c>
      <c r="BR22" s="54">
        <f>BQ22^2</f>
        <v/>
      </c>
      <c r="BS22" s="54">
        <f>(BQ22-BQ21)^2</f>
        <v/>
      </c>
      <c r="BT22" s="54">
        <f>IF(D22&gt;2000,ABS(BQ22)/D22,"")</f>
        <v/>
      </c>
      <c r="BU22" s="54" t="n">
        <v>221</v>
      </c>
      <c r="BV22" s="74" t="n">
        <v>0.5131</v>
      </c>
      <c r="BW22" s="54" t="n">
        <v>882.1</v>
      </c>
    </row>
    <row r="23">
      <c r="A23" s="73" t="n">
        <v>45053</v>
      </c>
      <c r="B23" s="53">
        <f>YEAR(A23)</f>
        <v/>
      </c>
      <c r="C23" s="53">
        <f>MONTH(A23)</f>
        <v/>
      </c>
      <c r="D23" s="54" t="n">
        <v>9465</v>
      </c>
      <c r="E23" s="55" t="n">
        <v>5.4243</v>
      </c>
      <c r="F23" s="55" t="n">
        <v>1.2998</v>
      </c>
      <c r="G23" s="55" t="n">
        <v>0</v>
      </c>
      <c r="H23" s="54" t="n">
        <v>254.86</v>
      </c>
      <c r="I23" s="54">
        <f>H23+State!$B$6/100*I22</f>
        <v/>
      </c>
      <c r="J23" s="54" t="n">
        <v>91.3</v>
      </c>
      <c r="K23" s="54" t="n">
        <v>133.14</v>
      </c>
      <c r="N23" s="54" t="n">
        <v>56.47</v>
      </c>
      <c r="O23" s="54" t="n">
        <v>96.58</v>
      </c>
      <c r="P23" s="54" t="n">
        <v>0</v>
      </c>
      <c r="Q23" s="54" t="n">
        <v>0</v>
      </c>
      <c r="R23" s="54" t="n">
        <v>92.33</v>
      </c>
      <c r="S23" s="54">
        <f>N23+Answers!$C$16/100*S22</f>
        <v/>
      </c>
      <c r="T23" s="54">
        <f>O23+Answers!$C$17/100*T22</f>
        <v/>
      </c>
      <c r="U23" s="54">
        <f>P23+Answers!$C$18/100*U22</f>
        <v/>
      </c>
      <c r="V23" s="54">
        <f>Q23+Answers!$C$19/100*V22</f>
        <v/>
      </c>
      <c r="W23" s="54">
        <f>R23+Answers!$C$20/100*W22</f>
        <v/>
      </c>
      <c r="X23" s="54">
        <f>State!$B$2*E23</f>
        <v/>
      </c>
      <c r="Y23" s="54">
        <f>-State!$B$3*F23</f>
        <v/>
      </c>
      <c r="Z23" s="54">
        <f>State!$B$4*G23</f>
        <v/>
      </c>
      <c r="AA23" s="54">
        <f>State!$B$5*(1-State!$B$6/100)*I23</f>
        <v/>
      </c>
      <c r="AB23" s="54">
        <f>State!$B$7*K23</f>
        <v/>
      </c>
      <c r="AE23" s="54">
        <f>State!$B$8*(1-Answers!$C$16/100)*S23</f>
        <v/>
      </c>
      <c r="AF23" s="54">
        <f>State!$B$9*(1-Answers!$C$17/100)*T23</f>
        <v/>
      </c>
      <c r="AG23" s="54">
        <f>State!$B$10*(1-Answers!$C$18/100)*U23</f>
        <v/>
      </c>
      <c r="AH23" s="54">
        <f>State!$B$11*(1-Answers!$C$19/100)*V23</f>
        <v/>
      </c>
      <c r="AI23" s="54">
        <f>State!$B$12*(1-Answers!$C$20/100)*W23</f>
        <v/>
      </c>
      <c r="AJ23" s="54">
        <f>X23</f>
        <v/>
      </c>
      <c r="AK23" s="54">
        <f>X23+Y23</f>
        <v/>
      </c>
      <c r="AL23" s="54">
        <f>AK23+Z23</f>
        <v/>
      </c>
      <c r="AM23" s="54">
        <f>AL23+AA23</f>
        <v/>
      </c>
      <c r="AN23" s="54">
        <f>AM23+AB23</f>
        <v/>
      </c>
      <c r="AO23" s="54">
        <f>AL23+AE23+AF23+AG23+AH23+AI23+AB23</f>
        <v/>
      </c>
      <c r="AP23" s="54">
        <f>IF(State!$B$46=1,AO23,AN23)</f>
        <v/>
      </c>
      <c r="AQ23" s="54" t="n">
        <v>4749.6</v>
      </c>
      <c r="AR23" s="54" t="n">
        <v>-1238</v>
      </c>
      <c r="AS23" s="54" t="n">
        <v>0</v>
      </c>
      <c r="AT23" s="54" t="n">
        <v>5254</v>
      </c>
      <c r="AU23" s="54" t="n">
        <v>496.6</v>
      </c>
      <c r="AX23" s="54" t="n">
        <v>1669.7</v>
      </c>
      <c r="AY23" s="54" t="n">
        <v>1016.8</v>
      </c>
      <c r="AZ23" s="54" t="n">
        <v>507.3</v>
      </c>
      <c r="BA23" s="54" t="n">
        <v>111.6</v>
      </c>
      <c r="BB23" s="54" t="n">
        <v>1948.7</v>
      </c>
      <c r="BC23" s="54">
        <f>AQ23+AR23+AS23+AT23+AU23</f>
        <v/>
      </c>
      <c r="BD23" s="54">
        <f>AQ23</f>
        <v/>
      </c>
      <c r="BE23" s="54">
        <f>AQ23+AR23</f>
        <v/>
      </c>
      <c r="BF23" s="54">
        <f>BE23+AS23</f>
        <v/>
      </c>
      <c r="BG23" s="54">
        <f>BF23+AT23</f>
        <v/>
      </c>
      <c r="BH23" s="54">
        <f>BG23+AU23</f>
        <v/>
      </c>
      <c r="BI23" s="54">
        <f>BC23</f>
        <v/>
      </c>
      <c r="BJ23" s="54">
        <f>IF(State!$B$14=1,CHOOSE(State!$B$43+1,D23,BD23,BE23,BF23,BG23,BH23,BI23),BK23)</f>
        <v/>
      </c>
      <c r="BK23" s="54">
        <f>CHOOSE(State!$B$43+1,D23,AJ23,AK23,AL23,AM23,AN23,AO23)</f>
        <v/>
      </c>
      <c r="BL23" s="54">
        <f>IF(State!$B$44=1,H23,0)</f>
        <v/>
      </c>
      <c r="BQ23" s="54">
        <f>D23-AP23</f>
        <v/>
      </c>
      <c r="BR23" s="54">
        <f>BQ23^2</f>
        <v/>
      </c>
      <c r="BS23" s="54">
        <f>(BQ23-BQ22)^2</f>
        <v/>
      </c>
      <c r="BT23" s="54">
        <f>IF(D23&gt;2000,ABS(BQ23)/D23,"")</f>
        <v/>
      </c>
      <c r="BU23" s="54" t="n">
        <v>189</v>
      </c>
      <c r="BV23" s="74" t="n">
        <v>0.5131</v>
      </c>
      <c r="BW23" s="54" t="n">
        <v>427.2</v>
      </c>
    </row>
    <row r="24">
      <c r="A24" s="73" t="n">
        <v>45060</v>
      </c>
      <c r="B24" s="53">
        <f>YEAR(A24)</f>
        <v/>
      </c>
      <c r="C24" s="53">
        <f>MONTH(A24)</f>
        <v/>
      </c>
      <c r="D24" s="54" t="n">
        <v>8614</v>
      </c>
      <c r="E24" s="55" t="n">
        <v>1.2414</v>
      </c>
      <c r="F24" s="55" t="n">
        <v>0.9795</v>
      </c>
      <c r="G24" s="55" t="n">
        <v>0</v>
      </c>
      <c r="H24" s="54" t="n">
        <v>206.71</v>
      </c>
      <c r="I24" s="54">
        <f>H24+State!$B$6/100*I23</f>
        <v/>
      </c>
      <c r="J24" s="54" t="n">
        <v>79.44</v>
      </c>
      <c r="K24" s="54" t="n">
        <v>112.77</v>
      </c>
      <c r="N24" s="54" t="n">
        <v>53.47</v>
      </c>
      <c r="O24" s="54" t="n">
        <v>0</v>
      </c>
      <c r="P24" s="54" t="n">
        <v>48.87</v>
      </c>
      <c r="Q24" s="54" t="n">
        <v>0</v>
      </c>
      <c r="R24" s="54" t="n">
        <v>95.76000000000001</v>
      </c>
      <c r="S24" s="54">
        <f>N24+Answers!$C$16/100*S23</f>
        <v/>
      </c>
      <c r="T24" s="54">
        <f>O24+Answers!$C$17/100*T23</f>
        <v/>
      </c>
      <c r="U24" s="54">
        <f>P24+Answers!$C$18/100*U23</f>
        <v/>
      </c>
      <c r="V24" s="54">
        <f>Q24+Answers!$C$19/100*V23</f>
        <v/>
      </c>
      <c r="W24" s="54">
        <f>R24+Answers!$C$20/100*W23</f>
        <v/>
      </c>
      <c r="X24" s="54">
        <f>State!$B$2*E24</f>
        <v/>
      </c>
      <c r="Y24" s="54">
        <f>-State!$B$3*F24</f>
        <v/>
      </c>
      <c r="Z24" s="54">
        <f>State!$B$4*G24</f>
        <v/>
      </c>
      <c r="AA24" s="54">
        <f>State!$B$5*(1-State!$B$6/100)*I24</f>
        <v/>
      </c>
      <c r="AB24" s="54">
        <f>State!$B$7*K24</f>
        <v/>
      </c>
      <c r="AE24" s="54">
        <f>State!$B$8*(1-Answers!$C$16/100)*S24</f>
        <v/>
      </c>
      <c r="AF24" s="54">
        <f>State!$B$9*(1-Answers!$C$17/100)*T24</f>
        <v/>
      </c>
      <c r="AG24" s="54">
        <f>State!$B$10*(1-Answers!$C$18/100)*U24</f>
        <v/>
      </c>
      <c r="AH24" s="54">
        <f>State!$B$11*(1-Answers!$C$19/100)*V24</f>
        <v/>
      </c>
      <c r="AI24" s="54">
        <f>State!$B$12*(1-Answers!$C$20/100)*W24</f>
        <v/>
      </c>
      <c r="AJ24" s="54">
        <f>X24</f>
        <v/>
      </c>
      <c r="AK24" s="54">
        <f>X24+Y24</f>
        <v/>
      </c>
      <c r="AL24" s="54">
        <f>AK24+Z24</f>
        <v/>
      </c>
      <c r="AM24" s="54">
        <f>AL24+AA24</f>
        <v/>
      </c>
      <c r="AN24" s="54">
        <f>AM24+AB24</f>
        <v/>
      </c>
      <c r="AO24" s="54">
        <f>AL24+AE24+AF24+AG24+AH24+AI24+AB24</f>
        <v/>
      </c>
      <c r="AP24" s="54">
        <f>IF(State!$B$46=1,AO24,AN24)</f>
        <v/>
      </c>
      <c r="AQ24" s="54" t="n">
        <v>1087</v>
      </c>
      <c r="AR24" s="54" t="n">
        <v>-932.9</v>
      </c>
      <c r="AS24" s="54" t="n">
        <v>0</v>
      </c>
      <c r="AT24" s="54" t="n">
        <v>5012.6</v>
      </c>
      <c r="AU24" s="54" t="n">
        <v>419.5</v>
      </c>
      <c r="AX24" s="54" t="n">
        <v>1557.9</v>
      </c>
      <c r="AY24" s="54" t="n">
        <v>864.3</v>
      </c>
      <c r="AZ24" s="54" t="n">
        <v>559.3</v>
      </c>
      <c r="BA24" s="54" t="n">
        <v>94.8</v>
      </c>
      <c r="BB24" s="54" t="n">
        <v>1936.2</v>
      </c>
      <c r="BC24" s="54">
        <f>AQ24+AR24+AS24+AT24+AU24</f>
        <v/>
      </c>
      <c r="BD24" s="54">
        <f>AQ24</f>
        <v/>
      </c>
      <c r="BE24" s="54">
        <f>AQ24+AR24</f>
        <v/>
      </c>
      <c r="BF24" s="54">
        <f>BE24+AS24</f>
        <v/>
      </c>
      <c r="BG24" s="54">
        <f>BF24+AT24</f>
        <v/>
      </c>
      <c r="BH24" s="54">
        <f>BG24+AU24</f>
        <v/>
      </c>
      <c r="BI24" s="54">
        <f>BC24</f>
        <v/>
      </c>
      <c r="BJ24" s="54">
        <f>IF(State!$B$14=1,CHOOSE(State!$B$43+1,D24,BD24,BE24,BF24,BG24,BH24,BI24),BK24)</f>
        <v/>
      </c>
      <c r="BK24" s="54">
        <f>CHOOSE(State!$B$43+1,D24,AJ24,AK24,AL24,AM24,AN24,AO24)</f>
        <v/>
      </c>
      <c r="BL24" s="54">
        <f>IF(State!$B$44=1,H24,0)</f>
        <v/>
      </c>
      <c r="BQ24" s="54">
        <f>D24-AP24</f>
        <v/>
      </c>
      <c r="BR24" s="54">
        <f>BQ24^2</f>
        <v/>
      </c>
      <c r="BS24" s="54">
        <f>(BQ24-BQ23)^2</f>
        <v/>
      </c>
      <c r="BT24" s="54">
        <f>IF(D24&gt;2000,ABS(BQ24)/D24,"")</f>
        <v/>
      </c>
      <c r="BU24" s="54" t="n">
        <v>180</v>
      </c>
      <c r="BV24" s="74" t="n">
        <v>0.5131</v>
      </c>
      <c r="BW24" s="54" t="n">
        <v>379.7</v>
      </c>
    </row>
    <row r="25">
      <c r="A25" s="73" t="n">
        <v>45067</v>
      </c>
      <c r="B25" s="53">
        <f>YEAR(A25)</f>
        <v/>
      </c>
      <c r="C25" s="53">
        <f>MONTH(A25)</f>
        <v/>
      </c>
      <c r="D25" s="54" t="n">
        <v>7938</v>
      </c>
      <c r="E25" s="55" t="n">
        <v>0.9408</v>
      </c>
      <c r="F25" s="55" t="n">
        <v>0.9775</v>
      </c>
      <c r="G25" s="55" t="n">
        <v>0</v>
      </c>
      <c r="H25" s="54" t="n">
        <v>141.33</v>
      </c>
      <c r="I25" s="54">
        <f>H25+State!$B$6/100*I24</f>
        <v/>
      </c>
      <c r="J25" s="54" t="n">
        <v>51.9</v>
      </c>
      <c r="K25" s="54" t="n">
        <v>73.73999999999999</v>
      </c>
      <c r="N25" s="54" t="n">
        <v>37.11</v>
      </c>
      <c r="O25" s="54" t="n">
        <v>0</v>
      </c>
      <c r="P25" s="54" t="n">
        <v>0</v>
      </c>
      <c r="Q25" s="54" t="n">
        <v>0</v>
      </c>
      <c r="R25" s="54" t="n">
        <v>96.28</v>
      </c>
      <c r="S25" s="54">
        <f>N25+Answers!$C$16/100*S24</f>
        <v/>
      </c>
      <c r="T25" s="54">
        <f>O25+Answers!$C$17/100*T24</f>
        <v/>
      </c>
      <c r="U25" s="54">
        <f>P25+Answers!$C$18/100*U24</f>
        <v/>
      </c>
      <c r="V25" s="54">
        <f>Q25+Answers!$C$19/100*V24</f>
        <v/>
      </c>
      <c r="W25" s="54">
        <f>R25+Answers!$C$20/100*W24</f>
        <v/>
      </c>
      <c r="X25" s="54">
        <f>State!$B$2*E25</f>
        <v/>
      </c>
      <c r="Y25" s="54">
        <f>-State!$B$3*F25</f>
        <v/>
      </c>
      <c r="Z25" s="54">
        <f>State!$B$4*G25</f>
        <v/>
      </c>
      <c r="AA25" s="54">
        <f>State!$B$5*(1-State!$B$6/100)*I25</f>
        <v/>
      </c>
      <c r="AB25" s="54">
        <f>State!$B$7*K25</f>
        <v/>
      </c>
      <c r="AE25" s="54">
        <f>State!$B$8*(1-Answers!$C$16/100)*S25</f>
        <v/>
      </c>
      <c r="AF25" s="54">
        <f>State!$B$9*(1-Answers!$C$17/100)*T25</f>
        <v/>
      </c>
      <c r="AG25" s="54">
        <f>State!$B$10*(1-Answers!$C$18/100)*U25</f>
        <v/>
      </c>
      <c r="AH25" s="54">
        <f>State!$B$11*(1-Answers!$C$19/100)*V25</f>
        <v/>
      </c>
      <c r="AI25" s="54">
        <f>State!$B$12*(1-Answers!$C$20/100)*W25</f>
        <v/>
      </c>
      <c r="AJ25" s="54">
        <f>X25</f>
        <v/>
      </c>
      <c r="AK25" s="54">
        <f>X25+Y25</f>
        <v/>
      </c>
      <c r="AL25" s="54">
        <f>AK25+Z25</f>
        <v/>
      </c>
      <c r="AM25" s="54">
        <f>AL25+AA25</f>
        <v/>
      </c>
      <c r="AN25" s="54">
        <f>AM25+AB25</f>
        <v/>
      </c>
      <c r="AO25" s="54">
        <f>AL25+AE25+AF25+AG25+AH25+AI25+AB25</f>
        <v/>
      </c>
      <c r="AP25" s="54">
        <f>IF(State!$B$46=1,AO25,AN25)</f>
        <v/>
      </c>
      <c r="AQ25" s="54" t="n">
        <v>823.8</v>
      </c>
      <c r="AR25" s="54" t="n">
        <v>-931</v>
      </c>
      <c r="AS25" s="54" t="n">
        <v>0</v>
      </c>
      <c r="AT25" s="54" t="n">
        <v>4647.2</v>
      </c>
      <c r="AU25" s="54" t="n">
        <v>268.6</v>
      </c>
      <c r="AX25" s="54" t="n">
        <v>1420.5</v>
      </c>
      <c r="AY25" s="54" t="n">
        <v>734.7</v>
      </c>
      <c r="AZ25" s="54" t="n">
        <v>475.4</v>
      </c>
      <c r="BA25" s="54" t="n">
        <v>80.59999999999999</v>
      </c>
      <c r="BB25" s="54" t="n">
        <v>1936</v>
      </c>
      <c r="BC25" s="54">
        <f>AQ25+AR25+AS25+AT25+AU25</f>
        <v/>
      </c>
      <c r="BD25" s="54">
        <f>AQ25</f>
        <v/>
      </c>
      <c r="BE25" s="54">
        <f>AQ25+AR25</f>
        <v/>
      </c>
      <c r="BF25" s="54">
        <f>BE25+AS25</f>
        <v/>
      </c>
      <c r="BG25" s="54">
        <f>BF25+AT25</f>
        <v/>
      </c>
      <c r="BH25" s="54">
        <f>BG25+AU25</f>
        <v/>
      </c>
      <c r="BI25" s="54">
        <f>BC25</f>
        <v/>
      </c>
      <c r="BJ25" s="54">
        <f>IF(State!$B$14=1,CHOOSE(State!$B$43+1,D25,BD25,BE25,BF25,BG25,BH25,BI25),BK25)</f>
        <v/>
      </c>
      <c r="BK25" s="54">
        <f>CHOOSE(State!$B$43+1,D25,AJ25,AK25,AL25,AM25,AN25,AO25)</f>
        <v/>
      </c>
      <c r="BL25" s="54">
        <f>IF(State!$B$44=1,H25,0)</f>
        <v/>
      </c>
      <c r="BQ25" s="54">
        <f>D25-AP25</f>
        <v/>
      </c>
      <c r="BR25" s="54">
        <f>BQ25^2</f>
        <v/>
      </c>
      <c r="BS25" s="54">
        <f>(BQ25-BQ24)^2</f>
        <v/>
      </c>
      <c r="BT25" s="54">
        <f>IF(D25&gt;2000,ABS(BQ25)/D25,"")</f>
        <v/>
      </c>
      <c r="BU25" s="54" t="n">
        <v>139</v>
      </c>
      <c r="BV25" s="74" t="n">
        <v>0.5131</v>
      </c>
      <c r="BW25" s="54" t="n">
        <v>301.9</v>
      </c>
    </row>
    <row r="26">
      <c r="A26" s="73" t="n">
        <v>45074</v>
      </c>
      <c r="B26" s="53">
        <f>YEAR(A26)</f>
        <v/>
      </c>
      <c r="C26" s="53">
        <f>MONTH(A26)</f>
        <v/>
      </c>
      <c r="D26" s="54" t="n">
        <v>6539</v>
      </c>
      <c r="E26" s="55" t="n">
        <v>1.085</v>
      </c>
      <c r="F26" s="55" t="n">
        <v>1.0426</v>
      </c>
      <c r="G26" s="55" t="n">
        <v>0</v>
      </c>
      <c r="H26" s="54" t="n">
        <v>163.55</v>
      </c>
      <c r="I26" s="54">
        <f>H26+State!$B$6/100*I25</f>
        <v/>
      </c>
      <c r="J26" s="54" t="n">
        <v>47.17</v>
      </c>
      <c r="K26" s="54" t="n">
        <v>62.22</v>
      </c>
      <c r="N26" s="54" t="n">
        <v>27.37</v>
      </c>
      <c r="O26" s="54" t="n">
        <v>0</v>
      </c>
      <c r="P26" s="54" t="n">
        <v>44.47</v>
      </c>
      <c r="Q26" s="54" t="n">
        <v>1.82</v>
      </c>
      <c r="R26" s="54" t="n">
        <v>83.34999999999999</v>
      </c>
      <c r="S26" s="54">
        <f>N26+Answers!$C$16/100*S25</f>
        <v/>
      </c>
      <c r="T26" s="54">
        <f>O26+Answers!$C$17/100*T25</f>
        <v/>
      </c>
      <c r="U26" s="54">
        <f>P26+Answers!$C$18/100*U25</f>
        <v/>
      </c>
      <c r="V26" s="54">
        <f>Q26+Answers!$C$19/100*V25</f>
        <v/>
      </c>
      <c r="W26" s="54">
        <f>R26+Answers!$C$20/100*W25</f>
        <v/>
      </c>
      <c r="X26" s="54">
        <f>State!$B$2*E26</f>
        <v/>
      </c>
      <c r="Y26" s="54">
        <f>-State!$B$3*F26</f>
        <v/>
      </c>
      <c r="Z26" s="54">
        <f>State!$B$4*G26</f>
        <v/>
      </c>
      <c r="AA26" s="54">
        <f>State!$B$5*(1-State!$B$6/100)*I26</f>
        <v/>
      </c>
      <c r="AB26" s="54">
        <f>State!$B$7*K26</f>
        <v/>
      </c>
      <c r="AE26" s="54">
        <f>State!$B$8*(1-Answers!$C$16/100)*S26</f>
        <v/>
      </c>
      <c r="AF26" s="54">
        <f>State!$B$9*(1-Answers!$C$17/100)*T26</f>
        <v/>
      </c>
      <c r="AG26" s="54">
        <f>State!$B$10*(1-Answers!$C$18/100)*U26</f>
        <v/>
      </c>
      <c r="AH26" s="54">
        <f>State!$B$11*(1-Answers!$C$19/100)*V26</f>
        <v/>
      </c>
      <c r="AI26" s="54">
        <f>State!$B$12*(1-Answers!$C$20/100)*W26</f>
        <v/>
      </c>
      <c r="AJ26" s="54">
        <f>X26</f>
        <v/>
      </c>
      <c r="AK26" s="54">
        <f>X26+Y26</f>
        <v/>
      </c>
      <c r="AL26" s="54">
        <f>AK26+Z26</f>
        <v/>
      </c>
      <c r="AM26" s="54">
        <f>AL26+AA26</f>
        <v/>
      </c>
      <c r="AN26" s="54">
        <f>AM26+AB26</f>
        <v/>
      </c>
      <c r="AO26" s="54">
        <f>AL26+AE26+AF26+AG26+AH26+AI26+AB26</f>
        <v/>
      </c>
      <c r="AP26" s="54">
        <f>IF(State!$B$46=1,AO26,AN26)</f>
        <v/>
      </c>
      <c r="AQ26" s="54" t="n">
        <v>950</v>
      </c>
      <c r="AR26" s="54" t="n">
        <v>-993</v>
      </c>
      <c r="AS26" s="54" t="n">
        <v>0</v>
      </c>
      <c r="AT26" s="54" t="n">
        <v>4390.8</v>
      </c>
      <c r="AU26" s="54" t="n">
        <v>221.9</v>
      </c>
      <c r="AX26" s="54" t="n">
        <v>1278.5</v>
      </c>
      <c r="AY26" s="54" t="n">
        <v>624.5</v>
      </c>
      <c r="AZ26" s="54" t="n">
        <v>520.7</v>
      </c>
      <c r="BA26" s="54" t="n">
        <v>70.8</v>
      </c>
      <c r="BB26" s="54" t="n">
        <v>1896.3</v>
      </c>
      <c r="BC26" s="54">
        <f>AQ26+AR26+AS26+AT26+AU26</f>
        <v/>
      </c>
      <c r="BD26" s="54">
        <f>AQ26</f>
        <v/>
      </c>
      <c r="BE26" s="54">
        <f>AQ26+AR26</f>
        <v/>
      </c>
      <c r="BF26" s="54">
        <f>BE26+AS26</f>
        <v/>
      </c>
      <c r="BG26" s="54">
        <f>BF26+AT26</f>
        <v/>
      </c>
      <c r="BH26" s="54">
        <f>BG26+AU26</f>
        <v/>
      </c>
      <c r="BI26" s="54">
        <f>BC26</f>
        <v/>
      </c>
      <c r="BJ26" s="54">
        <f>IF(State!$B$14=1,CHOOSE(State!$B$43+1,D26,BD26,BE26,BF26,BG26,BH26,BI26),BK26)</f>
        <v/>
      </c>
      <c r="BK26" s="54">
        <f>CHOOSE(State!$B$43+1,D26,AJ26,AK26,AL26,AM26,AN26,AO26)</f>
        <v/>
      </c>
      <c r="BL26" s="54">
        <f>IF(State!$B$44=1,H26,0)</f>
        <v/>
      </c>
      <c r="BQ26" s="54">
        <f>D26-AP26</f>
        <v/>
      </c>
      <c r="BR26" s="54">
        <f>BQ26^2</f>
        <v/>
      </c>
      <c r="BS26" s="54">
        <f>(BQ26-BQ25)^2</f>
        <v/>
      </c>
      <c r="BT26" s="54">
        <f>IF(D26&gt;2000,ABS(BQ26)/D26,"")</f>
        <v/>
      </c>
      <c r="BU26" s="54" t="n">
        <v>136</v>
      </c>
      <c r="BV26" s="74" t="n">
        <v>0.5201</v>
      </c>
      <c r="BW26" s="54" t="n">
        <v>307.1</v>
      </c>
    </row>
    <row r="27">
      <c r="A27" s="73" t="n">
        <v>45081</v>
      </c>
      <c r="B27" s="53">
        <f>YEAR(A27)</f>
        <v/>
      </c>
      <c r="C27" s="53">
        <f>MONTH(A27)</f>
        <v/>
      </c>
      <c r="D27" s="54" t="n">
        <v>6488</v>
      </c>
      <c r="E27" s="55" t="n">
        <v>1.0715</v>
      </c>
      <c r="F27" s="55" t="n">
        <v>1.3227</v>
      </c>
      <c r="G27" s="55" t="n">
        <v>0</v>
      </c>
      <c r="H27" s="54" t="n">
        <v>114.94</v>
      </c>
      <c r="I27" s="54">
        <f>H27+State!$B$6/100*I26</f>
        <v/>
      </c>
      <c r="J27" s="54" t="n">
        <v>105.2</v>
      </c>
      <c r="K27" s="54" t="n">
        <v>140.06</v>
      </c>
      <c r="N27" s="54" t="n">
        <v>20.58</v>
      </c>
      <c r="O27" s="54" t="n">
        <v>0</v>
      </c>
      <c r="P27" s="54" t="n">
        <v>0</v>
      </c>
      <c r="Q27" s="54" t="n">
        <v>0.86</v>
      </c>
      <c r="R27" s="54" t="n">
        <v>87.01000000000001</v>
      </c>
      <c r="S27" s="54">
        <f>N27+Answers!$C$16/100*S26</f>
        <v/>
      </c>
      <c r="T27" s="54">
        <f>O27+Answers!$C$17/100*T26</f>
        <v/>
      </c>
      <c r="U27" s="54">
        <f>P27+Answers!$C$18/100*U26</f>
        <v/>
      </c>
      <c r="V27" s="54">
        <f>Q27+Answers!$C$19/100*V26</f>
        <v/>
      </c>
      <c r="W27" s="54">
        <f>R27+Answers!$C$20/100*W26</f>
        <v/>
      </c>
      <c r="X27" s="54">
        <f>State!$B$2*E27</f>
        <v/>
      </c>
      <c r="Y27" s="54">
        <f>-State!$B$3*F27</f>
        <v/>
      </c>
      <c r="Z27" s="54">
        <f>State!$B$4*G27</f>
        <v/>
      </c>
      <c r="AA27" s="54">
        <f>State!$B$5*(1-State!$B$6/100)*I27</f>
        <v/>
      </c>
      <c r="AB27" s="54">
        <f>State!$B$7*K27</f>
        <v/>
      </c>
      <c r="AE27" s="54">
        <f>State!$B$8*(1-Answers!$C$16/100)*S27</f>
        <v/>
      </c>
      <c r="AF27" s="54">
        <f>State!$B$9*(1-Answers!$C$17/100)*T27</f>
        <v/>
      </c>
      <c r="AG27" s="54">
        <f>State!$B$10*(1-Answers!$C$18/100)*U27</f>
        <v/>
      </c>
      <c r="AH27" s="54">
        <f>State!$B$11*(1-Answers!$C$19/100)*V27</f>
        <v/>
      </c>
      <c r="AI27" s="54">
        <f>State!$B$12*(1-Answers!$C$20/100)*W27</f>
        <v/>
      </c>
      <c r="AJ27" s="54">
        <f>X27</f>
        <v/>
      </c>
      <c r="AK27" s="54">
        <f>X27+Y27</f>
        <v/>
      </c>
      <c r="AL27" s="54">
        <f>AK27+Z27</f>
        <v/>
      </c>
      <c r="AM27" s="54">
        <f>AL27+AA27</f>
        <v/>
      </c>
      <c r="AN27" s="54">
        <f>AM27+AB27</f>
        <v/>
      </c>
      <c r="AO27" s="54">
        <f>AL27+AE27+AF27+AG27+AH27+AI27+AB27</f>
        <v/>
      </c>
      <c r="AP27" s="54">
        <f>IF(State!$B$46=1,AO27,AN27)</f>
        <v/>
      </c>
      <c r="AQ27" s="54" t="n">
        <v>938.2</v>
      </c>
      <c r="AR27" s="54" t="n">
        <v>-1259.7</v>
      </c>
      <c r="AS27" s="54" t="n">
        <v>0</v>
      </c>
      <c r="AT27" s="54" t="n">
        <v>4012.5</v>
      </c>
      <c r="AU27" s="54" t="n">
        <v>521.3</v>
      </c>
      <c r="AX27" s="54" t="n">
        <v>1140.1</v>
      </c>
      <c r="AY27" s="54" t="n">
        <v>530.8</v>
      </c>
      <c r="AZ27" s="54" t="n">
        <v>442.6</v>
      </c>
      <c r="BA27" s="54" t="n">
        <v>61.3</v>
      </c>
      <c r="BB27" s="54" t="n">
        <v>1837.7</v>
      </c>
      <c r="BC27" s="54">
        <f>AQ27+AR27+AS27+AT27+AU27</f>
        <v/>
      </c>
      <c r="BD27" s="54">
        <f>AQ27</f>
        <v/>
      </c>
      <c r="BE27" s="54">
        <f>AQ27+AR27</f>
        <v/>
      </c>
      <c r="BF27" s="54">
        <f>BE27+AS27</f>
        <v/>
      </c>
      <c r="BG27" s="54">
        <f>BF27+AT27</f>
        <v/>
      </c>
      <c r="BH27" s="54">
        <f>BG27+AU27</f>
        <v/>
      </c>
      <c r="BI27" s="54">
        <f>BC27</f>
        <v/>
      </c>
      <c r="BJ27" s="54">
        <f>IF(State!$B$14=1,CHOOSE(State!$B$43+1,D27,BD27,BE27,BF27,BG27,BH27,BI27),BK27)</f>
        <v/>
      </c>
      <c r="BK27" s="54">
        <f>CHOOSE(State!$B$43+1,D27,AJ27,AK27,AL27,AM27,AN27,AO27)</f>
        <v/>
      </c>
      <c r="BL27" s="54">
        <f>IF(State!$B$44=1,H27,0)</f>
        <v/>
      </c>
      <c r="BQ27" s="54">
        <f>D27-AP27</f>
        <v/>
      </c>
      <c r="BR27" s="54">
        <f>BQ27^2</f>
        <v/>
      </c>
      <c r="BS27" s="54">
        <f>(BQ27-BQ26)^2</f>
        <v/>
      </c>
      <c r="BT27" s="54">
        <f>IF(D27&gt;2000,ABS(BQ27)/D27,"")</f>
        <v/>
      </c>
      <c r="BU27" s="54" t="n">
        <v>147</v>
      </c>
      <c r="BV27" s="74" t="n">
        <v>0.5254</v>
      </c>
      <c r="BW27" s="54" t="n">
        <v>299.3</v>
      </c>
    </row>
    <row r="28">
      <c r="A28" s="73" t="n">
        <v>45088</v>
      </c>
      <c r="B28" s="53">
        <f>YEAR(A28)</f>
        <v/>
      </c>
      <c r="C28" s="53">
        <f>MONTH(A28)</f>
        <v/>
      </c>
      <c r="D28" s="54" t="n">
        <v>6624</v>
      </c>
      <c r="E28" s="55" t="n">
        <v>1.0647</v>
      </c>
      <c r="F28" s="55" t="n">
        <v>1.1634</v>
      </c>
      <c r="G28" s="55" t="n">
        <v>0</v>
      </c>
      <c r="H28" s="54" t="n">
        <v>189.79</v>
      </c>
      <c r="I28" s="54">
        <f>H28+State!$B$6/100*I27</f>
        <v/>
      </c>
      <c r="J28" s="54" t="n">
        <v>498.11</v>
      </c>
      <c r="K28" s="54" t="n">
        <v>532.22</v>
      </c>
      <c r="N28" s="54" t="n">
        <v>36.58</v>
      </c>
      <c r="O28" s="54" t="n">
        <v>0</v>
      </c>
      <c r="P28" s="54" t="n">
        <v>49.64</v>
      </c>
      <c r="Q28" s="54" t="n">
        <v>0</v>
      </c>
      <c r="R28" s="54" t="n">
        <v>96.95</v>
      </c>
      <c r="S28" s="54">
        <f>N28+Answers!$C$16/100*S27</f>
        <v/>
      </c>
      <c r="T28" s="54">
        <f>O28+Answers!$C$17/100*T27</f>
        <v/>
      </c>
      <c r="U28" s="54">
        <f>P28+Answers!$C$18/100*U27</f>
        <v/>
      </c>
      <c r="V28" s="54">
        <f>Q28+Answers!$C$19/100*V27</f>
        <v/>
      </c>
      <c r="W28" s="54">
        <f>R28+Answers!$C$20/100*W27</f>
        <v/>
      </c>
      <c r="X28" s="54">
        <f>State!$B$2*E28</f>
        <v/>
      </c>
      <c r="Y28" s="54">
        <f>-State!$B$3*F28</f>
        <v/>
      </c>
      <c r="Z28" s="54">
        <f>State!$B$4*G28</f>
        <v/>
      </c>
      <c r="AA28" s="54">
        <f>State!$B$5*(1-State!$B$6/100)*I28</f>
        <v/>
      </c>
      <c r="AB28" s="54">
        <f>State!$B$7*K28</f>
        <v/>
      </c>
      <c r="AE28" s="54">
        <f>State!$B$8*(1-Answers!$C$16/100)*S28</f>
        <v/>
      </c>
      <c r="AF28" s="54">
        <f>State!$B$9*(1-Answers!$C$17/100)*T28</f>
        <v/>
      </c>
      <c r="AG28" s="54">
        <f>State!$B$10*(1-Answers!$C$18/100)*U28</f>
        <v/>
      </c>
      <c r="AH28" s="54">
        <f>State!$B$11*(1-Answers!$C$19/100)*V28</f>
        <v/>
      </c>
      <c r="AI28" s="54">
        <f>State!$B$12*(1-Answers!$C$20/100)*W28</f>
        <v/>
      </c>
      <c r="AJ28" s="54">
        <f>X28</f>
        <v/>
      </c>
      <c r="AK28" s="54">
        <f>X28+Y28</f>
        <v/>
      </c>
      <c r="AL28" s="54">
        <f>AK28+Z28</f>
        <v/>
      </c>
      <c r="AM28" s="54">
        <f>AL28+AA28</f>
        <v/>
      </c>
      <c r="AN28" s="54">
        <f>AM28+AB28</f>
        <v/>
      </c>
      <c r="AO28" s="54">
        <f>AL28+AE28+AF28+AG28+AH28+AI28+AB28</f>
        <v/>
      </c>
      <c r="AP28" s="54">
        <f>IF(State!$B$46=1,AO28,AN28)</f>
        <v/>
      </c>
      <c r="AQ28" s="54" t="n">
        <v>932.3</v>
      </c>
      <c r="AR28" s="54" t="n">
        <v>-1108</v>
      </c>
      <c r="AS28" s="54" t="n">
        <v>0</v>
      </c>
      <c r="AT28" s="54" t="n">
        <v>3881.4</v>
      </c>
      <c r="AU28" s="54" t="n">
        <v>2057.8</v>
      </c>
      <c r="AX28" s="54" t="n">
        <v>1064</v>
      </c>
      <c r="AY28" s="54" t="n">
        <v>451.2</v>
      </c>
      <c r="AZ28" s="54" t="n">
        <v>506.4</v>
      </c>
      <c r="BA28" s="54" t="n">
        <v>52.1</v>
      </c>
      <c r="BB28" s="54" t="n">
        <v>1807.8</v>
      </c>
      <c r="BC28" s="54">
        <f>AQ28+AR28+AS28+AT28+AU28</f>
        <v/>
      </c>
      <c r="BD28" s="54">
        <f>AQ28</f>
        <v/>
      </c>
      <c r="BE28" s="54">
        <f>AQ28+AR28</f>
        <v/>
      </c>
      <c r="BF28" s="54">
        <f>BE28+AS28</f>
        <v/>
      </c>
      <c r="BG28" s="54">
        <f>BF28+AT28</f>
        <v/>
      </c>
      <c r="BH28" s="54">
        <f>BG28+AU28</f>
        <v/>
      </c>
      <c r="BI28" s="54">
        <f>BC28</f>
        <v/>
      </c>
      <c r="BJ28" s="54">
        <f>IF(State!$B$14=1,CHOOSE(State!$B$43+1,D28,BD28,BE28,BF28,BG28,BH28,BI28),BK28)</f>
        <v/>
      </c>
      <c r="BK28" s="54">
        <f>CHOOSE(State!$B$43+1,D28,AJ28,AK28,AL28,AM28,AN28,AO28)</f>
        <v/>
      </c>
      <c r="BL28" s="54">
        <f>IF(State!$B$44=1,H28,0)</f>
        <v/>
      </c>
      <c r="BQ28" s="54">
        <f>D28-AP28</f>
        <v/>
      </c>
      <c r="BR28" s="54">
        <f>BQ28^2</f>
        <v/>
      </c>
      <c r="BS28" s="54">
        <f>(BQ28-BQ27)^2</f>
        <v/>
      </c>
      <c r="BT28" s="54">
        <f>IF(D28&gt;2000,ABS(BQ28)/D28,"")</f>
        <v/>
      </c>
      <c r="BU28" s="54" t="n">
        <v>280</v>
      </c>
      <c r="BV28" s="74" t="n">
        <v>0.5254</v>
      </c>
      <c r="BW28" s="54" t="n">
        <v>813.1</v>
      </c>
    </row>
    <row r="29">
      <c r="A29" s="73" t="n">
        <v>45095</v>
      </c>
      <c r="B29" s="53">
        <f>YEAR(A29)</f>
        <v/>
      </c>
      <c r="C29" s="53">
        <f>MONTH(A29)</f>
        <v/>
      </c>
      <c r="D29" s="54" t="n">
        <v>4950</v>
      </c>
      <c r="E29" s="55" t="n">
        <v>1.0696</v>
      </c>
      <c r="F29" s="55" t="n">
        <v>1.0961</v>
      </c>
      <c r="G29" s="55" t="n">
        <v>0</v>
      </c>
      <c r="H29" s="54" t="n">
        <v>204.96</v>
      </c>
      <c r="I29" s="54">
        <f>H29+State!$B$6/100*I28</f>
        <v/>
      </c>
      <c r="J29" s="54" t="n">
        <v>81.34999999999999</v>
      </c>
      <c r="K29" s="54" t="n">
        <v>105.86</v>
      </c>
      <c r="N29" s="54" t="n">
        <v>42.85</v>
      </c>
      <c r="O29" s="54" t="n">
        <v>0</v>
      </c>
      <c r="P29" s="54" t="n">
        <v>38.45</v>
      </c>
      <c r="Q29" s="54" t="n">
        <v>18.96</v>
      </c>
      <c r="R29" s="54" t="n">
        <v>99.76000000000001</v>
      </c>
      <c r="S29" s="54">
        <f>N29+Answers!$C$16/100*S28</f>
        <v/>
      </c>
      <c r="T29" s="54">
        <f>O29+Answers!$C$17/100*T28</f>
        <v/>
      </c>
      <c r="U29" s="54">
        <f>P29+Answers!$C$18/100*U28</f>
        <v/>
      </c>
      <c r="V29" s="54">
        <f>Q29+Answers!$C$19/100*V28</f>
        <v/>
      </c>
      <c r="W29" s="54">
        <f>R29+Answers!$C$20/100*W28</f>
        <v/>
      </c>
      <c r="X29" s="54">
        <f>State!$B$2*E29</f>
        <v/>
      </c>
      <c r="Y29" s="54">
        <f>-State!$B$3*F29</f>
        <v/>
      </c>
      <c r="Z29" s="54">
        <f>State!$B$4*G29</f>
        <v/>
      </c>
      <c r="AA29" s="54">
        <f>State!$B$5*(1-State!$B$6/100)*I29</f>
        <v/>
      </c>
      <c r="AB29" s="54">
        <f>State!$B$7*K29</f>
        <v/>
      </c>
      <c r="AE29" s="54">
        <f>State!$B$8*(1-Answers!$C$16/100)*S29</f>
        <v/>
      </c>
      <c r="AF29" s="54">
        <f>State!$B$9*(1-Answers!$C$17/100)*T29</f>
        <v/>
      </c>
      <c r="AG29" s="54">
        <f>State!$B$10*(1-Answers!$C$18/100)*U29</f>
        <v/>
      </c>
      <c r="AH29" s="54">
        <f>State!$B$11*(1-Answers!$C$19/100)*V29</f>
        <v/>
      </c>
      <c r="AI29" s="54">
        <f>State!$B$12*(1-Answers!$C$20/100)*W29</f>
        <v/>
      </c>
      <c r="AJ29" s="54">
        <f>X29</f>
        <v/>
      </c>
      <c r="AK29" s="54">
        <f>X29+Y29</f>
        <v/>
      </c>
      <c r="AL29" s="54">
        <f>AK29+Z29</f>
        <v/>
      </c>
      <c r="AM29" s="54">
        <f>AL29+AA29</f>
        <v/>
      </c>
      <c r="AN29" s="54">
        <f>AM29+AB29</f>
        <v/>
      </c>
      <c r="AO29" s="54">
        <f>AL29+AE29+AF29+AG29+AH29+AI29+AB29</f>
        <v/>
      </c>
      <c r="AP29" s="54">
        <f>IF(State!$B$46=1,AO29,AN29)</f>
        <v/>
      </c>
      <c r="AQ29" s="54" t="n">
        <v>936.5</v>
      </c>
      <c r="AR29" s="54" t="n">
        <v>-1044</v>
      </c>
      <c r="AS29" s="54" t="n">
        <v>0</v>
      </c>
      <c r="AT29" s="54" t="n">
        <v>3786</v>
      </c>
      <c r="AU29" s="54" t="n">
        <v>390.8</v>
      </c>
      <c r="AX29" s="54" t="n">
        <v>1015.5</v>
      </c>
      <c r="AY29" s="54" t="n">
        <v>383.5</v>
      </c>
      <c r="AZ29" s="54" t="n">
        <v>531.3</v>
      </c>
      <c r="BA29" s="54" t="n">
        <v>68.2</v>
      </c>
      <c r="BB29" s="54" t="n">
        <v>1787.4</v>
      </c>
      <c r="BC29" s="54">
        <f>AQ29+AR29+AS29+AT29+AU29</f>
        <v/>
      </c>
      <c r="BD29" s="54">
        <f>AQ29</f>
        <v/>
      </c>
      <c r="BE29" s="54">
        <f>AQ29+AR29</f>
        <v/>
      </c>
      <c r="BF29" s="54">
        <f>BE29+AS29</f>
        <v/>
      </c>
      <c r="BG29" s="54">
        <f>BF29+AT29</f>
        <v/>
      </c>
      <c r="BH29" s="54">
        <f>BG29+AU29</f>
        <v/>
      </c>
      <c r="BI29" s="54">
        <f>BC29</f>
        <v/>
      </c>
      <c r="BJ29" s="54">
        <f>IF(State!$B$14=1,CHOOSE(State!$B$43+1,D29,BD29,BE29,BF29,BG29,BH29,BI29),BK29)</f>
        <v/>
      </c>
      <c r="BK29" s="54">
        <f>CHOOSE(State!$B$43+1,D29,AJ29,AK29,AL29,AM29,AN29,AO29)</f>
        <v/>
      </c>
      <c r="BL29" s="54">
        <f>IF(State!$B$44=1,H29,0)</f>
        <v/>
      </c>
      <c r="BQ29" s="54">
        <f>D29-AP29</f>
        <v/>
      </c>
      <c r="BR29" s="54">
        <f>BQ29^2</f>
        <v/>
      </c>
      <c r="BS29" s="54">
        <f>(BQ29-BQ28)^2</f>
        <v/>
      </c>
      <c r="BT29" s="54">
        <f>IF(D29&gt;2000,ABS(BQ29)/D29,"")</f>
        <v/>
      </c>
      <c r="BU29" s="54" t="n">
        <v>166</v>
      </c>
      <c r="BV29" s="74" t="n">
        <v>0.5254</v>
      </c>
      <c r="BW29" s="54" t="n">
        <v>421.4</v>
      </c>
    </row>
    <row r="30">
      <c r="A30" s="73" t="n">
        <v>45102</v>
      </c>
      <c r="B30" s="53">
        <f>YEAR(A30)</f>
        <v/>
      </c>
      <c r="C30" s="53">
        <f>MONTH(A30)</f>
        <v/>
      </c>
      <c r="D30" s="54" t="n">
        <v>4778</v>
      </c>
      <c r="E30" s="55" t="n">
        <v>1.167</v>
      </c>
      <c r="F30" s="55" t="n">
        <v>0.9978</v>
      </c>
      <c r="G30" s="55" t="n">
        <v>0</v>
      </c>
      <c r="H30" s="54" t="n">
        <v>120.52</v>
      </c>
      <c r="I30" s="54">
        <f>H30+State!$B$6/100*I29</f>
        <v/>
      </c>
      <c r="J30" s="54" t="n">
        <v>300.79</v>
      </c>
      <c r="K30" s="54" t="n">
        <v>334.98</v>
      </c>
      <c r="N30" s="54" t="n">
        <v>0</v>
      </c>
      <c r="O30" s="54" t="n">
        <v>0</v>
      </c>
      <c r="P30" s="54" t="n">
        <v>0</v>
      </c>
      <c r="Q30" s="54" t="n">
        <v>22.07</v>
      </c>
      <c r="R30" s="54" t="n">
        <v>93.66</v>
      </c>
      <c r="S30" s="54">
        <f>N30+Answers!$C$16/100*S29</f>
        <v/>
      </c>
      <c r="T30" s="54">
        <f>O30+Answers!$C$17/100*T29</f>
        <v/>
      </c>
      <c r="U30" s="54">
        <f>P30+Answers!$C$18/100*U29</f>
        <v/>
      </c>
      <c r="V30" s="54">
        <f>Q30+Answers!$C$19/100*V29</f>
        <v/>
      </c>
      <c r="W30" s="54">
        <f>R30+Answers!$C$20/100*W29</f>
        <v/>
      </c>
      <c r="X30" s="54">
        <f>State!$B$2*E30</f>
        <v/>
      </c>
      <c r="Y30" s="54">
        <f>-State!$B$3*F30</f>
        <v/>
      </c>
      <c r="Z30" s="54">
        <f>State!$B$4*G30</f>
        <v/>
      </c>
      <c r="AA30" s="54">
        <f>State!$B$5*(1-State!$B$6/100)*I30</f>
        <v/>
      </c>
      <c r="AB30" s="54">
        <f>State!$B$7*K30</f>
        <v/>
      </c>
      <c r="AE30" s="54">
        <f>State!$B$8*(1-Answers!$C$16/100)*S30</f>
        <v/>
      </c>
      <c r="AF30" s="54">
        <f>State!$B$9*(1-Answers!$C$17/100)*T30</f>
        <v/>
      </c>
      <c r="AG30" s="54">
        <f>State!$B$10*(1-Answers!$C$18/100)*U30</f>
        <v/>
      </c>
      <c r="AH30" s="54">
        <f>State!$B$11*(1-Answers!$C$19/100)*V30</f>
        <v/>
      </c>
      <c r="AI30" s="54">
        <f>State!$B$12*(1-Answers!$C$20/100)*W30</f>
        <v/>
      </c>
      <c r="AJ30" s="54">
        <f>X30</f>
        <v/>
      </c>
      <c r="AK30" s="54">
        <f>X30+Y30</f>
        <v/>
      </c>
      <c r="AL30" s="54">
        <f>AK30+Z30</f>
        <v/>
      </c>
      <c r="AM30" s="54">
        <f>AL30+AA30</f>
        <v/>
      </c>
      <c r="AN30" s="54">
        <f>AM30+AB30</f>
        <v/>
      </c>
      <c r="AO30" s="54">
        <f>AL30+AE30+AF30+AG30+AH30+AI30+AB30</f>
        <v/>
      </c>
      <c r="AP30" s="54">
        <f>IF(State!$B$46=1,AO30,AN30)</f>
        <v/>
      </c>
      <c r="AQ30" s="54" t="n">
        <v>1021.8</v>
      </c>
      <c r="AR30" s="54" t="n">
        <v>-950.3</v>
      </c>
      <c r="AS30" s="54" t="n">
        <v>0</v>
      </c>
      <c r="AT30" s="54" t="n">
        <v>3483.7</v>
      </c>
      <c r="AU30" s="54" t="n">
        <v>1286</v>
      </c>
      <c r="AX30" s="54" t="n">
        <v>863.2</v>
      </c>
      <c r="AY30" s="54" t="n">
        <v>326</v>
      </c>
      <c r="AZ30" s="54" t="n">
        <v>451.6</v>
      </c>
      <c r="BA30" s="54" t="n">
        <v>85.90000000000001</v>
      </c>
      <c r="BB30" s="54" t="n">
        <v>1757.1</v>
      </c>
      <c r="BC30" s="54">
        <f>AQ30+AR30+AS30+AT30+AU30</f>
        <v/>
      </c>
      <c r="BD30" s="54">
        <f>AQ30</f>
        <v/>
      </c>
      <c r="BE30" s="54">
        <f>AQ30+AR30</f>
        <v/>
      </c>
      <c r="BF30" s="54">
        <f>BE30+AS30</f>
        <v/>
      </c>
      <c r="BG30" s="54">
        <f>BF30+AT30</f>
        <v/>
      </c>
      <c r="BH30" s="54">
        <f>BG30+AU30</f>
        <v/>
      </c>
      <c r="BI30" s="54">
        <f>BC30</f>
        <v/>
      </c>
      <c r="BJ30" s="54">
        <f>IF(State!$B$14=1,CHOOSE(State!$B$43+1,D30,BD30,BE30,BF30,BG30,BH30,BI30),BK30)</f>
        <v/>
      </c>
      <c r="BK30" s="54">
        <f>CHOOSE(State!$B$43+1,D30,AJ30,AK30,AL30,AM30,AN30,AO30)</f>
        <v/>
      </c>
      <c r="BL30" s="54">
        <f>IF(State!$B$44=1,H30,0)</f>
        <v/>
      </c>
      <c r="BQ30" s="54">
        <f>D30-AP30</f>
        <v/>
      </c>
      <c r="BR30" s="54">
        <f>BQ30^2</f>
        <v/>
      </c>
      <c r="BS30" s="54">
        <f>(BQ30-BQ29)^2</f>
        <v/>
      </c>
      <c r="BT30" s="54">
        <f>IF(D30&gt;2000,ABS(BQ30)/D30,"")</f>
        <v/>
      </c>
      <c r="BU30" s="54" t="n">
        <v>352</v>
      </c>
      <c r="BV30" s="74" t="n">
        <v>0.517</v>
      </c>
      <c r="BW30" s="54" t="n">
        <v>564.7</v>
      </c>
    </row>
    <row r="31">
      <c r="A31" s="73" t="n">
        <v>45109</v>
      </c>
      <c r="B31" s="53">
        <f>YEAR(A31)</f>
        <v/>
      </c>
      <c r="C31" s="53">
        <f>MONTH(A31)</f>
        <v/>
      </c>
      <c r="D31" s="54" t="n">
        <v>4637</v>
      </c>
      <c r="E31" s="55" t="n">
        <v>1.093</v>
      </c>
      <c r="F31" s="55" t="n">
        <v>0.9835</v>
      </c>
      <c r="G31" s="55" t="n">
        <v>0</v>
      </c>
      <c r="H31" s="54" t="n">
        <v>119.55</v>
      </c>
      <c r="I31" s="54">
        <f>H31+State!$B$6/100*I30</f>
        <v/>
      </c>
      <c r="J31" s="54" t="n">
        <v>138.38</v>
      </c>
      <c r="K31" s="54" t="n">
        <v>182.04</v>
      </c>
      <c r="N31" s="54" t="n">
        <v>0</v>
      </c>
      <c r="O31" s="54" t="n">
        <v>0</v>
      </c>
      <c r="P31" s="54" t="n">
        <v>33.24</v>
      </c>
      <c r="Q31" s="54" t="n">
        <v>0</v>
      </c>
      <c r="R31" s="54" t="n">
        <v>81.67</v>
      </c>
      <c r="S31" s="54">
        <f>N31+Answers!$C$16/100*S30</f>
        <v/>
      </c>
      <c r="T31" s="54">
        <f>O31+Answers!$C$17/100*T30</f>
        <v/>
      </c>
      <c r="U31" s="54">
        <f>P31+Answers!$C$18/100*U30</f>
        <v/>
      </c>
      <c r="V31" s="54">
        <f>Q31+Answers!$C$19/100*V30</f>
        <v/>
      </c>
      <c r="W31" s="54">
        <f>R31+Answers!$C$20/100*W30</f>
        <v/>
      </c>
      <c r="X31" s="54">
        <f>State!$B$2*E31</f>
        <v/>
      </c>
      <c r="Y31" s="54">
        <f>-State!$B$3*F31</f>
        <v/>
      </c>
      <c r="Z31" s="54">
        <f>State!$B$4*G31</f>
        <v/>
      </c>
      <c r="AA31" s="54">
        <f>State!$B$5*(1-State!$B$6/100)*I31</f>
        <v/>
      </c>
      <c r="AB31" s="54">
        <f>State!$B$7*K31</f>
        <v/>
      </c>
      <c r="AE31" s="54">
        <f>State!$B$8*(1-Answers!$C$16/100)*S31</f>
        <v/>
      </c>
      <c r="AF31" s="54">
        <f>State!$B$9*(1-Answers!$C$17/100)*T31</f>
        <v/>
      </c>
      <c r="AG31" s="54">
        <f>State!$B$10*(1-Answers!$C$18/100)*U31</f>
        <v/>
      </c>
      <c r="AH31" s="54">
        <f>State!$B$11*(1-Answers!$C$19/100)*V31</f>
        <v/>
      </c>
      <c r="AI31" s="54">
        <f>State!$B$12*(1-Answers!$C$20/100)*W31</f>
        <v/>
      </c>
      <c r="AJ31" s="54">
        <f>X31</f>
        <v/>
      </c>
      <c r="AK31" s="54">
        <f>X31+Y31</f>
        <v/>
      </c>
      <c r="AL31" s="54">
        <f>AK31+Z31</f>
        <v/>
      </c>
      <c r="AM31" s="54">
        <f>AL31+AA31</f>
        <v/>
      </c>
      <c r="AN31" s="54">
        <f>AM31+AB31</f>
        <v/>
      </c>
      <c r="AO31" s="54">
        <f>AL31+AE31+AF31+AG31+AH31+AI31+AB31</f>
        <v/>
      </c>
      <c r="AP31" s="54">
        <f>IF(State!$B$46=1,AO31,AN31)</f>
        <v/>
      </c>
      <c r="AQ31" s="54" t="n">
        <v>957</v>
      </c>
      <c r="AR31" s="54" t="n">
        <v>-936.7</v>
      </c>
      <c r="AS31" s="54" t="n">
        <v>0</v>
      </c>
      <c r="AT31" s="54" t="n">
        <v>3252.8</v>
      </c>
      <c r="AU31" s="54" t="n">
        <v>679.3</v>
      </c>
      <c r="AX31" s="54" t="n">
        <v>733.7</v>
      </c>
      <c r="AY31" s="54" t="n">
        <v>277.1</v>
      </c>
      <c r="AZ31" s="54" t="n">
        <v>471</v>
      </c>
      <c r="BA31" s="54" t="n">
        <v>73</v>
      </c>
      <c r="BB31" s="54" t="n">
        <v>1698</v>
      </c>
      <c r="BC31" s="54">
        <f>AQ31+AR31+AS31+AT31+AU31</f>
        <v/>
      </c>
      <c r="BD31" s="54">
        <f>AQ31</f>
        <v/>
      </c>
      <c r="BE31" s="54">
        <f>AQ31+AR31</f>
        <v/>
      </c>
      <c r="BF31" s="54">
        <f>BE31+AS31</f>
        <v/>
      </c>
      <c r="BG31" s="54">
        <f>BF31+AT31</f>
        <v/>
      </c>
      <c r="BH31" s="54">
        <f>BG31+AU31</f>
        <v/>
      </c>
      <c r="BI31" s="54">
        <f>BC31</f>
        <v/>
      </c>
      <c r="BJ31" s="54">
        <f>IF(State!$B$14=1,CHOOSE(State!$B$43+1,D31,BD31,BE31,BF31,BG31,BH31,BI31),BK31)</f>
        <v/>
      </c>
      <c r="BK31" s="54">
        <f>CHOOSE(State!$B$43+1,D31,AJ31,AK31,AL31,AM31,AN31,AO31)</f>
        <v/>
      </c>
      <c r="BL31" s="54">
        <f>IF(State!$B$44=1,H31,0)</f>
        <v/>
      </c>
      <c r="BQ31" s="54">
        <f>D31-AP31</f>
        <v/>
      </c>
      <c r="BR31" s="54">
        <f>BQ31^2</f>
        <v/>
      </c>
      <c r="BS31" s="54">
        <f>(BQ31-BQ30)^2</f>
        <v/>
      </c>
      <c r="BT31" s="54">
        <f>IF(D31&gt;2000,ABS(BQ31)/D31,"")</f>
        <v/>
      </c>
      <c r="BU31" s="54" t="n">
        <v>245</v>
      </c>
      <c r="BV31" s="74" t="n">
        <v>0.4961</v>
      </c>
      <c r="BW31" s="54" t="n">
        <v>362.2</v>
      </c>
    </row>
    <row r="32">
      <c r="A32" s="73" t="n">
        <v>45116</v>
      </c>
      <c r="B32" s="53">
        <f>YEAR(A32)</f>
        <v/>
      </c>
      <c r="C32" s="53">
        <f>MONTH(A32)</f>
        <v/>
      </c>
      <c r="D32" s="54" t="n">
        <v>3851</v>
      </c>
      <c r="E32" s="55" t="n">
        <v>1.0804</v>
      </c>
      <c r="F32" s="55" t="n">
        <v>0.9245</v>
      </c>
      <c r="G32" s="55" t="n">
        <v>0</v>
      </c>
      <c r="H32" s="54" t="n">
        <v>135.6</v>
      </c>
      <c r="I32" s="54">
        <f>H32+State!$B$6/100*I31</f>
        <v/>
      </c>
      <c r="J32" s="54" t="n">
        <v>122.66</v>
      </c>
      <c r="K32" s="54" t="n">
        <v>149.82</v>
      </c>
      <c r="N32" s="54" t="n">
        <v>41.61</v>
      </c>
      <c r="O32" s="54" t="n">
        <v>0</v>
      </c>
      <c r="P32" s="54" t="n">
        <v>0</v>
      </c>
      <c r="Q32" s="54" t="n">
        <v>0</v>
      </c>
      <c r="R32" s="54" t="n">
        <v>90.15000000000001</v>
      </c>
      <c r="S32" s="54">
        <f>N32+Answers!$C$16/100*S31</f>
        <v/>
      </c>
      <c r="T32" s="54">
        <f>O32+Answers!$C$17/100*T31</f>
        <v/>
      </c>
      <c r="U32" s="54">
        <f>P32+Answers!$C$18/100*U31</f>
        <v/>
      </c>
      <c r="V32" s="54">
        <f>Q32+Answers!$C$19/100*V31</f>
        <v/>
      </c>
      <c r="W32" s="54">
        <f>R32+Answers!$C$20/100*W31</f>
        <v/>
      </c>
      <c r="X32" s="54">
        <f>State!$B$2*E32</f>
        <v/>
      </c>
      <c r="Y32" s="54">
        <f>-State!$B$3*F32</f>
        <v/>
      </c>
      <c r="Z32" s="54">
        <f>State!$B$4*G32</f>
        <v/>
      </c>
      <c r="AA32" s="54">
        <f>State!$B$5*(1-State!$B$6/100)*I32</f>
        <v/>
      </c>
      <c r="AB32" s="54">
        <f>State!$B$7*K32</f>
        <v/>
      </c>
      <c r="AE32" s="54">
        <f>State!$B$8*(1-Answers!$C$16/100)*S32</f>
        <v/>
      </c>
      <c r="AF32" s="54">
        <f>State!$B$9*(1-Answers!$C$17/100)*T32</f>
        <v/>
      </c>
      <c r="AG32" s="54">
        <f>State!$B$10*(1-Answers!$C$18/100)*U32</f>
        <v/>
      </c>
      <c r="AH32" s="54">
        <f>State!$B$11*(1-Answers!$C$19/100)*V32</f>
        <v/>
      </c>
      <c r="AI32" s="54">
        <f>State!$B$12*(1-Answers!$C$20/100)*W32</f>
        <v/>
      </c>
      <c r="AJ32" s="54">
        <f>X32</f>
        <v/>
      </c>
      <c r="AK32" s="54">
        <f>X32+Y32</f>
        <v/>
      </c>
      <c r="AL32" s="54">
        <f>AK32+Z32</f>
        <v/>
      </c>
      <c r="AM32" s="54">
        <f>AL32+AA32</f>
        <v/>
      </c>
      <c r="AN32" s="54">
        <f>AM32+AB32</f>
        <v/>
      </c>
      <c r="AO32" s="54">
        <f>AL32+AE32+AF32+AG32+AH32+AI32+AB32</f>
        <v/>
      </c>
      <c r="AP32" s="54">
        <f>IF(State!$B$46=1,AO32,AN32)</f>
        <v/>
      </c>
      <c r="AQ32" s="54" t="n">
        <v>946</v>
      </c>
      <c r="AR32" s="54" t="n">
        <v>-880.5</v>
      </c>
      <c r="AS32" s="54" t="n">
        <v>0</v>
      </c>
      <c r="AT32" s="54" t="n">
        <v>3097.8</v>
      </c>
      <c r="AU32" s="54" t="n">
        <v>561.4</v>
      </c>
      <c r="AX32" s="54" t="n">
        <v>731.6</v>
      </c>
      <c r="AY32" s="54" t="n">
        <v>235.5</v>
      </c>
      <c r="AZ32" s="54" t="n">
        <v>400.3</v>
      </c>
      <c r="BA32" s="54" t="n">
        <v>62.1</v>
      </c>
      <c r="BB32" s="54" t="n">
        <v>1668.3</v>
      </c>
      <c r="BC32" s="54">
        <f>AQ32+AR32+AS32+AT32+AU32</f>
        <v/>
      </c>
      <c r="BD32" s="54">
        <f>AQ32</f>
        <v/>
      </c>
      <c r="BE32" s="54">
        <f>AQ32+AR32</f>
        <v/>
      </c>
      <c r="BF32" s="54">
        <f>BE32+AS32</f>
        <v/>
      </c>
      <c r="BG32" s="54">
        <f>BF32+AT32</f>
        <v/>
      </c>
      <c r="BH32" s="54">
        <f>BG32+AU32</f>
        <v/>
      </c>
      <c r="BI32" s="54">
        <f>BC32</f>
        <v/>
      </c>
      <c r="BJ32" s="54">
        <f>IF(State!$B$14=1,CHOOSE(State!$B$43+1,D32,BD32,BE32,BF32,BG32,BH32,BI32),BK32)</f>
        <v/>
      </c>
      <c r="BK32" s="54">
        <f>CHOOSE(State!$B$43+1,D32,AJ32,AK32,AL32,AM32,AN32,AO32)</f>
        <v/>
      </c>
      <c r="BL32" s="54">
        <f>IF(State!$B$44=1,H32,0)</f>
        <v/>
      </c>
      <c r="BQ32" s="54">
        <f>D32-AP32</f>
        <v/>
      </c>
      <c r="BR32" s="54">
        <f>BQ32^2</f>
        <v/>
      </c>
      <c r="BS32" s="54">
        <f>(BQ32-BQ31)^2</f>
        <v/>
      </c>
      <c r="BT32" s="54">
        <f>IF(D32&gt;2000,ABS(BQ32)/D32,"")</f>
        <v/>
      </c>
      <c r="BU32" s="54" t="n">
        <v>195</v>
      </c>
      <c r="BV32" s="74" t="n">
        <v>0.4961</v>
      </c>
      <c r="BW32" s="54" t="n">
        <v>329.1</v>
      </c>
    </row>
    <row r="33">
      <c r="A33" s="73" t="n">
        <v>45123</v>
      </c>
      <c r="B33" s="53">
        <f>YEAR(A33)</f>
        <v/>
      </c>
      <c r="C33" s="53">
        <f>MONTH(A33)</f>
        <v/>
      </c>
      <c r="D33" s="54" t="n">
        <v>2277</v>
      </c>
      <c r="E33" s="55" t="n">
        <v>1.227</v>
      </c>
      <c r="F33" s="55" t="n">
        <v>1.0277</v>
      </c>
      <c r="G33" s="55" t="n">
        <v>0</v>
      </c>
      <c r="H33" s="54" t="n">
        <v>149.81</v>
      </c>
      <c r="I33" s="54">
        <f>H33+State!$B$6/100*I32</f>
        <v/>
      </c>
      <c r="J33" s="54" t="n">
        <v>102.72</v>
      </c>
      <c r="K33" s="54" t="n">
        <v>121.59</v>
      </c>
      <c r="N33" s="54" t="n">
        <v>58.39</v>
      </c>
      <c r="O33" s="54" t="n">
        <v>0</v>
      </c>
      <c r="P33" s="54" t="n">
        <v>0</v>
      </c>
      <c r="Q33" s="54" t="n">
        <v>4.02</v>
      </c>
      <c r="R33" s="54" t="n">
        <v>85.13</v>
      </c>
      <c r="S33" s="54">
        <f>N33+Answers!$C$16/100*S32</f>
        <v/>
      </c>
      <c r="T33" s="54">
        <f>O33+Answers!$C$17/100*T32</f>
        <v/>
      </c>
      <c r="U33" s="54">
        <f>P33+Answers!$C$18/100*U32</f>
        <v/>
      </c>
      <c r="V33" s="54">
        <f>Q33+Answers!$C$19/100*V32</f>
        <v/>
      </c>
      <c r="W33" s="54">
        <f>R33+Answers!$C$20/100*W32</f>
        <v/>
      </c>
      <c r="X33" s="54">
        <f>State!$B$2*E33</f>
        <v/>
      </c>
      <c r="Y33" s="54">
        <f>-State!$B$3*F33</f>
        <v/>
      </c>
      <c r="Z33" s="54">
        <f>State!$B$4*G33</f>
        <v/>
      </c>
      <c r="AA33" s="54">
        <f>State!$B$5*(1-State!$B$6/100)*I33</f>
        <v/>
      </c>
      <c r="AB33" s="54">
        <f>State!$B$7*K33</f>
        <v/>
      </c>
      <c r="AE33" s="54">
        <f>State!$B$8*(1-Answers!$C$16/100)*S33</f>
        <v/>
      </c>
      <c r="AF33" s="54">
        <f>State!$B$9*(1-Answers!$C$17/100)*T33</f>
        <v/>
      </c>
      <c r="AG33" s="54">
        <f>State!$B$10*(1-Answers!$C$18/100)*U33</f>
        <v/>
      </c>
      <c r="AH33" s="54">
        <f>State!$B$11*(1-Answers!$C$19/100)*V33</f>
        <v/>
      </c>
      <c r="AI33" s="54">
        <f>State!$B$12*(1-Answers!$C$20/100)*W33</f>
        <v/>
      </c>
      <c r="AJ33" s="54">
        <f>X33</f>
        <v/>
      </c>
      <c r="AK33" s="54">
        <f>X33+Y33</f>
        <v/>
      </c>
      <c r="AL33" s="54">
        <f>AK33+Z33</f>
        <v/>
      </c>
      <c r="AM33" s="54">
        <f>AL33+AA33</f>
        <v/>
      </c>
      <c r="AN33" s="54">
        <f>AM33+AB33</f>
        <v/>
      </c>
      <c r="AO33" s="54">
        <f>AL33+AE33+AF33+AG33+AH33+AI33+AB33</f>
        <v/>
      </c>
      <c r="AP33" s="54">
        <f>IF(State!$B$46=1,AO33,AN33)</f>
        <v/>
      </c>
      <c r="AQ33" s="54" t="n">
        <v>1074.4</v>
      </c>
      <c r="AR33" s="54" t="n">
        <v>-978.8</v>
      </c>
      <c r="AS33" s="54" t="n">
        <v>0</v>
      </c>
      <c r="AT33" s="54" t="n">
        <v>3006.7</v>
      </c>
      <c r="AU33" s="54" t="n">
        <v>445.5</v>
      </c>
      <c r="AX33" s="54" t="n">
        <v>773.4</v>
      </c>
      <c r="AY33" s="54" t="n">
        <v>200.2</v>
      </c>
      <c r="AZ33" s="54" t="n">
        <v>340.3</v>
      </c>
      <c r="BA33" s="54" t="n">
        <v>57.8</v>
      </c>
      <c r="BB33" s="54" t="n">
        <v>1635</v>
      </c>
      <c r="BC33" s="54">
        <f>AQ33+AR33+AS33+AT33+AU33</f>
        <v/>
      </c>
      <c r="BD33" s="54">
        <f>AQ33</f>
        <v/>
      </c>
      <c r="BE33" s="54">
        <f>AQ33+AR33</f>
        <v/>
      </c>
      <c r="BF33" s="54">
        <f>BE33+AS33</f>
        <v/>
      </c>
      <c r="BG33" s="54">
        <f>BF33+AT33</f>
        <v/>
      </c>
      <c r="BH33" s="54">
        <f>BG33+AU33</f>
        <v/>
      </c>
      <c r="BI33" s="54">
        <f>BC33</f>
        <v/>
      </c>
      <c r="BJ33" s="54">
        <f>IF(State!$B$14=1,CHOOSE(State!$B$43+1,D33,BD33,BE33,BF33,BG33,BH33,BI33),BK33)</f>
        <v/>
      </c>
      <c r="BK33" s="54">
        <f>CHOOSE(State!$B$43+1,D33,AJ33,AK33,AL33,AM33,AN33,AO33)</f>
        <v/>
      </c>
      <c r="BL33" s="54">
        <f>IF(State!$B$44=1,H33,0)</f>
        <v/>
      </c>
      <c r="BQ33" s="54">
        <f>D33-AP33</f>
        <v/>
      </c>
      <c r="BR33" s="54">
        <f>BQ33^2</f>
        <v/>
      </c>
      <c r="BS33" s="54">
        <f>(BQ33-BQ32)^2</f>
        <v/>
      </c>
      <c r="BT33" s="54">
        <f>IF(D33&gt;2000,ABS(BQ33)/D33,"")</f>
        <v/>
      </c>
      <c r="BU33" s="54" t="n">
        <v>209</v>
      </c>
      <c r="BV33" s="74" t="n">
        <v>0.4961</v>
      </c>
      <c r="BW33" s="54" t="n">
        <v>326.6</v>
      </c>
    </row>
    <row r="34">
      <c r="A34" s="73" t="n">
        <v>45130</v>
      </c>
      <c r="B34" s="53">
        <f>YEAR(A34)</f>
        <v/>
      </c>
      <c r="C34" s="53">
        <f>MONTH(A34)</f>
        <v/>
      </c>
      <c r="D34" s="54" t="n">
        <v>1511</v>
      </c>
      <c r="E34" s="55" t="n">
        <v>1.082</v>
      </c>
      <c r="F34" s="55" t="n">
        <v>1.0246</v>
      </c>
      <c r="G34" s="55" t="n">
        <v>0</v>
      </c>
      <c r="H34" s="54" t="n">
        <v>108.73</v>
      </c>
      <c r="I34" s="54">
        <f>H34+State!$B$6/100*I33</f>
        <v/>
      </c>
      <c r="J34" s="54" t="n">
        <v>106.94</v>
      </c>
      <c r="K34" s="54" t="n">
        <v>128.68</v>
      </c>
      <c r="N34" s="54" t="n">
        <v>0</v>
      </c>
      <c r="O34" s="54" t="n">
        <v>0</v>
      </c>
      <c r="P34" s="54" t="n">
        <v>33.21</v>
      </c>
      <c r="Q34" s="54" t="n">
        <v>2.95</v>
      </c>
      <c r="R34" s="54" t="n">
        <v>71.06</v>
      </c>
      <c r="S34" s="54">
        <f>N34+Answers!$C$16/100*S33</f>
        <v/>
      </c>
      <c r="T34" s="54">
        <f>O34+Answers!$C$17/100*T33</f>
        <v/>
      </c>
      <c r="U34" s="54">
        <f>P34+Answers!$C$18/100*U33</f>
        <v/>
      </c>
      <c r="V34" s="54">
        <f>Q34+Answers!$C$19/100*V33</f>
        <v/>
      </c>
      <c r="W34" s="54">
        <f>R34+Answers!$C$20/100*W33</f>
        <v/>
      </c>
      <c r="X34" s="54">
        <f>State!$B$2*E34</f>
        <v/>
      </c>
      <c r="Y34" s="54">
        <f>-State!$B$3*F34</f>
        <v/>
      </c>
      <c r="Z34" s="54">
        <f>State!$B$4*G34</f>
        <v/>
      </c>
      <c r="AA34" s="54">
        <f>State!$B$5*(1-State!$B$6/100)*I34</f>
        <v/>
      </c>
      <c r="AB34" s="54">
        <f>State!$B$7*K34</f>
        <v/>
      </c>
      <c r="AE34" s="54">
        <f>State!$B$8*(1-Answers!$C$16/100)*S34</f>
        <v/>
      </c>
      <c r="AF34" s="54">
        <f>State!$B$9*(1-Answers!$C$17/100)*T34</f>
        <v/>
      </c>
      <c r="AG34" s="54">
        <f>State!$B$10*(1-Answers!$C$18/100)*U34</f>
        <v/>
      </c>
      <c r="AH34" s="54">
        <f>State!$B$11*(1-Answers!$C$19/100)*V34</f>
        <v/>
      </c>
      <c r="AI34" s="54">
        <f>State!$B$12*(1-Answers!$C$20/100)*W34</f>
        <v/>
      </c>
      <c r="AJ34" s="54">
        <f>X34</f>
        <v/>
      </c>
      <c r="AK34" s="54">
        <f>X34+Y34</f>
        <v/>
      </c>
      <c r="AL34" s="54">
        <f>AK34+Z34</f>
        <v/>
      </c>
      <c r="AM34" s="54">
        <f>AL34+AA34</f>
        <v/>
      </c>
      <c r="AN34" s="54">
        <f>AM34+AB34</f>
        <v/>
      </c>
      <c r="AO34" s="54">
        <f>AL34+AE34+AF34+AG34+AH34+AI34+AB34</f>
        <v/>
      </c>
      <c r="AP34" s="54">
        <f>IF(State!$B$46=1,AO34,AN34)</f>
        <v/>
      </c>
      <c r="AQ34" s="54" t="n">
        <v>947.4</v>
      </c>
      <c r="AR34" s="54" t="n">
        <v>-975.9</v>
      </c>
      <c r="AS34" s="54" t="n">
        <v>0</v>
      </c>
      <c r="AT34" s="54" t="n">
        <v>2823.2</v>
      </c>
      <c r="AU34" s="54" t="n">
        <v>472.9</v>
      </c>
      <c r="AX34" s="54" t="n">
        <v>657.4</v>
      </c>
      <c r="AY34" s="54" t="n">
        <v>170.2</v>
      </c>
      <c r="AZ34" s="54" t="n">
        <v>376.3</v>
      </c>
      <c r="BA34" s="54" t="n">
        <v>52.9</v>
      </c>
      <c r="BB34" s="54" t="n">
        <v>1566.5</v>
      </c>
      <c r="BC34" s="54">
        <f>AQ34+AR34+AS34+AT34+AU34</f>
        <v/>
      </c>
      <c r="BD34" s="54">
        <f>AQ34</f>
        <v/>
      </c>
      <c r="BE34" s="54">
        <f>AQ34+AR34</f>
        <v/>
      </c>
      <c r="BF34" s="54">
        <f>BE34+AS34</f>
        <v/>
      </c>
      <c r="BG34" s="54">
        <f>BF34+AT34</f>
        <v/>
      </c>
      <c r="BH34" s="54">
        <f>BG34+AU34</f>
        <v/>
      </c>
      <c r="BI34" s="54">
        <f>BC34</f>
        <v/>
      </c>
      <c r="BJ34" s="54">
        <f>IF(State!$B$14=1,CHOOSE(State!$B$43+1,D34,BD34,BE34,BF34,BG34,BH34,BI34),BK34)</f>
        <v/>
      </c>
      <c r="BK34" s="54">
        <f>CHOOSE(State!$B$43+1,D34,AJ34,AK34,AL34,AM34,AN34,AO34)</f>
        <v/>
      </c>
      <c r="BL34" s="54">
        <f>IF(State!$B$44=1,H34,0)</f>
        <v/>
      </c>
      <c r="BQ34" s="54">
        <f>D34-AP34</f>
        <v/>
      </c>
      <c r="BR34" s="54">
        <f>BQ34^2</f>
        <v/>
      </c>
      <c r="BS34" s="54">
        <f>(BQ34-BQ33)^2</f>
        <v/>
      </c>
      <c r="BT34" s="54">
        <f>IF(D34&gt;2000,ABS(BQ34)/D34,"")</f>
        <v/>
      </c>
      <c r="BU34" s="54" t="n">
        <v>201</v>
      </c>
      <c r="BV34" s="74" t="n">
        <v>0.4961</v>
      </c>
      <c r="BW34" s="54" t="n">
        <v>289.9</v>
      </c>
    </row>
    <row r="35">
      <c r="A35" s="73" t="n">
        <v>45137</v>
      </c>
      <c r="B35" s="53">
        <f>YEAR(A35)</f>
        <v/>
      </c>
      <c r="C35" s="53">
        <f>MONTH(A35)</f>
        <v/>
      </c>
      <c r="D35" s="54" t="n">
        <v>969</v>
      </c>
      <c r="E35" s="55" t="n">
        <v>1.149</v>
      </c>
      <c r="F35" s="55" t="n">
        <v>1.0282</v>
      </c>
      <c r="G35" s="55" t="n">
        <v>0</v>
      </c>
      <c r="H35" s="54" t="n">
        <v>93.64</v>
      </c>
      <c r="I35" s="54">
        <f>H35+State!$B$6/100*I34</f>
        <v/>
      </c>
      <c r="J35" s="54" t="n">
        <v>110.74</v>
      </c>
      <c r="K35" s="54" t="n">
        <v>153.18</v>
      </c>
      <c r="N35" s="54" t="n">
        <v>0</v>
      </c>
      <c r="O35" s="54" t="n">
        <v>0</v>
      </c>
      <c r="P35" s="54" t="n">
        <v>36.61</v>
      </c>
      <c r="Q35" s="54" t="n">
        <v>0</v>
      </c>
      <c r="R35" s="54" t="n">
        <v>56.06</v>
      </c>
      <c r="S35" s="54">
        <f>N35+Answers!$C$16/100*S34</f>
        <v/>
      </c>
      <c r="T35" s="54">
        <f>O35+Answers!$C$17/100*T34</f>
        <v/>
      </c>
      <c r="U35" s="54">
        <f>P35+Answers!$C$18/100*U34</f>
        <v/>
      </c>
      <c r="V35" s="54">
        <f>Q35+Answers!$C$19/100*V34</f>
        <v/>
      </c>
      <c r="W35" s="54">
        <f>R35+Answers!$C$20/100*W34</f>
        <v/>
      </c>
      <c r="X35" s="54">
        <f>State!$B$2*E35</f>
        <v/>
      </c>
      <c r="Y35" s="54">
        <f>-State!$B$3*F35</f>
        <v/>
      </c>
      <c r="Z35" s="54">
        <f>State!$B$4*G35</f>
        <v/>
      </c>
      <c r="AA35" s="54">
        <f>State!$B$5*(1-State!$B$6/100)*I35</f>
        <v/>
      </c>
      <c r="AB35" s="54">
        <f>State!$B$7*K35</f>
        <v/>
      </c>
      <c r="AE35" s="54">
        <f>State!$B$8*(1-Answers!$C$16/100)*S35</f>
        <v/>
      </c>
      <c r="AF35" s="54">
        <f>State!$B$9*(1-Answers!$C$17/100)*T35</f>
        <v/>
      </c>
      <c r="AG35" s="54">
        <f>State!$B$10*(1-Answers!$C$18/100)*U35</f>
        <v/>
      </c>
      <c r="AH35" s="54">
        <f>State!$B$11*(1-Answers!$C$19/100)*V35</f>
        <v/>
      </c>
      <c r="AI35" s="54">
        <f>State!$B$12*(1-Answers!$C$20/100)*W35</f>
        <v/>
      </c>
      <c r="AJ35" s="54">
        <f>X35</f>
        <v/>
      </c>
      <c r="AK35" s="54">
        <f>X35+Y35</f>
        <v/>
      </c>
      <c r="AL35" s="54">
        <f>AK35+Z35</f>
        <v/>
      </c>
      <c r="AM35" s="54">
        <f>AL35+AA35</f>
        <v/>
      </c>
      <c r="AN35" s="54">
        <f>AM35+AB35</f>
        <v/>
      </c>
      <c r="AO35" s="54">
        <f>AL35+AE35+AF35+AG35+AH35+AI35+AB35</f>
        <v/>
      </c>
      <c r="AP35" s="54">
        <f>IF(State!$B$46=1,AO35,AN35)</f>
        <v/>
      </c>
      <c r="AQ35" s="54" t="n">
        <v>1006.1</v>
      </c>
      <c r="AR35" s="54" t="n">
        <v>-979.3</v>
      </c>
      <c r="AS35" s="54" t="n">
        <v>0</v>
      </c>
      <c r="AT35" s="54" t="n">
        <v>2645.8</v>
      </c>
      <c r="AU35" s="54" t="n">
        <v>567.2</v>
      </c>
      <c r="AX35" s="54" t="n">
        <v>558.8</v>
      </c>
      <c r="AY35" s="54" t="n">
        <v>144.6</v>
      </c>
      <c r="AZ35" s="54" t="n">
        <v>415.9</v>
      </c>
      <c r="BA35" s="54" t="n">
        <v>44.9</v>
      </c>
      <c r="BB35" s="54" t="n">
        <v>1481.6</v>
      </c>
      <c r="BC35" s="54">
        <f>AQ35+AR35+AS35+AT35+AU35</f>
        <v/>
      </c>
      <c r="BD35" s="54">
        <f>AQ35</f>
        <v/>
      </c>
      <c r="BE35" s="54">
        <f>AQ35+AR35</f>
        <v/>
      </c>
      <c r="BF35" s="54">
        <f>BE35+AS35</f>
        <v/>
      </c>
      <c r="BG35" s="54">
        <f>BF35+AT35</f>
        <v/>
      </c>
      <c r="BH35" s="54">
        <f>BG35+AU35</f>
        <v/>
      </c>
      <c r="BI35" s="54">
        <f>BC35</f>
        <v/>
      </c>
      <c r="BJ35" s="54">
        <f>IF(State!$B$14=1,CHOOSE(State!$B$43+1,D35,BD35,BE35,BF35,BG35,BH35,BI35),BK35)</f>
        <v/>
      </c>
      <c r="BK35" s="54">
        <f>CHOOSE(State!$B$43+1,D35,AJ35,AK35,AL35,AM35,AN35,AO35)</f>
        <v/>
      </c>
      <c r="BL35" s="54">
        <f>IF(State!$B$44=1,H35,0)</f>
        <v/>
      </c>
      <c r="BQ35" s="54">
        <f>D35-AP35</f>
        <v/>
      </c>
      <c r="BR35" s="54">
        <f>BQ35^2</f>
        <v/>
      </c>
      <c r="BS35" s="54">
        <f>(BQ35-BQ34)^2</f>
        <v/>
      </c>
      <c r="BT35" s="54">
        <f>IF(D35&gt;2000,ABS(BQ35)/D35,"")</f>
        <v/>
      </c>
      <c r="BU35" s="54" t="n">
        <v>175</v>
      </c>
      <c r="BV35" s="74" t="n">
        <v>0.4943</v>
      </c>
      <c r="BW35" s="54" t="n">
        <v>300.4</v>
      </c>
    </row>
    <row r="36">
      <c r="A36" s="73" t="n">
        <v>45144</v>
      </c>
      <c r="B36" s="53">
        <f>YEAR(A36)</f>
        <v/>
      </c>
      <c r="C36" s="53">
        <f>MONTH(A36)</f>
        <v/>
      </c>
      <c r="D36" s="54" t="n">
        <v>422</v>
      </c>
      <c r="E36" s="55" t="n">
        <v>1.1629</v>
      </c>
      <c r="F36" s="55" t="n">
        <v>2.5857</v>
      </c>
      <c r="G36" s="55" t="n">
        <v>0</v>
      </c>
      <c r="H36" s="54" t="n">
        <v>8.210000000000001</v>
      </c>
      <c r="I36" s="54">
        <f>H36+State!$B$6/100*I35</f>
        <v/>
      </c>
      <c r="J36" s="54" t="n">
        <v>110.82</v>
      </c>
      <c r="K36" s="54" t="n">
        <v>143.05</v>
      </c>
      <c r="N36" s="54" t="n">
        <v>0</v>
      </c>
      <c r="O36" s="54" t="n">
        <v>0</v>
      </c>
      <c r="P36" s="54" t="n">
        <v>5.1</v>
      </c>
      <c r="Q36" s="54" t="n">
        <v>0</v>
      </c>
      <c r="R36" s="54" t="n">
        <v>2.69</v>
      </c>
      <c r="S36" s="54">
        <f>N36+Answers!$C$16/100*S35</f>
        <v/>
      </c>
      <c r="T36" s="54">
        <f>O36+Answers!$C$17/100*T35</f>
        <v/>
      </c>
      <c r="U36" s="54">
        <f>P36+Answers!$C$18/100*U35</f>
        <v/>
      </c>
      <c r="V36" s="54">
        <f>Q36+Answers!$C$19/100*V35</f>
        <v/>
      </c>
      <c r="W36" s="54">
        <f>R36+Answers!$C$20/100*W35</f>
        <v/>
      </c>
      <c r="X36" s="54">
        <f>State!$B$2*E36</f>
        <v/>
      </c>
      <c r="Y36" s="54">
        <f>-State!$B$3*F36</f>
        <v/>
      </c>
      <c r="Z36" s="54">
        <f>State!$B$4*G36</f>
        <v/>
      </c>
      <c r="AA36" s="54">
        <f>State!$B$5*(1-State!$B$6/100)*I36</f>
        <v/>
      </c>
      <c r="AB36" s="54">
        <f>State!$B$7*K36</f>
        <v/>
      </c>
      <c r="AE36" s="54">
        <f>State!$B$8*(1-Answers!$C$16/100)*S36</f>
        <v/>
      </c>
      <c r="AF36" s="54">
        <f>State!$B$9*(1-Answers!$C$17/100)*T36</f>
        <v/>
      </c>
      <c r="AG36" s="54">
        <f>State!$B$10*(1-Answers!$C$18/100)*U36</f>
        <v/>
      </c>
      <c r="AH36" s="54">
        <f>State!$B$11*(1-Answers!$C$19/100)*V36</f>
        <v/>
      </c>
      <c r="AI36" s="54">
        <f>State!$B$12*(1-Answers!$C$20/100)*W36</f>
        <v/>
      </c>
      <c r="AJ36" s="54">
        <f>X36</f>
        <v/>
      </c>
      <c r="AK36" s="54">
        <f>X36+Y36</f>
        <v/>
      </c>
      <c r="AL36" s="54">
        <f>AK36+Z36</f>
        <v/>
      </c>
      <c r="AM36" s="54">
        <f>AL36+AA36</f>
        <v/>
      </c>
      <c r="AN36" s="54">
        <f>AM36+AB36</f>
        <v/>
      </c>
      <c r="AO36" s="54">
        <f>AL36+AE36+AF36+AG36+AH36+AI36+AB36</f>
        <v/>
      </c>
      <c r="AP36" s="54">
        <f>IF(State!$B$46=1,AO36,AN36)</f>
        <v/>
      </c>
      <c r="AQ36" s="54" t="n">
        <v>1018.3</v>
      </c>
      <c r="AR36" s="54" t="n">
        <v>-2462.7</v>
      </c>
      <c r="AS36" s="54" t="n">
        <v>0</v>
      </c>
      <c r="AT36" s="54" t="n">
        <v>2270</v>
      </c>
      <c r="AU36" s="54" t="n">
        <v>518.5</v>
      </c>
      <c r="AX36" s="54" t="n">
        <v>474.9</v>
      </c>
      <c r="AY36" s="54" t="n">
        <v>122.9</v>
      </c>
      <c r="AZ36" s="54" t="n">
        <v>366.9</v>
      </c>
      <c r="BA36" s="54" t="n">
        <v>38.2</v>
      </c>
      <c r="BB36" s="54" t="n">
        <v>1267</v>
      </c>
      <c r="BC36" s="54">
        <f>AQ36+AR36+AS36+AT36+AU36</f>
        <v/>
      </c>
      <c r="BD36" s="54">
        <f>AQ36</f>
        <v/>
      </c>
      <c r="BE36" s="54">
        <f>AQ36+AR36</f>
        <v/>
      </c>
      <c r="BF36" s="54">
        <f>BE36+AS36</f>
        <v/>
      </c>
      <c r="BG36" s="54">
        <f>BF36+AT36</f>
        <v/>
      </c>
      <c r="BH36" s="54">
        <f>BG36+AU36</f>
        <v/>
      </c>
      <c r="BI36" s="54">
        <f>BC36</f>
        <v/>
      </c>
      <c r="BJ36" s="54">
        <f>IF(State!$B$14=1,CHOOSE(State!$B$43+1,D36,BD36,BE36,BF36,BG36,BH36,BI36),BK36)</f>
        <v/>
      </c>
      <c r="BK36" s="54">
        <f>CHOOSE(State!$B$43+1,D36,AJ36,AK36,AL36,AM36,AN36,AO36)</f>
        <v/>
      </c>
      <c r="BL36" s="54">
        <f>IF(State!$B$44=1,H36,0)</f>
        <v/>
      </c>
      <c r="BQ36" s="54">
        <f>D36-AP36</f>
        <v/>
      </c>
      <c r="BR36" s="54">
        <f>BQ36^2</f>
        <v/>
      </c>
      <c r="BS36" s="54">
        <f>(BQ36-BQ35)^2</f>
        <v/>
      </c>
      <c r="BT36" s="54">
        <f>IF(D36&gt;2000,ABS(BQ36)/D36,"")</f>
        <v/>
      </c>
      <c r="BU36" s="54" t="n">
        <v>192</v>
      </c>
      <c r="BV36" s="74" t="n">
        <v>0.494</v>
      </c>
      <c r="BW36" s="54" t="n">
        <v>198.2</v>
      </c>
    </row>
    <row r="37">
      <c r="A37" s="73" t="n">
        <v>45151</v>
      </c>
      <c r="B37" s="53">
        <f>YEAR(A37)</f>
        <v/>
      </c>
      <c r="C37" s="53">
        <f>MONTH(A37)</f>
        <v/>
      </c>
      <c r="D37" s="54" t="n">
        <v>233</v>
      </c>
      <c r="E37" s="55" t="n">
        <v>1.0464</v>
      </c>
      <c r="F37" s="55" t="n">
        <v>2.5857</v>
      </c>
      <c r="G37" s="55" t="n">
        <v>0</v>
      </c>
      <c r="H37" s="54" t="n">
        <v>0.95</v>
      </c>
      <c r="I37" s="54">
        <f>H37+State!$B$6/100*I36</f>
        <v/>
      </c>
      <c r="J37" s="54" t="n">
        <v>93.8</v>
      </c>
      <c r="K37" s="54" t="n">
        <v>120.05</v>
      </c>
      <c r="N37" s="54" t="n">
        <v>0</v>
      </c>
      <c r="O37" s="54" t="n">
        <v>0</v>
      </c>
      <c r="P37" s="54" t="n">
        <v>0</v>
      </c>
      <c r="Q37" s="54" t="n">
        <v>0</v>
      </c>
      <c r="R37" s="54" t="n">
        <v>0.71</v>
      </c>
      <c r="S37" s="54">
        <f>N37+Answers!$C$16/100*S36</f>
        <v/>
      </c>
      <c r="T37" s="54">
        <f>O37+Answers!$C$17/100*T36</f>
        <v/>
      </c>
      <c r="U37" s="54">
        <f>P37+Answers!$C$18/100*U36</f>
        <v/>
      </c>
      <c r="V37" s="54">
        <f>Q37+Answers!$C$19/100*V36</f>
        <v/>
      </c>
      <c r="W37" s="54">
        <f>R37+Answers!$C$20/100*W36</f>
        <v/>
      </c>
      <c r="X37" s="54">
        <f>State!$B$2*E37</f>
        <v/>
      </c>
      <c r="Y37" s="54">
        <f>-State!$B$3*F37</f>
        <v/>
      </c>
      <c r="Z37" s="54">
        <f>State!$B$4*G37</f>
        <v/>
      </c>
      <c r="AA37" s="54">
        <f>State!$B$5*(1-State!$B$6/100)*I37</f>
        <v/>
      </c>
      <c r="AB37" s="54">
        <f>State!$B$7*K37</f>
        <v/>
      </c>
      <c r="AE37" s="54">
        <f>State!$B$8*(1-Answers!$C$16/100)*S37</f>
        <v/>
      </c>
      <c r="AF37" s="54">
        <f>State!$B$9*(1-Answers!$C$17/100)*T37</f>
        <v/>
      </c>
      <c r="AG37" s="54">
        <f>State!$B$10*(1-Answers!$C$18/100)*U37</f>
        <v/>
      </c>
      <c r="AH37" s="54">
        <f>State!$B$11*(1-Answers!$C$19/100)*V37</f>
        <v/>
      </c>
      <c r="AI37" s="54">
        <f>State!$B$12*(1-Answers!$C$20/100)*W37</f>
        <v/>
      </c>
      <c r="AJ37" s="54">
        <f>X37</f>
        <v/>
      </c>
      <c r="AK37" s="54">
        <f>X37+Y37</f>
        <v/>
      </c>
      <c r="AL37" s="54">
        <f>AK37+Z37</f>
        <v/>
      </c>
      <c r="AM37" s="54">
        <f>AL37+AA37</f>
        <v/>
      </c>
      <c r="AN37" s="54">
        <f>AM37+AB37</f>
        <v/>
      </c>
      <c r="AO37" s="54">
        <f>AL37+AE37+AF37+AG37+AH37+AI37+AB37</f>
        <v/>
      </c>
      <c r="AP37" s="54">
        <f>IF(State!$B$46=1,AO37,AN37)</f>
        <v/>
      </c>
      <c r="AQ37" s="54" t="n">
        <v>916.2</v>
      </c>
      <c r="AR37" s="54" t="n">
        <v>-2462.7</v>
      </c>
      <c r="AS37" s="54" t="n">
        <v>0</v>
      </c>
      <c r="AT37" s="54" t="n">
        <v>1935.1</v>
      </c>
      <c r="AU37" s="54" t="n">
        <v>431.2</v>
      </c>
      <c r="AX37" s="54" t="n">
        <v>403.7</v>
      </c>
      <c r="AY37" s="54" t="n">
        <v>104.5</v>
      </c>
      <c r="AZ37" s="54" t="n">
        <v>311.9</v>
      </c>
      <c r="BA37" s="54" t="n">
        <v>32.5</v>
      </c>
      <c r="BB37" s="54" t="n">
        <v>1082.5</v>
      </c>
      <c r="BC37" s="54">
        <f>AQ37+AR37+AS37+AT37+AU37</f>
        <v/>
      </c>
      <c r="BD37" s="54">
        <f>AQ37</f>
        <v/>
      </c>
      <c r="BE37" s="54">
        <f>AQ37+AR37</f>
        <v/>
      </c>
      <c r="BF37" s="54">
        <f>BE37+AS37</f>
        <v/>
      </c>
      <c r="BG37" s="54">
        <f>BF37+AT37</f>
        <v/>
      </c>
      <c r="BH37" s="54">
        <f>BG37+AU37</f>
        <v/>
      </c>
      <c r="BI37" s="54">
        <f>BC37</f>
        <v/>
      </c>
      <c r="BJ37" s="54">
        <f>IF(State!$B$14=1,CHOOSE(State!$B$43+1,D37,BD37,BE37,BF37,BG37,BH37,BI37),BK37)</f>
        <v/>
      </c>
      <c r="BK37" s="54">
        <f>CHOOSE(State!$B$43+1,D37,AJ37,AK37,AL37,AM37,AN37,AO37)</f>
        <v/>
      </c>
      <c r="BL37" s="54">
        <f>IF(State!$B$44=1,H37,0)</f>
        <v/>
      </c>
      <c r="BQ37" s="54">
        <f>D37-AP37</f>
        <v/>
      </c>
      <c r="BR37" s="54">
        <f>BQ37^2</f>
        <v/>
      </c>
      <c r="BS37" s="54">
        <f>(BQ37-BQ36)^2</f>
        <v/>
      </c>
      <c r="BT37" s="54">
        <f>IF(D37&gt;2000,ABS(BQ37)/D37,"")</f>
        <v/>
      </c>
      <c r="BU37" s="54" t="n">
        <v>153</v>
      </c>
      <c r="BV37" s="74" t="n">
        <v>0.494</v>
      </c>
      <c r="BW37" s="54" t="n">
        <v>178.1</v>
      </c>
    </row>
    <row r="38">
      <c r="A38" s="73" t="n">
        <v>45158</v>
      </c>
      <c r="B38" s="53">
        <f>YEAR(A38)</f>
        <v/>
      </c>
      <c r="C38" s="53">
        <f>MONTH(A38)</f>
        <v/>
      </c>
      <c r="D38" s="54" t="n">
        <v>182</v>
      </c>
      <c r="E38" s="55" t="n">
        <v>0.945</v>
      </c>
      <c r="F38" s="55" t="n">
        <v>2.5857</v>
      </c>
      <c r="G38" s="55" t="n">
        <v>0</v>
      </c>
      <c r="H38" s="54" t="n">
        <v>0.92</v>
      </c>
      <c r="I38" s="54">
        <f>H38+State!$B$6/100*I37</f>
        <v/>
      </c>
      <c r="J38" s="54" t="n">
        <v>83.44</v>
      </c>
      <c r="K38" s="54" t="n">
        <v>108.45</v>
      </c>
      <c r="N38" s="54" t="n">
        <v>0</v>
      </c>
      <c r="O38" s="54" t="n">
        <v>0</v>
      </c>
      <c r="P38" s="54" t="n">
        <v>0</v>
      </c>
      <c r="Q38" s="54" t="n">
        <v>0</v>
      </c>
      <c r="R38" s="54" t="n">
        <v>0.74</v>
      </c>
      <c r="S38" s="54">
        <f>N38+Answers!$C$16/100*S37</f>
        <v/>
      </c>
      <c r="T38" s="54">
        <f>O38+Answers!$C$17/100*T37</f>
        <v/>
      </c>
      <c r="U38" s="54">
        <f>P38+Answers!$C$18/100*U37</f>
        <v/>
      </c>
      <c r="V38" s="54">
        <f>Q38+Answers!$C$19/100*V37</f>
        <v/>
      </c>
      <c r="W38" s="54">
        <f>R38+Answers!$C$20/100*W37</f>
        <v/>
      </c>
      <c r="X38" s="54">
        <f>State!$B$2*E38</f>
        <v/>
      </c>
      <c r="Y38" s="54">
        <f>-State!$B$3*F38</f>
        <v/>
      </c>
      <c r="Z38" s="54">
        <f>State!$B$4*G38</f>
        <v/>
      </c>
      <c r="AA38" s="54">
        <f>State!$B$5*(1-State!$B$6/100)*I38</f>
        <v/>
      </c>
      <c r="AB38" s="54">
        <f>State!$B$7*K38</f>
        <v/>
      </c>
      <c r="AE38" s="54">
        <f>State!$B$8*(1-Answers!$C$16/100)*S38</f>
        <v/>
      </c>
      <c r="AF38" s="54">
        <f>State!$B$9*(1-Answers!$C$17/100)*T38</f>
        <v/>
      </c>
      <c r="AG38" s="54">
        <f>State!$B$10*(1-Answers!$C$18/100)*U38</f>
        <v/>
      </c>
      <c r="AH38" s="54">
        <f>State!$B$11*(1-Answers!$C$19/100)*V38</f>
        <v/>
      </c>
      <c r="AI38" s="54">
        <f>State!$B$12*(1-Answers!$C$20/100)*W38</f>
        <v/>
      </c>
      <c r="AJ38" s="54">
        <f>X38</f>
        <v/>
      </c>
      <c r="AK38" s="54">
        <f>X38+Y38</f>
        <v/>
      </c>
      <c r="AL38" s="54">
        <f>AK38+Z38</f>
        <v/>
      </c>
      <c r="AM38" s="54">
        <f>AL38+AA38</f>
        <v/>
      </c>
      <c r="AN38" s="54">
        <f>AM38+AB38</f>
        <v/>
      </c>
      <c r="AO38" s="54">
        <f>AL38+AE38+AF38+AG38+AH38+AI38+AB38</f>
        <v/>
      </c>
      <c r="AP38" s="54">
        <f>IF(State!$B$46=1,AO38,AN38)</f>
        <v/>
      </c>
      <c r="AQ38" s="54" t="n">
        <v>827.4</v>
      </c>
      <c r="AR38" s="54" t="n">
        <v>-2462.7</v>
      </c>
      <c r="AS38" s="54" t="n">
        <v>0</v>
      </c>
      <c r="AT38" s="54" t="n">
        <v>1652.5</v>
      </c>
      <c r="AU38" s="54" t="n">
        <v>386.7</v>
      </c>
      <c r="AX38" s="54" t="n">
        <v>343.2</v>
      </c>
      <c r="AY38" s="54" t="n">
        <v>88.8</v>
      </c>
      <c r="AZ38" s="54" t="n">
        <v>265.1</v>
      </c>
      <c r="BA38" s="54" t="n">
        <v>27.6</v>
      </c>
      <c r="BB38" s="54" t="n">
        <v>927.8</v>
      </c>
      <c r="BC38" s="54">
        <f>AQ38+AR38+AS38+AT38+AU38</f>
        <v/>
      </c>
      <c r="BD38" s="54">
        <f>AQ38</f>
        <v/>
      </c>
      <c r="BE38" s="54">
        <f>AQ38+AR38</f>
        <v/>
      </c>
      <c r="BF38" s="54">
        <f>BE38+AS38</f>
        <v/>
      </c>
      <c r="BG38" s="54">
        <f>BF38+AT38</f>
        <v/>
      </c>
      <c r="BH38" s="54">
        <f>BG38+AU38</f>
        <v/>
      </c>
      <c r="BI38" s="54">
        <f>BC38</f>
        <v/>
      </c>
      <c r="BJ38" s="54">
        <f>IF(State!$B$14=1,CHOOSE(State!$B$43+1,D38,BD38,BE38,BF38,BG38,BH38,BI38),BK38)</f>
        <v/>
      </c>
      <c r="BK38" s="54">
        <f>CHOOSE(State!$B$43+1,D38,AJ38,AK38,AL38,AM38,AN38,AO38)</f>
        <v/>
      </c>
      <c r="BL38" s="54">
        <f>IF(State!$B$44=1,H38,0)</f>
        <v/>
      </c>
      <c r="BQ38" s="54">
        <f>D38-AP38</f>
        <v/>
      </c>
      <c r="BR38" s="54">
        <f>BQ38^2</f>
        <v/>
      </c>
      <c r="BS38" s="54">
        <f>(BQ38-BQ37)^2</f>
        <v/>
      </c>
      <c r="BT38" s="54">
        <f>IF(D38&gt;2000,ABS(BQ38)/D38,"")</f>
        <v/>
      </c>
      <c r="BU38" s="54" t="n">
        <v>177</v>
      </c>
      <c r="BV38" s="74" t="n">
        <v>0.494</v>
      </c>
      <c r="BW38" s="54" t="n">
        <v>194.6</v>
      </c>
    </row>
    <row r="39">
      <c r="A39" s="73" t="n">
        <v>45165</v>
      </c>
      <c r="B39" s="53">
        <f>YEAR(A39)</f>
        <v/>
      </c>
      <c r="C39" s="53">
        <f>MONTH(A39)</f>
        <v/>
      </c>
      <c r="D39" s="54" t="n">
        <v>129</v>
      </c>
      <c r="E39" s="55" t="n">
        <v>0.8599</v>
      </c>
      <c r="F39" s="55" t="n">
        <v>2.5857</v>
      </c>
      <c r="G39" s="55" t="n">
        <v>0</v>
      </c>
      <c r="H39" s="54" t="n">
        <v>0.87</v>
      </c>
      <c r="I39" s="54">
        <f>H39+State!$B$6/100*I38</f>
        <v/>
      </c>
      <c r="J39" s="54" t="n">
        <v>73.09999999999999</v>
      </c>
      <c r="K39" s="54" t="n">
        <v>97.03</v>
      </c>
      <c r="N39" s="54" t="n">
        <v>0</v>
      </c>
      <c r="O39" s="54" t="n">
        <v>0</v>
      </c>
      <c r="P39" s="54" t="n">
        <v>0</v>
      </c>
      <c r="Q39" s="54" t="n">
        <v>0</v>
      </c>
      <c r="R39" s="54" t="n">
        <v>0.75</v>
      </c>
      <c r="S39" s="54">
        <f>N39+Answers!$C$16/100*S38</f>
        <v/>
      </c>
      <c r="T39" s="54">
        <f>O39+Answers!$C$17/100*T38</f>
        <v/>
      </c>
      <c r="U39" s="54">
        <f>P39+Answers!$C$18/100*U38</f>
        <v/>
      </c>
      <c r="V39" s="54">
        <f>Q39+Answers!$C$19/100*V38</f>
        <v/>
      </c>
      <c r="W39" s="54">
        <f>R39+Answers!$C$20/100*W38</f>
        <v/>
      </c>
      <c r="X39" s="54">
        <f>State!$B$2*E39</f>
        <v/>
      </c>
      <c r="Y39" s="54">
        <f>-State!$B$3*F39</f>
        <v/>
      </c>
      <c r="Z39" s="54">
        <f>State!$B$4*G39</f>
        <v/>
      </c>
      <c r="AA39" s="54">
        <f>State!$B$5*(1-State!$B$6/100)*I39</f>
        <v/>
      </c>
      <c r="AB39" s="54">
        <f>State!$B$7*K39</f>
        <v/>
      </c>
      <c r="AE39" s="54">
        <f>State!$B$8*(1-Answers!$C$16/100)*S39</f>
        <v/>
      </c>
      <c r="AF39" s="54">
        <f>State!$B$9*(1-Answers!$C$17/100)*T39</f>
        <v/>
      </c>
      <c r="AG39" s="54">
        <f>State!$B$10*(1-Answers!$C$18/100)*U39</f>
        <v/>
      </c>
      <c r="AH39" s="54">
        <f>State!$B$11*(1-Answers!$C$19/100)*V39</f>
        <v/>
      </c>
      <c r="AI39" s="54">
        <f>State!$B$12*(1-Answers!$C$20/100)*W39</f>
        <v/>
      </c>
      <c r="AJ39" s="54">
        <f>X39</f>
        <v/>
      </c>
      <c r="AK39" s="54">
        <f>X39+Y39</f>
        <v/>
      </c>
      <c r="AL39" s="54">
        <f>AK39+Z39</f>
        <v/>
      </c>
      <c r="AM39" s="54">
        <f>AL39+AA39</f>
        <v/>
      </c>
      <c r="AN39" s="54">
        <f>AM39+AB39</f>
        <v/>
      </c>
      <c r="AO39" s="54">
        <f>AL39+AE39+AF39+AG39+AH39+AI39+AB39</f>
        <v/>
      </c>
      <c r="AP39" s="54">
        <f>IF(State!$B$46=1,AO39,AN39)</f>
        <v/>
      </c>
      <c r="AQ39" s="54" t="n">
        <v>752.9</v>
      </c>
      <c r="AR39" s="54" t="n">
        <v>-2462.7</v>
      </c>
      <c r="AS39" s="54" t="n">
        <v>0</v>
      </c>
      <c r="AT39" s="54" t="n">
        <v>1415.2</v>
      </c>
      <c r="AU39" s="54" t="n">
        <v>322.4</v>
      </c>
      <c r="AX39" s="54" t="n">
        <v>291.7</v>
      </c>
      <c r="AY39" s="54" t="n">
        <v>75.5</v>
      </c>
      <c r="AZ39" s="54" t="n">
        <v>225.3</v>
      </c>
      <c r="BA39" s="54" t="n">
        <v>23.5</v>
      </c>
      <c r="BB39" s="54" t="n">
        <v>799.2</v>
      </c>
      <c r="BC39" s="54">
        <f>AQ39+AR39+AS39+AT39+AU39</f>
        <v/>
      </c>
      <c r="BD39" s="54">
        <f>AQ39</f>
        <v/>
      </c>
      <c r="BE39" s="54">
        <f>AQ39+AR39</f>
        <v/>
      </c>
      <c r="BF39" s="54">
        <f>BE39+AS39</f>
        <v/>
      </c>
      <c r="BG39" s="54">
        <f>BF39+AT39</f>
        <v/>
      </c>
      <c r="BH39" s="54">
        <f>BG39+AU39</f>
        <v/>
      </c>
      <c r="BI39" s="54">
        <f>BC39</f>
        <v/>
      </c>
      <c r="BJ39" s="54">
        <f>IF(State!$B$14=1,CHOOSE(State!$B$43+1,D39,BD39,BE39,BF39,BG39,BH39,BI39),BK39)</f>
        <v/>
      </c>
      <c r="BK39" s="54">
        <f>CHOOSE(State!$B$43+1,D39,AJ39,AK39,AL39,AM39,AN39,AO39)</f>
        <v/>
      </c>
      <c r="BL39" s="54">
        <f>IF(State!$B$44=1,H39,0)</f>
        <v/>
      </c>
      <c r="BQ39" s="54">
        <f>D39-AP39</f>
        <v/>
      </c>
      <c r="BR39" s="54">
        <f>BQ39^2</f>
        <v/>
      </c>
      <c r="BS39" s="54">
        <f>(BQ39-BQ38)^2</f>
        <v/>
      </c>
      <c r="BT39" s="54">
        <f>IF(D39&gt;2000,ABS(BQ39)/D39,"")</f>
        <v/>
      </c>
      <c r="BU39" s="54" t="n">
        <v>107</v>
      </c>
      <c r="BV39" s="74" t="n">
        <v>0.5004999999999999</v>
      </c>
      <c r="BW39" s="54" t="n">
        <v>324.9</v>
      </c>
    </row>
    <row r="40">
      <c r="A40" s="73" t="n">
        <v>45172</v>
      </c>
      <c r="B40" s="53">
        <f>YEAR(A40)</f>
        <v/>
      </c>
      <c r="C40" s="53">
        <f>MONTH(A40)</f>
        <v/>
      </c>
      <c r="D40" s="54" t="n">
        <v>169</v>
      </c>
      <c r="E40" s="55" t="n">
        <v>0.7917999999999999</v>
      </c>
      <c r="F40" s="55" t="n">
        <v>1.0282</v>
      </c>
      <c r="G40" s="55" t="n">
        <v>0</v>
      </c>
      <c r="H40" s="54" t="n">
        <v>1.02</v>
      </c>
      <c r="I40" s="54">
        <f>H40+State!$B$6/100*I39</f>
        <v/>
      </c>
      <c r="J40" s="54" t="n">
        <v>64.39</v>
      </c>
      <c r="K40" s="54" t="n">
        <v>596.34</v>
      </c>
      <c r="N40" s="54" t="n">
        <v>0</v>
      </c>
      <c r="O40" s="54" t="n">
        <v>0</v>
      </c>
      <c r="P40" s="54" t="n">
        <v>0</v>
      </c>
      <c r="Q40" s="54" t="n">
        <v>0</v>
      </c>
      <c r="R40" s="54" t="n">
        <v>0.85</v>
      </c>
      <c r="S40" s="54">
        <f>N40+Answers!$C$16/100*S39</f>
        <v/>
      </c>
      <c r="T40" s="54">
        <f>O40+Answers!$C$17/100*T39</f>
        <v/>
      </c>
      <c r="U40" s="54">
        <f>P40+Answers!$C$18/100*U39</f>
        <v/>
      </c>
      <c r="V40" s="54">
        <f>Q40+Answers!$C$19/100*V39</f>
        <v/>
      </c>
      <c r="W40" s="54">
        <f>R40+Answers!$C$20/100*W39</f>
        <v/>
      </c>
      <c r="X40" s="54">
        <f>State!$B$2*E40</f>
        <v/>
      </c>
      <c r="Y40" s="54">
        <f>-State!$B$3*F40</f>
        <v/>
      </c>
      <c r="Z40" s="54">
        <f>State!$B$4*G40</f>
        <v/>
      </c>
      <c r="AA40" s="54">
        <f>State!$B$5*(1-State!$B$6/100)*I40</f>
        <v/>
      </c>
      <c r="AB40" s="54">
        <f>State!$B$7*K40</f>
        <v/>
      </c>
      <c r="AE40" s="54">
        <f>State!$B$8*(1-Answers!$C$16/100)*S40</f>
        <v/>
      </c>
      <c r="AF40" s="54">
        <f>State!$B$9*(1-Answers!$C$17/100)*T40</f>
        <v/>
      </c>
      <c r="AG40" s="54">
        <f>State!$B$10*(1-Answers!$C$18/100)*U40</f>
        <v/>
      </c>
      <c r="AH40" s="54">
        <f>State!$B$11*(1-Answers!$C$19/100)*V40</f>
        <v/>
      </c>
      <c r="AI40" s="54">
        <f>State!$B$12*(1-Answers!$C$20/100)*W40</f>
        <v/>
      </c>
      <c r="AJ40" s="54">
        <f>X40</f>
        <v/>
      </c>
      <c r="AK40" s="54">
        <f>X40+Y40</f>
        <v/>
      </c>
      <c r="AL40" s="54">
        <f>AK40+Z40</f>
        <v/>
      </c>
      <c r="AM40" s="54">
        <f>AL40+AA40</f>
        <v/>
      </c>
      <c r="AN40" s="54">
        <f>AM40+AB40</f>
        <v/>
      </c>
      <c r="AO40" s="54">
        <f>AL40+AE40+AF40+AG40+AH40+AI40+AB40</f>
        <v/>
      </c>
      <c r="AP40" s="54">
        <f>IF(State!$B$46=1,AO40,AN40)</f>
        <v/>
      </c>
      <c r="AQ40" s="54" t="n">
        <v>693.3</v>
      </c>
      <c r="AR40" s="54" t="n">
        <v>-979.3</v>
      </c>
      <c r="AS40" s="54" t="n">
        <v>0</v>
      </c>
      <c r="AT40" s="54" t="n">
        <v>1213.8</v>
      </c>
      <c r="AU40" s="54" t="n">
        <v>372.9</v>
      </c>
      <c r="AX40" s="54" t="n">
        <v>247.9</v>
      </c>
      <c r="AY40" s="54" t="n">
        <v>64.2</v>
      </c>
      <c r="AZ40" s="54" t="n">
        <v>191.5</v>
      </c>
      <c r="BA40" s="54" t="n">
        <v>19.9</v>
      </c>
      <c r="BB40" s="54" t="n">
        <v>690.2</v>
      </c>
      <c r="BC40" s="54">
        <f>AQ40+AR40+AS40+AT40+AU40</f>
        <v/>
      </c>
      <c r="BD40" s="54">
        <f>AQ40</f>
        <v/>
      </c>
      <c r="BE40" s="54">
        <f>AQ40+AR40</f>
        <v/>
      </c>
      <c r="BF40" s="54">
        <f>BE40+AS40</f>
        <v/>
      </c>
      <c r="BG40" s="54">
        <f>BF40+AT40</f>
        <v/>
      </c>
      <c r="BH40" s="54">
        <f>BG40+AU40</f>
        <v/>
      </c>
      <c r="BI40" s="54">
        <f>BC40</f>
        <v/>
      </c>
      <c r="BJ40" s="54">
        <f>IF(State!$B$14=1,CHOOSE(State!$B$43+1,D40,BD40,BE40,BF40,BG40,BH40,BI40),BK40)</f>
        <v/>
      </c>
      <c r="BK40" s="54">
        <f>CHOOSE(State!$B$43+1,D40,AJ40,AK40,AL40,AM40,AN40,AO40)</f>
        <v/>
      </c>
      <c r="BL40" s="54">
        <f>IF(State!$B$44=1,H40,0)</f>
        <v/>
      </c>
      <c r="BQ40" s="54">
        <f>D40-AP40</f>
        <v/>
      </c>
      <c r="BR40" s="54">
        <f>BQ40^2</f>
        <v/>
      </c>
      <c r="BS40" s="54">
        <f>(BQ40-BQ39)^2</f>
        <v/>
      </c>
      <c r="BT40" s="54">
        <f>IF(D40&gt;2000,ABS(BQ40)/D40,"")</f>
        <v/>
      </c>
      <c r="BU40" s="54" t="n">
        <v>150</v>
      </c>
      <c r="BV40" s="74" t="n">
        <v>0.5092</v>
      </c>
      <c r="BW40" s="54" t="n">
        <v>782</v>
      </c>
    </row>
    <row r="41">
      <c r="A41" s="73" t="n">
        <v>45179</v>
      </c>
      <c r="B41" s="53">
        <f>YEAR(A41)</f>
        <v/>
      </c>
      <c r="C41" s="53">
        <f>MONTH(A41)</f>
        <v/>
      </c>
      <c r="D41" s="54" t="n">
        <v>249</v>
      </c>
      <c r="E41" s="55" t="n">
        <v>0.6656</v>
      </c>
      <c r="F41" s="55" t="n">
        <v>1.0282</v>
      </c>
      <c r="G41" s="55" t="n">
        <v>0</v>
      </c>
      <c r="H41" s="54" t="n">
        <v>1.21</v>
      </c>
      <c r="I41" s="54">
        <f>H41+State!$B$6/100*I40</f>
        <v/>
      </c>
      <c r="J41" s="54" t="n">
        <v>87.97</v>
      </c>
      <c r="K41" s="54" t="n">
        <v>978.63</v>
      </c>
      <c r="N41" s="54" t="n">
        <v>0</v>
      </c>
      <c r="O41" s="54" t="n">
        <v>0</v>
      </c>
      <c r="P41" s="54" t="n">
        <v>0</v>
      </c>
      <c r="Q41" s="54" t="n">
        <v>0</v>
      </c>
      <c r="R41" s="54" t="n">
        <v>0.97</v>
      </c>
      <c r="S41" s="54">
        <f>N41+Answers!$C$16/100*S40</f>
        <v/>
      </c>
      <c r="T41" s="54">
        <f>O41+Answers!$C$17/100*T40</f>
        <v/>
      </c>
      <c r="U41" s="54">
        <f>P41+Answers!$C$18/100*U40</f>
        <v/>
      </c>
      <c r="V41" s="54">
        <f>Q41+Answers!$C$19/100*V40</f>
        <v/>
      </c>
      <c r="W41" s="54">
        <f>R41+Answers!$C$20/100*W40</f>
        <v/>
      </c>
      <c r="X41" s="54">
        <f>State!$B$2*E41</f>
        <v/>
      </c>
      <c r="Y41" s="54">
        <f>-State!$B$3*F41</f>
        <v/>
      </c>
      <c r="Z41" s="54">
        <f>State!$B$4*G41</f>
        <v/>
      </c>
      <c r="AA41" s="54">
        <f>State!$B$5*(1-State!$B$6/100)*I41</f>
        <v/>
      </c>
      <c r="AB41" s="54">
        <f>State!$B$7*K41</f>
        <v/>
      </c>
      <c r="AE41" s="54">
        <f>State!$B$8*(1-Answers!$C$16/100)*S41</f>
        <v/>
      </c>
      <c r="AF41" s="54">
        <f>State!$B$9*(1-Answers!$C$17/100)*T41</f>
        <v/>
      </c>
      <c r="AG41" s="54">
        <f>State!$B$10*(1-Answers!$C$18/100)*U41</f>
        <v/>
      </c>
      <c r="AH41" s="54">
        <f>State!$B$11*(1-Answers!$C$19/100)*V41</f>
        <v/>
      </c>
      <c r="AI41" s="54">
        <f>State!$B$12*(1-Answers!$C$20/100)*W41</f>
        <v/>
      </c>
      <c r="AJ41" s="54">
        <f>X41</f>
        <v/>
      </c>
      <c r="AK41" s="54">
        <f>X41+Y41</f>
        <v/>
      </c>
      <c r="AL41" s="54">
        <f>AK41+Z41</f>
        <v/>
      </c>
      <c r="AM41" s="54">
        <f>AL41+AA41</f>
        <v/>
      </c>
      <c r="AN41" s="54">
        <f>AM41+AB41</f>
        <v/>
      </c>
      <c r="AO41" s="54">
        <f>AL41+AE41+AF41+AG41+AH41+AI41+AB41</f>
        <v/>
      </c>
      <c r="AP41" s="54">
        <f>IF(State!$B$46=1,AO41,AN41)</f>
        <v/>
      </c>
      <c r="AQ41" s="54" t="n">
        <v>582.8</v>
      </c>
      <c r="AR41" s="54" t="n">
        <v>-979.3</v>
      </c>
      <c r="AS41" s="54" t="n">
        <v>0</v>
      </c>
      <c r="AT41" s="54" t="n">
        <v>1043.6</v>
      </c>
      <c r="AU41" s="54" t="n">
        <v>680</v>
      </c>
      <c r="AX41" s="54" t="n">
        <v>210.7</v>
      </c>
      <c r="AY41" s="54" t="n">
        <v>54.6</v>
      </c>
      <c r="AZ41" s="54" t="n">
        <v>162.8</v>
      </c>
      <c r="BA41" s="54" t="n">
        <v>17</v>
      </c>
      <c r="BB41" s="54" t="n">
        <v>598.5</v>
      </c>
      <c r="BC41" s="54">
        <f>AQ41+AR41+AS41+AT41+AU41</f>
        <v/>
      </c>
      <c r="BD41" s="54">
        <f>AQ41</f>
        <v/>
      </c>
      <c r="BE41" s="54">
        <f>AQ41+AR41</f>
        <v/>
      </c>
      <c r="BF41" s="54">
        <f>BE41+AS41</f>
        <v/>
      </c>
      <c r="BG41" s="54">
        <f>BF41+AT41</f>
        <v/>
      </c>
      <c r="BH41" s="54">
        <f>BG41+AU41</f>
        <v/>
      </c>
      <c r="BI41" s="54">
        <f>BC41</f>
        <v/>
      </c>
      <c r="BJ41" s="54">
        <f>IF(State!$B$14=1,CHOOSE(State!$B$43+1,D41,BD41,BE41,BF41,BG41,BH41,BI41),BK41)</f>
        <v/>
      </c>
      <c r="BK41" s="54">
        <f>CHOOSE(State!$B$43+1,D41,AJ41,AK41,AL41,AM41,AN41,AO41)</f>
        <v/>
      </c>
      <c r="BL41" s="54">
        <f>IF(State!$B$44=1,H41,0)</f>
        <v/>
      </c>
      <c r="BQ41" s="54">
        <f>D41-AP41</f>
        <v/>
      </c>
      <c r="BR41" s="54">
        <f>BQ41^2</f>
        <v/>
      </c>
      <c r="BS41" s="54">
        <f>(BQ41-BQ40)^2</f>
        <v/>
      </c>
      <c r="BT41" s="54">
        <f>IF(D41&gt;2000,ABS(BQ41)/D41,"")</f>
        <v/>
      </c>
      <c r="BU41" s="54" t="n">
        <v>151</v>
      </c>
      <c r="BV41" s="74" t="n">
        <v>0.5092</v>
      </c>
      <c r="BW41" s="54" t="n">
        <v>1104.7</v>
      </c>
    </row>
    <row r="42">
      <c r="A42" s="73" t="n">
        <v>45186</v>
      </c>
      <c r="B42" s="53">
        <f>YEAR(A42)</f>
        <v/>
      </c>
      <c r="C42" s="53">
        <f>MONTH(A42)</f>
        <v/>
      </c>
      <c r="D42" s="54" t="n">
        <v>312</v>
      </c>
      <c r="E42" s="55" t="n">
        <v>0.6502</v>
      </c>
      <c r="F42" s="55" t="n">
        <v>1.0282</v>
      </c>
      <c r="G42" s="55" t="n">
        <v>0</v>
      </c>
      <c r="H42" s="54" t="n">
        <v>1.18</v>
      </c>
      <c r="I42" s="54">
        <f>H42+State!$B$6/100*I41</f>
        <v/>
      </c>
      <c r="J42" s="54" t="n">
        <v>121.87</v>
      </c>
      <c r="K42" s="54" t="n">
        <v>1193.33</v>
      </c>
      <c r="N42" s="54" t="n">
        <v>0</v>
      </c>
      <c r="O42" s="54" t="n">
        <v>0</v>
      </c>
      <c r="P42" s="54" t="n">
        <v>0</v>
      </c>
      <c r="Q42" s="54" t="n">
        <v>0</v>
      </c>
      <c r="R42" s="54" t="n">
        <v>0.87</v>
      </c>
      <c r="S42" s="54">
        <f>N42+Answers!$C$16/100*S41</f>
        <v/>
      </c>
      <c r="T42" s="54">
        <f>O42+Answers!$C$17/100*T41</f>
        <v/>
      </c>
      <c r="U42" s="54">
        <f>P42+Answers!$C$18/100*U41</f>
        <v/>
      </c>
      <c r="V42" s="54">
        <f>Q42+Answers!$C$19/100*V41</f>
        <v/>
      </c>
      <c r="W42" s="54">
        <f>R42+Answers!$C$20/100*W41</f>
        <v/>
      </c>
      <c r="X42" s="54">
        <f>State!$B$2*E42</f>
        <v/>
      </c>
      <c r="Y42" s="54">
        <f>-State!$B$3*F42</f>
        <v/>
      </c>
      <c r="Z42" s="54">
        <f>State!$B$4*G42</f>
        <v/>
      </c>
      <c r="AA42" s="54">
        <f>State!$B$5*(1-State!$B$6/100)*I42</f>
        <v/>
      </c>
      <c r="AB42" s="54">
        <f>State!$B$7*K42</f>
        <v/>
      </c>
      <c r="AE42" s="54">
        <f>State!$B$8*(1-Answers!$C$16/100)*S42</f>
        <v/>
      </c>
      <c r="AF42" s="54">
        <f>State!$B$9*(1-Answers!$C$17/100)*T42</f>
        <v/>
      </c>
      <c r="AG42" s="54">
        <f>State!$B$10*(1-Answers!$C$18/100)*U42</f>
        <v/>
      </c>
      <c r="AH42" s="54">
        <f>State!$B$11*(1-Answers!$C$19/100)*V42</f>
        <v/>
      </c>
      <c r="AI42" s="54">
        <f>State!$B$12*(1-Answers!$C$20/100)*W42</f>
        <v/>
      </c>
      <c r="AJ42" s="54">
        <f>X42</f>
        <v/>
      </c>
      <c r="AK42" s="54">
        <f>X42+Y42</f>
        <v/>
      </c>
      <c r="AL42" s="54">
        <f>AK42+Z42</f>
        <v/>
      </c>
      <c r="AM42" s="54">
        <f>AL42+AA42</f>
        <v/>
      </c>
      <c r="AN42" s="54">
        <f>AM42+AB42</f>
        <v/>
      </c>
      <c r="AO42" s="54">
        <f>AL42+AE42+AF42+AG42+AH42+AI42+AB42</f>
        <v/>
      </c>
      <c r="AP42" s="54">
        <f>IF(State!$B$46=1,AO42,AN42)</f>
        <v/>
      </c>
      <c r="AQ42" s="54" t="n">
        <v>569.3</v>
      </c>
      <c r="AR42" s="54" t="n">
        <v>-979.3</v>
      </c>
      <c r="AS42" s="54" t="n">
        <v>0</v>
      </c>
      <c r="AT42" s="54" t="n">
        <v>909.7</v>
      </c>
      <c r="AU42" s="54" t="n">
        <v>1147.3</v>
      </c>
      <c r="AX42" s="54" t="n">
        <v>179.1</v>
      </c>
      <c r="AY42" s="54" t="n">
        <v>46.4</v>
      </c>
      <c r="AZ42" s="54" t="n">
        <v>138.4</v>
      </c>
      <c r="BA42" s="54" t="n">
        <v>14.4</v>
      </c>
      <c r="BB42" s="54" t="n">
        <v>531.4</v>
      </c>
      <c r="BC42" s="54">
        <f>AQ42+AR42+AS42+AT42+AU42</f>
        <v/>
      </c>
      <c r="BD42" s="54">
        <f>AQ42</f>
        <v/>
      </c>
      <c r="BE42" s="54">
        <f>AQ42+AR42</f>
        <v/>
      </c>
      <c r="BF42" s="54">
        <f>BE42+AS42</f>
        <v/>
      </c>
      <c r="BG42" s="54">
        <f>BF42+AT42</f>
        <v/>
      </c>
      <c r="BH42" s="54">
        <f>BG42+AU42</f>
        <v/>
      </c>
      <c r="BI42" s="54">
        <f>BC42</f>
        <v/>
      </c>
      <c r="BJ42" s="54">
        <f>IF(State!$B$14=1,CHOOSE(State!$B$43+1,D42,BD42,BE42,BF42,BG42,BH42,BI42),BK42)</f>
        <v/>
      </c>
      <c r="BK42" s="54">
        <f>CHOOSE(State!$B$43+1,D42,AJ42,AK42,AL42,AM42,AN42,AO42)</f>
        <v/>
      </c>
      <c r="BL42" s="54">
        <f>IF(State!$B$44=1,H42,0)</f>
        <v/>
      </c>
      <c r="BQ42" s="54">
        <f>D42-AP42</f>
        <v/>
      </c>
      <c r="BR42" s="54">
        <f>BQ42^2</f>
        <v/>
      </c>
      <c r="BS42" s="54">
        <f>(BQ42-BQ41)^2</f>
        <v/>
      </c>
      <c r="BT42" s="54">
        <f>IF(D42&gt;2000,ABS(BQ42)/D42,"")</f>
        <v/>
      </c>
      <c r="BU42" s="54" t="n">
        <v>196</v>
      </c>
      <c r="BV42" s="74" t="n">
        <v>0.5092</v>
      </c>
      <c r="BW42" s="54" t="n">
        <v>1331.3</v>
      </c>
    </row>
    <row r="43">
      <c r="A43" s="73" t="n">
        <v>45193</v>
      </c>
      <c r="B43" s="53">
        <f>YEAR(A43)</f>
        <v/>
      </c>
      <c r="C43" s="53">
        <f>MONTH(A43)</f>
        <v/>
      </c>
      <c r="D43" s="54" t="n">
        <v>285</v>
      </c>
      <c r="E43" s="55" t="n">
        <v>0.6414</v>
      </c>
      <c r="F43" s="55" t="n">
        <v>1.0282</v>
      </c>
      <c r="G43" s="55" t="n">
        <v>0</v>
      </c>
      <c r="H43" s="54" t="n">
        <v>1.2</v>
      </c>
      <c r="I43" s="54">
        <f>H43+State!$B$6/100*I42</f>
        <v/>
      </c>
      <c r="J43" s="54" t="n">
        <v>111.73</v>
      </c>
      <c r="K43" s="54" t="n">
        <v>949.1900000000001</v>
      </c>
      <c r="N43" s="54" t="n">
        <v>0</v>
      </c>
      <c r="O43" s="54" t="n">
        <v>0</v>
      </c>
      <c r="P43" s="54" t="n">
        <v>0</v>
      </c>
      <c r="Q43" s="54" t="n">
        <v>0</v>
      </c>
      <c r="R43" s="54" t="n">
        <v>0.92</v>
      </c>
      <c r="S43" s="54">
        <f>N43+Answers!$C$16/100*S42</f>
        <v/>
      </c>
      <c r="T43" s="54">
        <f>O43+Answers!$C$17/100*T42</f>
        <v/>
      </c>
      <c r="U43" s="54">
        <f>P43+Answers!$C$18/100*U42</f>
        <v/>
      </c>
      <c r="V43" s="54">
        <f>Q43+Answers!$C$19/100*V42</f>
        <v/>
      </c>
      <c r="W43" s="54">
        <f>R43+Answers!$C$20/100*W42</f>
        <v/>
      </c>
      <c r="X43" s="54">
        <f>State!$B$2*E43</f>
        <v/>
      </c>
      <c r="Y43" s="54">
        <f>-State!$B$3*F43</f>
        <v/>
      </c>
      <c r="Z43" s="54">
        <f>State!$B$4*G43</f>
        <v/>
      </c>
      <c r="AA43" s="54">
        <f>State!$B$5*(1-State!$B$6/100)*I43</f>
        <v/>
      </c>
      <c r="AB43" s="54">
        <f>State!$B$7*K43</f>
        <v/>
      </c>
      <c r="AE43" s="54">
        <f>State!$B$8*(1-Answers!$C$16/100)*S43</f>
        <v/>
      </c>
      <c r="AF43" s="54">
        <f>State!$B$9*(1-Answers!$C$17/100)*T43</f>
        <v/>
      </c>
      <c r="AG43" s="54">
        <f>State!$B$10*(1-Answers!$C$18/100)*U43</f>
        <v/>
      </c>
      <c r="AH43" s="54">
        <f>State!$B$11*(1-Answers!$C$19/100)*V43</f>
        <v/>
      </c>
      <c r="AI43" s="54">
        <f>State!$B$12*(1-Answers!$C$20/100)*W43</f>
        <v/>
      </c>
      <c r="AJ43" s="54">
        <f>X43</f>
        <v/>
      </c>
      <c r="AK43" s="54">
        <f>X43+Y43</f>
        <v/>
      </c>
      <c r="AL43" s="54">
        <f>AK43+Z43</f>
        <v/>
      </c>
      <c r="AM43" s="54">
        <f>AL43+AA43</f>
        <v/>
      </c>
      <c r="AN43" s="54">
        <f>AM43+AB43</f>
        <v/>
      </c>
      <c r="AO43" s="54">
        <f>AL43+AE43+AF43+AG43+AH43+AI43+AB43</f>
        <v/>
      </c>
      <c r="AP43" s="54">
        <f>IF(State!$B$46=1,AO43,AN43)</f>
        <v/>
      </c>
      <c r="AQ43" s="54" t="n">
        <v>561.6</v>
      </c>
      <c r="AR43" s="54" t="n">
        <v>-979.3</v>
      </c>
      <c r="AS43" s="54" t="n">
        <v>0</v>
      </c>
      <c r="AT43" s="54" t="n">
        <v>808.6</v>
      </c>
      <c r="AU43" s="54" t="n">
        <v>1290.6</v>
      </c>
      <c r="AX43" s="54" t="n">
        <v>152.3</v>
      </c>
      <c r="AY43" s="54" t="n">
        <v>39.4</v>
      </c>
      <c r="AZ43" s="54" t="n">
        <v>117.6</v>
      </c>
      <c r="BA43" s="54" t="n">
        <v>12.2</v>
      </c>
      <c r="BB43" s="54" t="n">
        <v>487.1</v>
      </c>
      <c r="BC43" s="54">
        <f>AQ43+AR43+AS43+AT43+AU43</f>
        <v/>
      </c>
      <c r="BD43" s="54">
        <f>AQ43</f>
        <v/>
      </c>
      <c r="BE43" s="54">
        <f>AQ43+AR43</f>
        <v/>
      </c>
      <c r="BF43" s="54">
        <f>BE43+AS43</f>
        <v/>
      </c>
      <c r="BG43" s="54">
        <f>BF43+AT43</f>
        <v/>
      </c>
      <c r="BH43" s="54">
        <f>BG43+AU43</f>
        <v/>
      </c>
      <c r="BI43" s="54">
        <f>BC43</f>
        <v/>
      </c>
      <c r="BJ43" s="54">
        <f>IF(State!$B$14=1,CHOOSE(State!$B$43+1,D43,BD43,BE43,BF43,BG43,BH43,BI43),BK43)</f>
        <v/>
      </c>
      <c r="BK43" s="54">
        <f>CHOOSE(State!$B$43+1,D43,AJ43,AK43,AL43,AM43,AN43,AO43)</f>
        <v/>
      </c>
      <c r="BL43" s="54">
        <f>IF(State!$B$44=1,H43,0)</f>
        <v/>
      </c>
      <c r="BQ43" s="54">
        <f>D43-AP43</f>
        <v/>
      </c>
      <c r="BR43" s="54">
        <f>BQ43^2</f>
        <v/>
      </c>
      <c r="BS43" s="54">
        <f>(BQ43-BQ42)^2</f>
        <v/>
      </c>
      <c r="BT43" s="54">
        <f>IF(D43&gt;2000,ABS(BQ43)/D43,"")</f>
        <v/>
      </c>
      <c r="BU43" s="54" t="n">
        <v>218</v>
      </c>
      <c r="BV43" s="74" t="n">
        <v>0.5102</v>
      </c>
      <c r="BW43" s="54" t="n">
        <v>1103</v>
      </c>
    </row>
    <row r="44">
      <c r="A44" s="73" t="n">
        <v>45200</v>
      </c>
      <c r="B44" s="53">
        <f>YEAR(A44)</f>
        <v/>
      </c>
      <c r="C44" s="53">
        <f>MONTH(A44)</f>
        <v/>
      </c>
      <c r="D44" s="54" t="n">
        <v>400</v>
      </c>
      <c r="E44" s="55" t="n">
        <v>0.6163999999999999</v>
      </c>
      <c r="F44" s="55" t="n">
        <v>1.0282</v>
      </c>
      <c r="G44" s="55" t="n">
        <v>0</v>
      </c>
      <c r="H44" s="54" t="n">
        <v>1.35</v>
      </c>
      <c r="I44" s="54">
        <f>H44+State!$B$6/100*I43</f>
        <v/>
      </c>
      <c r="J44" s="54" t="n">
        <v>165.18</v>
      </c>
      <c r="K44" s="54" t="n">
        <v>614.83</v>
      </c>
      <c r="N44" s="54" t="n">
        <v>0</v>
      </c>
      <c r="O44" s="54" t="n">
        <v>0</v>
      </c>
      <c r="P44" s="54" t="n">
        <v>0</v>
      </c>
      <c r="Q44" s="54" t="n">
        <v>0</v>
      </c>
      <c r="R44" s="54" t="n">
        <v>0.95</v>
      </c>
      <c r="S44" s="54">
        <f>N44+Answers!$C$16/100*S43</f>
        <v/>
      </c>
      <c r="T44" s="54">
        <f>O44+Answers!$C$17/100*T43</f>
        <v/>
      </c>
      <c r="U44" s="54">
        <f>P44+Answers!$C$18/100*U43</f>
        <v/>
      </c>
      <c r="V44" s="54">
        <f>Q44+Answers!$C$19/100*V43</f>
        <v/>
      </c>
      <c r="W44" s="54">
        <f>R44+Answers!$C$20/100*W43</f>
        <v/>
      </c>
      <c r="X44" s="54">
        <f>State!$B$2*E44</f>
        <v/>
      </c>
      <c r="Y44" s="54">
        <f>-State!$B$3*F44</f>
        <v/>
      </c>
      <c r="Z44" s="54">
        <f>State!$B$4*G44</f>
        <v/>
      </c>
      <c r="AA44" s="54">
        <f>State!$B$5*(1-State!$B$6/100)*I44</f>
        <v/>
      </c>
      <c r="AB44" s="54">
        <f>State!$B$7*K44</f>
        <v/>
      </c>
      <c r="AE44" s="54">
        <f>State!$B$8*(1-Answers!$C$16/100)*S44</f>
        <v/>
      </c>
      <c r="AF44" s="54">
        <f>State!$B$9*(1-Answers!$C$17/100)*T44</f>
        <v/>
      </c>
      <c r="AG44" s="54">
        <f>State!$B$10*(1-Answers!$C$18/100)*U44</f>
        <v/>
      </c>
      <c r="AH44" s="54">
        <f>State!$B$11*(1-Answers!$C$19/100)*V44</f>
        <v/>
      </c>
      <c r="AI44" s="54">
        <f>State!$B$12*(1-Answers!$C$20/100)*W44</f>
        <v/>
      </c>
      <c r="AJ44" s="54">
        <f>X44</f>
        <v/>
      </c>
      <c r="AK44" s="54">
        <f>X44+Y44</f>
        <v/>
      </c>
      <c r="AL44" s="54">
        <f>AK44+Z44</f>
        <v/>
      </c>
      <c r="AM44" s="54">
        <f>AL44+AA44</f>
        <v/>
      </c>
      <c r="AN44" s="54">
        <f>AM44+AB44</f>
        <v/>
      </c>
      <c r="AO44" s="54">
        <f>AL44+AE44+AF44+AG44+AH44+AI44+AB44</f>
        <v/>
      </c>
      <c r="AP44" s="54">
        <f>IF(State!$B$46=1,AO44,AN44)</f>
        <v/>
      </c>
      <c r="AQ44" s="54" t="n">
        <v>539.8</v>
      </c>
      <c r="AR44" s="54" t="n">
        <v>-979.3</v>
      </c>
      <c r="AS44" s="54" t="n">
        <v>0</v>
      </c>
      <c r="AT44" s="54" t="n">
        <v>715</v>
      </c>
      <c r="AU44" s="54" t="n">
        <v>1251.5</v>
      </c>
      <c r="AX44" s="54" t="n">
        <v>129.4</v>
      </c>
      <c r="AY44" s="54" t="n">
        <v>33.5</v>
      </c>
      <c r="AZ44" s="54" t="n">
        <v>100</v>
      </c>
      <c r="BA44" s="54" t="n">
        <v>10.4</v>
      </c>
      <c r="BB44" s="54" t="n">
        <v>441.7</v>
      </c>
      <c r="BC44" s="54">
        <f>AQ44+AR44+AS44+AT44+AU44</f>
        <v/>
      </c>
      <c r="BD44" s="54">
        <f>AQ44</f>
        <v/>
      </c>
      <c r="BE44" s="54">
        <f>AQ44+AR44</f>
        <v/>
      </c>
      <c r="BF44" s="54">
        <f>BE44+AS44</f>
        <v/>
      </c>
      <c r="BG44" s="54">
        <f>BF44+AT44</f>
        <v/>
      </c>
      <c r="BH44" s="54">
        <f>BG44+AU44</f>
        <v/>
      </c>
      <c r="BI44" s="54">
        <f>BC44</f>
        <v/>
      </c>
      <c r="BJ44" s="54">
        <f>IF(State!$B$14=1,CHOOSE(State!$B$43+1,D44,BD44,BE44,BF44,BG44,BH44,BI44),BK44)</f>
        <v/>
      </c>
      <c r="BK44" s="54">
        <f>CHOOSE(State!$B$43+1,D44,AJ44,AK44,AL44,AM44,AN44,AO44)</f>
        <v/>
      </c>
      <c r="BL44" s="54">
        <f>IF(State!$B$44=1,H44,0)</f>
        <v/>
      </c>
      <c r="BQ44" s="54">
        <f>D44-AP44</f>
        <v/>
      </c>
      <c r="BR44" s="54">
        <f>BQ44^2</f>
        <v/>
      </c>
      <c r="BS44" s="54">
        <f>(BQ44-BQ43)^2</f>
        <v/>
      </c>
      <c r="BT44" s="54">
        <f>IF(D44&gt;2000,ABS(BQ44)/D44,"")</f>
        <v/>
      </c>
      <c r="BU44" s="54" t="n">
        <v>308</v>
      </c>
      <c r="BV44" s="74" t="n">
        <v>0.5162</v>
      </c>
      <c r="BW44" s="54" t="n">
        <v>742.8</v>
      </c>
    </row>
    <row r="45">
      <c r="A45" s="73" t="n">
        <v>45207</v>
      </c>
      <c r="B45" s="53">
        <f>YEAR(A45)</f>
        <v/>
      </c>
      <c r="C45" s="53">
        <f>MONTH(A45)</f>
        <v/>
      </c>
      <c r="D45" s="54" t="n">
        <v>325</v>
      </c>
      <c r="E45" s="55" t="n">
        <v>0.6185</v>
      </c>
      <c r="F45" s="55" t="n">
        <v>1.0282</v>
      </c>
      <c r="G45" s="55" t="n">
        <v>0</v>
      </c>
      <c r="H45" s="54" t="n">
        <v>0.79</v>
      </c>
      <c r="I45" s="54">
        <f>H45+State!$B$6/100*I44</f>
        <v/>
      </c>
      <c r="J45" s="54" t="n">
        <v>133.8</v>
      </c>
      <c r="K45" s="54" t="n">
        <v>573.01</v>
      </c>
      <c r="N45" s="54" t="n">
        <v>0</v>
      </c>
      <c r="O45" s="54" t="n">
        <v>0</v>
      </c>
      <c r="P45" s="54" t="n">
        <v>0</v>
      </c>
      <c r="Q45" s="54" t="n">
        <v>0</v>
      </c>
      <c r="R45" s="54" t="n">
        <v>0.47</v>
      </c>
      <c r="S45" s="54">
        <f>N45+Answers!$C$16/100*S44</f>
        <v/>
      </c>
      <c r="T45" s="54">
        <f>O45+Answers!$C$17/100*T44</f>
        <v/>
      </c>
      <c r="U45" s="54">
        <f>P45+Answers!$C$18/100*U44</f>
        <v/>
      </c>
      <c r="V45" s="54">
        <f>Q45+Answers!$C$19/100*V44</f>
        <v/>
      </c>
      <c r="W45" s="54">
        <f>R45+Answers!$C$20/100*W44</f>
        <v/>
      </c>
      <c r="X45" s="54">
        <f>State!$B$2*E45</f>
        <v/>
      </c>
      <c r="Y45" s="54">
        <f>-State!$B$3*F45</f>
        <v/>
      </c>
      <c r="Z45" s="54">
        <f>State!$B$4*G45</f>
        <v/>
      </c>
      <c r="AA45" s="54">
        <f>State!$B$5*(1-State!$B$6/100)*I45</f>
        <v/>
      </c>
      <c r="AB45" s="54">
        <f>State!$B$7*K45</f>
        <v/>
      </c>
      <c r="AE45" s="54">
        <f>State!$B$8*(1-Answers!$C$16/100)*S45</f>
        <v/>
      </c>
      <c r="AF45" s="54">
        <f>State!$B$9*(1-Answers!$C$17/100)*T45</f>
        <v/>
      </c>
      <c r="AG45" s="54">
        <f>State!$B$10*(1-Answers!$C$18/100)*U45</f>
        <v/>
      </c>
      <c r="AH45" s="54">
        <f>State!$B$11*(1-Answers!$C$19/100)*V45</f>
        <v/>
      </c>
      <c r="AI45" s="54">
        <f>State!$B$12*(1-Answers!$C$20/100)*W45</f>
        <v/>
      </c>
      <c r="AJ45" s="54">
        <f>X45</f>
        <v/>
      </c>
      <c r="AK45" s="54">
        <f>X45+Y45</f>
        <v/>
      </c>
      <c r="AL45" s="54">
        <f>AK45+Z45</f>
        <v/>
      </c>
      <c r="AM45" s="54">
        <f>AL45+AA45</f>
        <v/>
      </c>
      <c r="AN45" s="54">
        <f>AM45+AB45</f>
        <v/>
      </c>
      <c r="AO45" s="54">
        <f>AL45+AE45+AF45+AG45+AH45+AI45+AB45</f>
        <v/>
      </c>
      <c r="AP45" s="54">
        <f>IF(State!$B$46=1,AO45,AN45)</f>
        <v/>
      </c>
      <c r="AQ45" s="54" t="n">
        <v>541.6</v>
      </c>
      <c r="AR45" s="54" t="n">
        <v>-979.3</v>
      </c>
      <c r="AS45" s="54" t="n">
        <v>0</v>
      </c>
      <c r="AT45" s="54" t="n">
        <v>615.3</v>
      </c>
      <c r="AU45" s="54" t="n">
        <v>2363.9</v>
      </c>
      <c r="AX45" s="54" t="n">
        <v>110</v>
      </c>
      <c r="AY45" s="54" t="n">
        <v>28.5</v>
      </c>
      <c r="AZ45" s="54" t="n">
        <v>85</v>
      </c>
      <c r="BA45" s="54" t="n">
        <v>8.800000000000001</v>
      </c>
      <c r="BB45" s="54" t="n">
        <v>383</v>
      </c>
      <c r="BC45" s="54">
        <f>AQ45+AR45+AS45+AT45+AU45</f>
        <v/>
      </c>
      <c r="BD45" s="54">
        <f>AQ45</f>
        <v/>
      </c>
      <c r="BE45" s="54">
        <f>AQ45+AR45</f>
        <v/>
      </c>
      <c r="BF45" s="54">
        <f>BE45+AS45</f>
        <v/>
      </c>
      <c r="BG45" s="54">
        <f>BF45+AT45</f>
        <v/>
      </c>
      <c r="BH45" s="54">
        <f>BG45+AU45</f>
        <v/>
      </c>
      <c r="BI45" s="54">
        <f>BC45</f>
        <v/>
      </c>
      <c r="BJ45" s="54">
        <f>IF(State!$B$14=1,CHOOSE(State!$B$43+1,D45,BD45,BE45,BF45,BG45,BH45,BI45),BK45)</f>
        <v/>
      </c>
      <c r="BK45" s="54">
        <f>CHOOSE(State!$B$43+1,D45,AJ45,AK45,AL45,AM45,AN45,AO45)</f>
        <v/>
      </c>
      <c r="BL45" s="54">
        <f>IF(State!$B$44=1,H45,0)</f>
        <v/>
      </c>
      <c r="BQ45" s="54">
        <f>D45-AP45</f>
        <v/>
      </c>
      <c r="BR45" s="54">
        <f>BQ45^2</f>
        <v/>
      </c>
      <c r="BS45" s="54">
        <f>(BQ45-BQ44)^2</f>
        <v/>
      </c>
      <c r="BT45" s="54">
        <f>IF(D45&gt;2000,ABS(BQ45)/D45,"")</f>
        <v/>
      </c>
      <c r="BU45" s="54" t="n">
        <v>226</v>
      </c>
      <c r="BV45" s="74" t="n">
        <v>0.5162</v>
      </c>
      <c r="BW45" s="54" t="n">
        <v>649.3</v>
      </c>
    </row>
    <row r="46">
      <c r="A46" s="73" t="n">
        <v>45214</v>
      </c>
      <c r="B46" s="53">
        <f>YEAR(A46)</f>
        <v/>
      </c>
      <c r="C46" s="53">
        <f>MONTH(A46)</f>
        <v/>
      </c>
      <c r="D46" s="54" t="n">
        <v>354</v>
      </c>
      <c r="E46" s="55" t="n">
        <v>0.6203</v>
      </c>
      <c r="F46" s="55" t="n">
        <v>1.0282</v>
      </c>
      <c r="G46" s="55" t="n">
        <v>0</v>
      </c>
      <c r="H46" s="54" t="n">
        <v>0.59</v>
      </c>
      <c r="I46" s="54">
        <f>H46+State!$B$6/100*I45</f>
        <v/>
      </c>
      <c r="J46" s="54" t="n">
        <v>114</v>
      </c>
      <c r="K46" s="54" t="n">
        <v>556.48</v>
      </c>
      <c r="N46" s="54" t="n">
        <v>0</v>
      </c>
      <c r="O46" s="54" t="n">
        <v>0</v>
      </c>
      <c r="P46" s="54" t="n">
        <v>0</v>
      </c>
      <c r="Q46" s="54" t="n">
        <v>0</v>
      </c>
      <c r="R46" s="54" t="n">
        <v>0.24</v>
      </c>
      <c r="S46" s="54">
        <f>N46+Answers!$C$16/100*S45</f>
        <v/>
      </c>
      <c r="T46" s="54">
        <f>O46+Answers!$C$17/100*T45</f>
        <v/>
      </c>
      <c r="U46" s="54">
        <f>P46+Answers!$C$18/100*U45</f>
        <v/>
      </c>
      <c r="V46" s="54">
        <f>Q46+Answers!$C$19/100*V45</f>
        <v/>
      </c>
      <c r="W46" s="54">
        <f>R46+Answers!$C$20/100*W45</f>
        <v/>
      </c>
      <c r="X46" s="54">
        <f>State!$B$2*E46</f>
        <v/>
      </c>
      <c r="Y46" s="54">
        <f>-State!$B$3*F46</f>
        <v/>
      </c>
      <c r="Z46" s="54">
        <f>State!$B$4*G46</f>
        <v/>
      </c>
      <c r="AA46" s="54">
        <f>State!$B$5*(1-State!$B$6/100)*I46</f>
        <v/>
      </c>
      <c r="AB46" s="54">
        <f>State!$B$7*K46</f>
        <v/>
      </c>
      <c r="AE46" s="54">
        <f>State!$B$8*(1-Answers!$C$16/100)*S46</f>
        <v/>
      </c>
      <c r="AF46" s="54">
        <f>State!$B$9*(1-Answers!$C$17/100)*T46</f>
        <v/>
      </c>
      <c r="AG46" s="54">
        <f>State!$B$10*(1-Answers!$C$18/100)*U46</f>
        <v/>
      </c>
      <c r="AH46" s="54">
        <f>State!$B$11*(1-Answers!$C$19/100)*V46</f>
        <v/>
      </c>
      <c r="AI46" s="54">
        <f>State!$B$12*(1-Answers!$C$20/100)*W46</f>
        <v/>
      </c>
      <c r="AJ46" s="54">
        <f>X46</f>
        <v/>
      </c>
      <c r="AK46" s="54">
        <f>X46+Y46</f>
        <v/>
      </c>
      <c r="AL46" s="54">
        <f>AK46+Z46</f>
        <v/>
      </c>
      <c r="AM46" s="54">
        <f>AL46+AA46</f>
        <v/>
      </c>
      <c r="AN46" s="54">
        <f>AM46+AB46</f>
        <v/>
      </c>
      <c r="AO46" s="54">
        <f>AL46+AE46+AF46+AG46+AH46+AI46+AB46</f>
        <v/>
      </c>
      <c r="AP46" s="54">
        <f>IF(State!$B$46=1,AO46,AN46)</f>
        <v/>
      </c>
      <c r="AQ46" s="54" t="n">
        <v>543.2</v>
      </c>
      <c r="AR46" s="54" t="n">
        <v>-979.3</v>
      </c>
      <c r="AS46" s="54" t="n">
        <v>0</v>
      </c>
      <c r="AT46" s="54" t="n">
        <v>542</v>
      </c>
      <c r="AU46" s="54" t="n">
        <v>2202</v>
      </c>
      <c r="AX46" s="54" t="n">
        <v>93.5</v>
      </c>
      <c r="AY46" s="54" t="n">
        <v>24.2</v>
      </c>
      <c r="AZ46" s="54" t="n">
        <v>72.2</v>
      </c>
      <c r="BA46" s="54" t="n">
        <v>7.5</v>
      </c>
      <c r="BB46" s="54" t="n">
        <v>344.5</v>
      </c>
      <c r="BC46" s="54">
        <f>AQ46+AR46+AS46+AT46+AU46</f>
        <v/>
      </c>
      <c r="BD46" s="54">
        <f>AQ46</f>
        <v/>
      </c>
      <c r="BE46" s="54">
        <f>AQ46+AR46</f>
        <v/>
      </c>
      <c r="BF46" s="54">
        <f>BE46+AS46</f>
        <v/>
      </c>
      <c r="BG46" s="54">
        <f>BF46+AT46</f>
        <v/>
      </c>
      <c r="BH46" s="54">
        <f>BG46+AU46</f>
        <v/>
      </c>
      <c r="BI46" s="54">
        <f>BC46</f>
        <v/>
      </c>
      <c r="BJ46" s="54">
        <f>IF(State!$B$14=1,CHOOSE(State!$B$43+1,D46,BD46,BE46,BF46,BG46,BH46,BI46),BK46)</f>
        <v/>
      </c>
      <c r="BK46" s="54">
        <f>CHOOSE(State!$B$43+1,D46,AJ46,AK46,AL46,AM46,AN46,AO46)</f>
        <v/>
      </c>
      <c r="BL46" s="54">
        <f>IF(State!$B$44=1,H46,0)</f>
        <v/>
      </c>
      <c r="BQ46" s="54">
        <f>D46-AP46</f>
        <v/>
      </c>
      <c r="BR46" s="54">
        <f>BQ46^2</f>
        <v/>
      </c>
      <c r="BS46" s="54">
        <f>(BQ46-BQ45)^2</f>
        <v/>
      </c>
      <c r="BT46" s="54">
        <f>IF(D46&gt;2000,ABS(BQ46)/D46,"")</f>
        <v/>
      </c>
      <c r="BU46" s="54" t="n">
        <v>227</v>
      </c>
      <c r="BV46" s="74" t="n">
        <v>0.5162</v>
      </c>
      <c r="BW46" s="54" t="n">
        <v>679.6</v>
      </c>
    </row>
    <row r="47">
      <c r="A47" s="73" t="n">
        <v>45221</v>
      </c>
      <c r="B47" s="53">
        <f>YEAR(A47)</f>
        <v/>
      </c>
      <c r="C47" s="53">
        <f>MONTH(A47)</f>
        <v/>
      </c>
      <c r="D47" s="54" t="n">
        <v>283</v>
      </c>
      <c r="E47" s="55" t="n">
        <v>0.6238</v>
      </c>
      <c r="F47" s="55" t="n">
        <v>1.0282</v>
      </c>
      <c r="G47" s="55" t="n">
        <v>0</v>
      </c>
      <c r="H47" s="54" t="n">
        <v>0.36</v>
      </c>
      <c r="I47" s="54">
        <f>H47+State!$B$6/100*I46</f>
        <v/>
      </c>
      <c r="J47" s="54" t="n">
        <v>114.98</v>
      </c>
      <c r="K47" s="54" t="n">
        <v>203.14</v>
      </c>
      <c r="N47" s="54" t="n">
        <v>0</v>
      </c>
      <c r="O47" s="54" t="n">
        <v>0</v>
      </c>
      <c r="P47" s="54" t="n">
        <v>0</v>
      </c>
      <c r="Q47" s="54" t="n">
        <v>0</v>
      </c>
      <c r="R47" s="54" t="n">
        <v>0.08</v>
      </c>
      <c r="S47" s="54">
        <f>N47+Answers!$C$16/100*S46</f>
        <v/>
      </c>
      <c r="T47" s="54">
        <f>O47+Answers!$C$17/100*T46</f>
        <v/>
      </c>
      <c r="U47" s="54">
        <f>P47+Answers!$C$18/100*U46</f>
        <v/>
      </c>
      <c r="V47" s="54">
        <f>Q47+Answers!$C$19/100*V46</f>
        <v/>
      </c>
      <c r="W47" s="54">
        <f>R47+Answers!$C$20/100*W46</f>
        <v/>
      </c>
      <c r="X47" s="54">
        <f>State!$B$2*E47</f>
        <v/>
      </c>
      <c r="Y47" s="54">
        <f>-State!$B$3*F47</f>
        <v/>
      </c>
      <c r="Z47" s="54">
        <f>State!$B$4*G47</f>
        <v/>
      </c>
      <c r="AA47" s="54">
        <f>State!$B$5*(1-State!$B$6/100)*I47</f>
        <v/>
      </c>
      <c r="AB47" s="54">
        <f>State!$B$7*K47</f>
        <v/>
      </c>
      <c r="AE47" s="54">
        <f>State!$B$8*(1-Answers!$C$16/100)*S47</f>
        <v/>
      </c>
      <c r="AF47" s="54">
        <f>State!$B$9*(1-Answers!$C$17/100)*T47</f>
        <v/>
      </c>
      <c r="AG47" s="54">
        <f>State!$B$10*(1-Answers!$C$18/100)*U47</f>
        <v/>
      </c>
      <c r="AH47" s="54">
        <f>State!$B$11*(1-Answers!$C$19/100)*V47</f>
        <v/>
      </c>
      <c r="AI47" s="54">
        <f>State!$B$12*(1-Answers!$C$20/100)*W47</f>
        <v/>
      </c>
      <c r="AJ47" s="54">
        <f>X47</f>
        <v/>
      </c>
      <c r="AK47" s="54">
        <f>X47+Y47</f>
        <v/>
      </c>
      <c r="AL47" s="54">
        <f>AK47+Z47</f>
        <v/>
      </c>
      <c r="AM47" s="54">
        <f>AL47+AA47</f>
        <v/>
      </c>
      <c r="AN47" s="54">
        <f>AM47+AB47</f>
        <v/>
      </c>
      <c r="AO47" s="54">
        <f>AL47+AE47+AF47+AG47+AH47+AI47+AB47</f>
        <v/>
      </c>
      <c r="AP47" s="54">
        <f>IF(State!$B$46=1,AO47,AN47)</f>
        <v/>
      </c>
      <c r="AQ47" s="54" t="n">
        <v>546.2</v>
      </c>
      <c r="AR47" s="54" t="n">
        <v>-979.3</v>
      </c>
      <c r="AS47" s="54" t="n">
        <v>0</v>
      </c>
      <c r="AT47" s="54" t="n">
        <v>494.5</v>
      </c>
      <c r="AU47" s="54" t="n">
        <v>835.8</v>
      </c>
      <c r="AX47" s="54" t="n">
        <v>79.5</v>
      </c>
      <c r="AY47" s="54" t="n">
        <v>20.6</v>
      </c>
      <c r="AZ47" s="54" t="n">
        <v>61.4</v>
      </c>
      <c r="BA47" s="54" t="n">
        <v>6.4</v>
      </c>
      <c r="BB47" s="54" t="n">
        <v>326.7</v>
      </c>
      <c r="BC47" s="54">
        <f>AQ47+AR47+AS47+AT47+AU47</f>
        <v/>
      </c>
      <c r="BD47" s="54">
        <f>AQ47</f>
        <v/>
      </c>
      <c r="BE47" s="54">
        <f>AQ47+AR47</f>
        <v/>
      </c>
      <c r="BF47" s="54">
        <f>BE47+AS47</f>
        <v/>
      </c>
      <c r="BG47" s="54">
        <f>BF47+AT47</f>
        <v/>
      </c>
      <c r="BH47" s="54">
        <f>BG47+AU47</f>
        <v/>
      </c>
      <c r="BI47" s="54">
        <f>BC47</f>
        <v/>
      </c>
      <c r="BJ47" s="54">
        <f>IF(State!$B$14=1,CHOOSE(State!$B$43+1,D47,BD47,BE47,BF47,BG47,BH47,BI47),BK47)</f>
        <v/>
      </c>
      <c r="BK47" s="54">
        <f>CHOOSE(State!$B$43+1,D47,AJ47,AK47,AL47,AM47,AN47,AO47)</f>
        <v/>
      </c>
      <c r="BL47" s="54">
        <f>IF(State!$B$44=1,H47,0)</f>
        <v/>
      </c>
      <c r="BQ47" s="54">
        <f>D47-AP47</f>
        <v/>
      </c>
      <c r="BR47" s="54">
        <f>BQ47^2</f>
        <v/>
      </c>
      <c r="BS47" s="54">
        <f>(BQ47-BQ46)^2</f>
        <v/>
      </c>
      <c r="BT47" s="54">
        <f>IF(D47&gt;2000,ABS(BQ47)/D47,"")</f>
        <v/>
      </c>
      <c r="BU47" s="54" t="n">
        <v>196</v>
      </c>
      <c r="BV47" s="74" t="n">
        <v>0.5162</v>
      </c>
      <c r="BW47" s="54" t="n">
        <v>383.4</v>
      </c>
    </row>
    <row r="48">
      <c r="A48" s="73" t="n">
        <v>45228</v>
      </c>
      <c r="B48" s="53">
        <f>YEAR(A48)</f>
        <v/>
      </c>
      <c r="C48" s="53">
        <f>MONTH(A48)</f>
        <v/>
      </c>
      <c r="D48" s="54" t="n">
        <v>224</v>
      </c>
      <c r="E48" s="55" t="n">
        <v>0.6286</v>
      </c>
      <c r="F48" s="55" t="n">
        <v>1.0282</v>
      </c>
      <c r="G48" s="55" t="n">
        <v>0</v>
      </c>
      <c r="H48" s="54" t="n">
        <v>0.38</v>
      </c>
      <c r="I48" s="54">
        <f>H48+State!$B$6/100*I47</f>
        <v/>
      </c>
      <c r="J48" s="54" t="n">
        <v>103.71</v>
      </c>
      <c r="K48" s="54" t="n">
        <v>492.82</v>
      </c>
      <c r="N48" s="54" t="n">
        <v>0</v>
      </c>
      <c r="O48" s="54" t="n">
        <v>0</v>
      </c>
      <c r="P48" s="54" t="n">
        <v>0</v>
      </c>
      <c r="Q48" s="54" t="n">
        <v>0</v>
      </c>
      <c r="R48" s="54" t="n">
        <v>0.16</v>
      </c>
      <c r="S48" s="54">
        <f>N48+Answers!$C$16/100*S47</f>
        <v/>
      </c>
      <c r="T48" s="54">
        <f>O48+Answers!$C$17/100*T47</f>
        <v/>
      </c>
      <c r="U48" s="54">
        <f>P48+Answers!$C$18/100*U47</f>
        <v/>
      </c>
      <c r="V48" s="54">
        <f>Q48+Answers!$C$19/100*V47</f>
        <v/>
      </c>
      <c r="W48" s="54">
        <f>R48+Answers!$C$20/100*W47</f>
        <v/>
      </c>
      <c r="X48" s="54">
        <f>State!$B$2*E48</f>
        <v/>
      </c>
      <c r="Y48" s="54">
        <f>-State!$B$3*F48</f>
        <v/>
      </c>
      <c r="Z48" s="54">
        <f>State!$B$4*G48</f>
        <v/>
      </c>
      <c r="AA48" s="54">
        <f>State!$B$5*(1-State!$B$6/100)*I48</f>
        <v/>
      </c>
      <c r="AB48" s="54">
        <f>State!$B$7*K48</f>
        <v/>
      </c>
      <c r="AE48" s="54">
        <f>State!$B$8*(1-Answers!$C$16/100)*S48</f>
        <v/>
      </c>
      <c r="AF48" s="54">
        <f>State!$B$9*(1-Answers!$C$17/100)*T48</f>
        <v/>
      </c>
      <c r="AG48" s="54">
        <f>State!$B$10*(1-Answers!$C$18/100)*U48</f>
        <v/>
      </c>
      <c r="AH48" s="54">
        <f>State!$B$11*(1-Answers!$C$19/100)*V48</f>
        <v/>
      </c>
      <c r="AI48" s="54">
        <f>State!$B$12*(1-Answers!$C$20/100)*W48</f>
        <v/>
      </c>
      <c r="AJ48" s="54">
        <f>X48</f>
        <v/>
      </c>
      <c r="AK48" s="54">
        <f>X48+Y48</f>
        <v/>
      </c>
      <c r="AL48" s="54">
        <f>AK48+Z48</f>
        <v/>
      </c>
      <c r="AM48" s="54">
        <f>AL48+AA48</f>
        <v/>
      </c>
      <c r="AN48" s="54">
        <f>AM48+AB48</f>
        <v/>
      </c>
      <c r="AO48" s="54">
        <f>AL48+AE48+AF48+AG48+AH48+AI48+AB48</f>
        <v/>
      </c>
      <c r="AP48" s="54">
        <f>IF(State!$B$46=1,AO48,AN48)</f>
        <v/>
      </c>
      <c r="AQ48" s="54" t="n">
        <v>550.4</v>
      </c>
      <c r="AR48" s="54" t="n">
        <v>-979.3</v>
      </c>
      <c r="AS48" s="54" t="n">
        <v>0</v>
      </c>
      <c r="AT48" s="54" t="n">
        <v>456.5</v>
      </c>
      <c r="AU48" s="54" t="n">
        <v>1851.2</v>
      </c>
      <c r="AX48" s="54" t="n">
        <v>67.59999999999999</v>
      </c>
      <c r="AY48" s="54" t="n">
        <v>17.5</v>
      </c>
      <c r="AZ48" s="54" t="n">
        <v>52.2</v>
      </c>
      <c r="BA48" s="54" t="n">
        <v>5.4</v>
      </c>
      <c r="BB48" s="54" t="n">
        <v>313.8</v>
      </c>
      <c r="BC48" s="54">
        <f>AQ48+AR48+AS48+AT48+AU48</f>
        <v/>
      </c>
      <c r="BD48" s="54">
        <f>AQ48</f>
        <v/>
      </c>
      <c r="BE48" s="54">
        <f>AQ48+AR48</f>
        <v/>
      </c>
      <c r="BF48" s="54">
        <f>BE48+AS48</f>
        <v/>
      </c>
      <c r="BG48" s="54">
        <f>BF48+AT48</f>
        <v/>
      </c>
      <c r="BH48" s="54">
        <f>BG48+AU48</f>
        <v/>
      </c>
      <c r="BI48" s="54">
        <f>BC48</f>
        <v/>
      </c>
      <c r="BJ48" s="54">
        <f>IF(State!$B$14=1,CHOOSE(State!$B$43+1,D48,BD48,BE48,BF48,BG48,BH48,BI48),BK48)</f>
        <v/>
      </c>
      <c r="BK48" s="54">
        <f>CHOOSE(State!$B$43+1,D48,AJ48,AK48,AL48,AM48,AN48,AO48)</f>
        <v/>
      </c>
      <c r="BL48" s="54">
        <f>IF(State!$B$44=1,H48,0)</f>
        <v/>
      </c>
      <c r="BQ48" s="54">
        <f>D48-AP48</f>
        <v/>
      </c>
      <c r="BR48" s="54">
        <f>BQ48^2</f>
        <v/>
      </c>
      <c r="BS48" s="54">
        <f>(BQ48-BQ47)^2</f>
        <v/>
      </c>
      <c r="BT48" s="54">
        <f>IF(D48&gt;2000,ABS(BQ48)/D48,"")</f>
        <v/>
      </c>
      <c r="BU48" s="54" t="n">
        <v>173</v>
      </c>
      <c r="BV48" s="74" t="n">
        <v>0.5276999999999999</v>
      </c>
      <c r="BW48" s="54" t="n">
        <v>699.9</v>
      </c>
    </row>
    <row r="49">
      <c r="A49" s="73" t="n">
        <v>45235</v>
      </c>
      <c r="B49" s="53">
        <f>YEAR(A49)</f>
        <v/>
      </c>
      <c r="C49" s="53">
        <f>MONTH(A49)</f>
        <v/>
      </c>
      <c r="D49" s="54" t="n">
        <v>199</v>
      </c>
      <c r="E49" s="55" t="n">
        <v>0.6334</v>
      </c>
      <c r="F49" s="55" t="n">
        <v>1.0282</v>
      </c>
      <c r="G49" s="55" t="n">
        <v>0</v>
      </c>
      <c r="H49" s="54" t="n">
        <v>0.31</v>
      </c>
      <c r="I49" s="54">
        <f>H49+State!$B$6/100*I48</f>
        <v/>
      </c>
      <c r="J49" s="54" t="n">
        <v>170.77</v>
      </c>
      <c r="K49" s="54" t="n">
        <v>249.82</v>
      </c>
      <c r="N49" s="54" t="n">
        <v>0</v>
      </c>
      <c r="O49" s="54" t="n">
        <v>0</v>
      </c>
      <c r="P49" s="54" t="n">
        <v>0</v>
      </c>
      <c r="Q49" s="54" t="n">
        <v>0</v>
      </c>
      <c r="R49" s="54" t="n">
        <v>0.11</v>
      </c>
      <c r="S49" s="54">
        <f>N49+Answers!$C$16/100*S48</f>
        <v/>
      </c>
      <c r="T49" s="54">
        <f>O49+Answers!$C$17/100*T48</f>
        <v/>
      </c>
      <c r="U49" s="54">
        <f>P49+Answers!$C$18/100*U48</f>
        <v/>
      </c>
      <c r="V49" s="54">
        <f>Q49+Answers!$C$19/100*V48</f>
        <v/>
      </c>
      <c r="W49" s="54">
        <f>R49+Answers!$C$20/100*W48</f>
        <v/>
      </c>
      <c r="X49" s="54">
        <f>State!$B$2*E49</f>
        <v/>
      </c>
      <c r="Y49" s="54">
        <f>-State!$B$3*F49</f>
        <v/>
      </c>
      <c r="Z49" s="54">
        <f>State!$B$4*G49</f>
        <v/>
      </c>
      <c r="AA49" s="54">
        <f>State!$B$5*(1-State!$B$6/100)*I49</f>
        <v/>
      </c>
      <c r="AB49" s="54">
        <f>State!$B$7*K49</f>
        <v/>
      </c>
      <c r="AE49" s="54">
        <f>State!$B$8*(1-Answers!$C$16/100)*S49</f>
        <v/>
      </c>
      <c r="AF49" s="54">
        <f>State!$B$9*(1-Answers!$C$17/100)*T49</f>
        <v/>
      </c>
      <c r="AG49" s="54">
        <f>State!$B$10*(1-Answers!$C$18/100)*U49</f>
        <v/>
      </c>
      <c r="AH49" s="54">
        <f>State!$B$11*(1-Answers!$C$19/100)*V49</f>
        <v/>
      </c>
      <c r="AI49" s="54">
        <f>State!$B$12*(1-Answers!$C$20/100)*W49</f>
        <v/>
      </c>
      <c r="AJ49" s="54">
        <f>X49</f>
        <v/>
      </c>
      <c r="AK49" s="54">
        <f>X49+Y49</f>
        <v/>
      </c>
      <c r="AL49" s="54">
        <f>AK49+Z49</f>
        <v/>
      </c>
      <c r="AM49" s="54">
        <f>AL49+AA49</f>
        <v/>
      </c>
      <c r="AN49" s="54">
        <f>AM49+AB49</f>
        <v/>
      </c>
      <c r="AO49" s="54">
        <f>AL49+AE49+AF49+AG49+AH49+AI49+AB49</f>
        <v/>
      </c>
      <c r="AP49" s="54">
        <f>IF(State!$B$46=1,AO49,AN49)</f>
        <v/>
      </c>
      <c r="AQ49" s="54" t="n">
        <v>554.6</v>
      </c>
      <c r="AR49" s="54" t="n">
        <v>-979.3</v>
      </c>
      <c r="AS49" s="54" t="n">
        <v>0</v>
      </c>
      <c r="AT49" s="54" t="n">
        <v>392.5</v>
      </c>
      <c r="AU49" s="54" t="n">
        <v>941.4</v>
      </c>
      <c r="AX49" s="54" t="n">
        <v>57.4</v>
      </c>
      <c r="AY49" s="54" t="n">
        <v>14.9</v>
      </c>
      <c r="AZ49" s="54" t="n">
        <v>44.4</v>
      </c>
      <c r="BA49" s="54" t="n">
        <v>4.6</v>
      </c>
      <c r="BB49" s="54" t="n">
        <v>271.3</v>
      </c>
      <c r="BC49" s="54">
        <f>AQ49+AR49+AS49+AT49+AU49</f>
        <v/>
      </c>
      <c r="BD49" s="54">
        <f>AQ49</f>
        <v/>
      </c>
      <c r="BE49" s="54">
        <f>AQ49+AR49</f>
        <v/>
      </c>
      <c r="BF49" s="54">
        <f>BE49+AS49</f>
        <v/>
      </c>
      <c r="BG49" s="54">
        <f>BF49+AT49</f>
        <v/>
      </c>
      <c r="BH49" s="54">
        <f>BG49+AU49</f>
        <v/>
      </c>
      <c r="BI49" s="54">
        <f>BC49</f>
        <v/>
      </c>
      <c r="BJ49" s="54">
        <f>IF(State!$B$14=1,CHOOSE(State!$B$43+1,D49,BD49,BE49,BF49,BG49,BH49,BI49),BK49)</f>
        <v/>
      </c>
      <c r="BK49" s="54">
        <f>CHOOSE(State!$B$43+1,D49,AJ49,AK49,AL49,AM49,AN49,AO49)</f>
        <v/>
      </c>
      <c r="BL49" s="54">
        <f>IF(State!$B$44=1,H49,0)</f>
        <v/>
      </c>
      <c r="BQ49" s="54">
        <f>D49-AP49</f>
        <v/>
      </c>
      <c r="BR49" s="54">
        <f>BQ49^2</f>
        <v/>
      </c>
      <c r="BS49" s="54">
        <f>(BQ49-BQ48)^2</f>
        <v/>
      </c>
      <c r="BT49" s="54">
        <f>IF(D49&gt;2000,ABS(BQ49)/D49,"")</f>
        <v/>
      </c>
      <c r="BU49" s="54" t="n">
        <v>327</v>
      </c>
      <c r="BV49" s="74" t="n">
        <v>0.5322</v>
      </c>
      <c r="BW49" s="54" t="n">
        <v>409.7</v>
      </c>
    </row>
    <row r="50">
      <c r="A50" s="73" t="n">
        <v>45242</v>
      </c>
      <c r="B50" s="53">
        <f>YEAR(A50)</f>
        <v/>
      </c>
      <c r="C50" s="53">
        <f>MONTH(A50)</f>
        <v/>
      </c>
      <c r="D50" s="54" t="n">
        <v>143</v>
      </c>
      <c r="E50" s="55" t="n">
        <v>0.6382</v>
      </c>
      <c r="F50" s="55" t="n">
        <v>1.0282</v>
      </c>
      <c r="G50" s="55" t="n">
        <v>0</v>
      </c>
      <c r="H50" s="54" t="n">
        <v>0.2</v>
      </c>
      <c r="I50" s="54">
        <f>H50+State!$B$6/100*I49</f>
        <v/>
      </c>
      <c r="J50" s="54" t="n">
        <v>153.21</v>
      </c>
      <c r="K50" s="54" t="n">
        <v>202.46</v>
      </c>
      <c r="N50" s="54" t="n">
        <v>0</v>
      </c>
      <c r="O50" s="54" t="n">
        <v>0</v>
      </c>
      <c r="P50" s="54" t="n">
        <v>0</v>
      </c>
      <c r="Q50" s="54" t="n">
        <v>0</v>
      </c>
      <c r="R50" s="54" t="n">
        <v>0.05</v>
      </c>
      <c r="S50" s="54">
        <f>N50+Answers!$C$16/100*S49</f>
        <v/>
      </c>
      <c r="T50" s="54">
        <f>O50+Answers!$C$17/100*T49</f>
        <v/>
      </c>
      <c r="U50" s="54">
        <f>P50+Answers!$C$18/100*U49</f>
        <v/>
      </c>
      <c r="V50" s="54">
        <f>Q50+Answers!$C$19/100*V49</f>
        <v/>
      </c>
      <c r="W50" s="54">
        <f>R50+Answers!$C$20/100*W49</f>
        <v/>
      </c>
      <c r="X50" s="54">
        <f>State!$B$2*E50</f>
        <v/>
      </c>
      <c r="Y50" s="54">
        <f>-State!$B$3*F50</f>
        <v/>
      </c>
      <c r="Z50" s="54">
        <f>State!$B$4*G50</f>
        <v/>
      </c>
      <c r="AA50" s="54">
        <f>State!$B$5*(1-State!$B$6/100)*I50</f>
        <v/>
      </c>
      <c r="AB50" s="54">
        <f>State!$B$7*K50</f>
        <v/>
      </c>
      <c r="AE50" s="54">
        <f>State!$B$8*(1-Answers!$C$16/100)*S50</f>
        <v/>
      </c>
      <c r="AF50" s="54">
        <f>State!$B$9*(1-Answers!$C$17/100)*T50</f>
        <v/>
      </c>
      <c r="AG50" s="54">
        <f>State!$B$10*(1-Answers!$C$18/100)*U50</f>
        <v/>
      </c>
      <c r="AH50" s="54">
        <f>State!$B$11*(1-Answers!$C$19/100)*V50</f>
        <v/>
      </c>
      <c r="AI50" s="54">
        <f>State!$B$12*(1-Answers!$C$20/100)*W50</f>
        <v/>
      </c>
      <c r="AJ50" s="54">
        <f>X50</f>
        <v/>
      </c>
      <c r="AK50" s="54">
        <f>X50+Y50</f>
        <v/>
      </c>
      <c r="AL50" s="54">
        <f>AK50+Z50</f>
        <v/>
      </c>
      <c r="AM50" s="54">
        <f>AL50+AA50</f>
        <v/>
      </c>
      <c r="AN50" s="54">
        <f>AM50+AB50</f>
        <v/>
      </c>
      <c r="AO50" s="54">
        <f>AL50+AE50+AF50+AG50+AH50+AI50+AB50</f>
        <v/>
      </c>
      <c r="AP50" s="54">
        <f>IF(State!$B$46=1,AO50,AN50)</f>
        <v/>
      </c>
      <c r="AQ50" s="54" t="n">
        <v>558.8</v>
      </c>
      <c r="AR50" s="54" t="n">
        <v>-979.3</v>
      </c>
      <c r="AS50" s="54" t="n">
        <v>0</v>
      </c>
      <c r="AT50" s="54" t="n">
        <v>333.8</v>
      </c>
      <c r="AU50" s="54" t="n">
        <v>740.5</v>
      </c>
      <c r="AX50" s="54" t="n">
        <v>48.8</v>
      </c>
      <c r="AY50" s="54" t="n">
        <v>12.6</v>
      </c>
      <c r="AZ50" s="54" t="n">
        <v>37.7</v>
      </c>
      <c r="BA50" s="54" t="n">
        <v>3.9</v>
      </c>
      <c r="BB50" s="54" t="n">
        <v>230.7</v>
      </c>
      <c r="BC50" s="54">
        <f>AQ50+AR50+AS50+AT50+AU50</f>
        <v/>
      </c>
      <c r="BD50" s="54">
        <f>AQ50</f>
        <v/>
      </c>
      <c r="BE50" s="54">
        <f>AQ50+AR50</f>
        <v/>
      </c>
      <c r="BF50" s="54">
        <f>BE50+AS50</f>
        <v/>
      </c>
      <c r="BG50" s="54">
        <f>BF50+AT50</f>
        <v/>
      </c>
      <c r="BH50" s="54">
        <f>BG50+AU50</f>
        <v/>
      </c>
      <c r="BI50" s="54">
        <f>BC50</f>
        <v/>
      </c>
      <c r="BJ50" s="54">
        <f>IF(State!$B$14=1,CHOOSE(State!$B$43+1,D50,BD50,BE50,BF50,BG50,BH50,BI50),BK50)</f>
        <v/>
      </c>
      <c r="BK50" s="54">
        <f>CHOOSE(State!$B$43+1,D50,AJ50,AK50,AL50,AM50,AN50,AO50)</f>
        <v/>
      </c>
      <c r="BL50" s="54">
        <f>IF(State!$B$44=1,H50,0)</f>
        <v/>
      </c>
      <c r="BQ50" s="54">
        <f>D50-AP50</f>
        <v/>
      </c>
      <c r="BR50" s="54">
        <f>BQ50^2</f>
        <v/>
      </c>
      <c r="BS50" s="54">
        <f>(BQ50-BQ49)^2</f>
        <v/>
      </c>
      <c r="BT50" s="54">
        <f>IF(D50&gt;2000,ABS(BQ50)/D50,"")</f>
        <v/>
      </c>
      <c r="BU50" s="54" t="n">
        <v>221</v>
      </c>
      <c r="BV50" s="74" t="n">
        <v>0.5322</v>
      </c>
      <c r="BW50" s="54" t="n">
        <v>363.6</v>
      </c>
    </row>
    <row r="51">
      <c r="A51" s="73" t="n">
        <v>45249</v>
      </c>
      <c r="B51" s="53">
        <f>YEAR(A51)</f>
        <v/>
      </c>
      <c r="C51" s="53">
        <f>MONTH(A51)</f>
        <v/>
      </c>
      <c r="D51" s="54" t="n">
        <v>247</v>
      </c>
      <c r="E51" s="55" t="n">
        <v>0.6413</v>
      </c>
      <c r="F51" s="55" t="n">
        <v>1.0282</v>
      </c>
      <c r="G51" s="55" t="n">
        <v>0</v>
      </c>
      <c r="H51" s="54" t="n">
        <v>0.3</v>
      </c>
      <c r="I51" s="54">
        <f>H51+State!$B$6/100*I50</f>
        <v/>
      </c>
      <c r="J51" s="54" t="n">
        <v>131.3</v>
      </c>
      <c r="K51" s="54" t="n">
        <v>176.48</v>
      </c>
      <c r="N51" s="54" t="n">
        <v>0</v>
      </c>
      <c r="O51" s="54" t="n">
        <v>0</v>
      </c>
      <c r="P51" s="54" t="n">
        <v>0</v>
      </c>
      <c r="Q51" s="54" t="n">
        <v>0</v>
      </c>
      <c r="R51" s="54" t="n">
        <v>0.06</v>
      </c>
      <c r="S51" s="54">
        <f>N51+Answers!$C$16/100*S50</f>
        <v/>
      </c>
      <c r="T51" s="54">
        <f>O51+Answers!$C$17/100*T50</f>
        <v/>
      </c>
      <c r="U51" s="54">
        <f>P51+Answers!$C$18/100*U50</f>
        <v/>
      </c>
      <c r="V51" s="54">
        <f>Q51+Answers!$C$19/100*V50</f>
        <v/>
      </c>
      <c r="W51" s="54">
        <f>R51+Answers!$C$20/100*W50</f>
        <v/>
      </c>
      <c r="X51" s="54">
        <f>State!$B$2*E51</f>
        <v/>
      </c>
      <c r="Y51" s="54">
        <f>-State!$B$3*F51</f>
        <v/>
      </c>
      <c r="Z51" s="54">
        <f>State!$B$4*G51</f>
        <v/>
      </c>
      <c r="AA51" s="54">
        <f>State!$B$5*(1-State!$B$6/100)*I51</f>
        <v/>
      </c>
      <c r="AB51" s="54">
        <f>State!$B$7*K51</f>
        <v/>
      </c>
      <c r="AE51" s="54">
        <f>State!$B$8*(1-Answers!$C$16/100)*S51</f>
        <v/>
      </c>
      <c r="AF51" s="54">
        <f>State!$B$9*(1-Answers!$C$17/100)*T51</f>
        <v/>
      </c>
      <c r="AG51" s="54">
        <f>State!$B$10*(1-Answers!$C$18/100)*U51</f>
        <v/>
      </c>
      <c r="AH51" s="54">
        <f>State!$B$11*(1-Answers!$C$19/100)*V51</f>
        <v/>
      </c>
      <c r="AI51" s="54">
        <f>State!$B$12*(1-Answers!$C$20/100)*W51</f>
        <v/>
      </c>
      <c r="AJ51" s="54">
        <f>X51</f>
        <v/>
      </c>
      <c r="AK51" s="54">
        <f>X51+Y51</f>
        <v/>
      </c>
      <c r="AL51" s="54">
        <f>AK51+Z51</f>
        <v/>
      </c>
      <c r="AM51" s="54">
        <f>AL51+AA51</f>
        <v/>
      </c>
      <c r="AN51" s="54">
        <f>AM51+AB51</f>
        <v/>
      </c>
      <c r="AO51" s="54">
        <f>AL51+AE51+AF51+AG51+AH51+AI51+AB51</f>
        <v/>
      </c>
      <c r="AP51" s="54">
        <f>IF(State!$B$46=1,AO51,AN51)</f>
        <v/>
      </c>
      <c r="AQ51" s="54" t="n">
        <v>561.5</v>
      </c>
      <c r="AR51" s="54" t="n">
        <v>-979.3</v>
      </c>
      <c r="AS51" s="54" t="n">
        <v>0</v>
      </c>
      <c r="AT51" s="54" t="n">
        <v>285.4</v>
      </c>
      <c r="AU51" s="54" t="n">
        <v>629</v>
      </c>
      <c r="AX51" s="54" t="n">
        <v>41.5</v>
      </c>
      <c r="AY51" s="54" t="n">
        <v>10.7</v>
      </c>
      <c r="AZ51" s="54" t="n">
        <v>32</v>
      </c>
      <c r="BA51" s="54" t="n">
        <v>3.3</v>
      </c>
      <c r="BB51" s="54" t="n">
        <v>197.8</v>
      </c>
      <c r="BC51" s="54">
        <f>AQ51+AR51+AS51+AT51+AU51</f>
        <v/>
      </c>
      <c r="BD51" s="54">
        <f>AQ51</f>
        <v/>
      </c>
      <c r="BE51" s="54">
        <f>AQ51+AR51</f>
        <v/>
      </c>
      <c r="BF51" s="54">
        <f>BE51+AS51</f>
        <v/>
      </c>
      <c r="BG51" s="54">
        <f>BF51+AT51</f>
        <v/>
      </c>
      <c r="BH51" s="54">
        <f>BG51+AU51</f>
        <v/>
      </c>
      <c r="BI51" s="54">
        <f>BC51</f>
        <v/>
      </c>
      <c r="BJ51" s="54">
        <f>IF(State!$B$14=1,CHOOSE(State!$B$43+1,D51,BD51,BE51,BF51,BG51,BH51,BI51),BK51)</f>
        <v/>
      </c>
      <c r="BK51" s="54">
        <f>CHOOSE(State!$B$43+1,D51,AJ51,AK51,AL51,AM51,AN51,AO51)</f>
        <v/>
      </c>
      <c r="BL51" s="54">
        <f>IF(State!$B$44=1,H51,0)</f>
        <v/>
      </c>
      <c r="BQ51" s="54">
        <f>D51-AP51</f>
        <v/>
      </c>
      <c r="BR51" s="54">
        <f>BQ51^2</f>
        <v/>
      </c>
      <c r="BS51" s="54">
        <f>(BQ51-BQ50)^2</f>
        <v/>
      </c>
      <c r="BT51" s="54">
        <f>IF(D51&gt;2000,ABS(BQ51)/D51,"")</f>
        <v/>
      </c>
      <c r="BU51" s="54" t="n">
        <v>177</v>
      </c>
      <c r="BV51" s="74" t="n">
        <v>0.5322</v>
      </c>
      <c r="BW51" s="54" t="n">
        <v>277.4</v>
      </c>
    </row>
    <row r="52">
      <c r="A52" s="73" t="n">
        <v>45256</v>
      </c>
      <c r="B52" s="53">
        <f>YEAR(A52)</f>
        <v/>
      </c>
      <c r="C52" s="53">
        <f>MONTH(A52)</f>
        <v/>
      </c>
      <c r="D52" s="54" t="n">
        <v>208</v>
      </c>
      <c r="E52" s="55" t="n">
        <v>0.6452</v>
      </c>
      <c r="F52" s="55" t="n">
        <v>1.0282</v>
      </c>
      <c r="G52" s="55" t="n">
        <v>0</v>
      </c>
      <c r="H52" s="54" t="n">
        <v>0.27</v>
      </c>
      <c r="I52" s="54">
        <f>H52+State!$B$6/100*I51</f>
        <v/>
      </c>
      <c r="J52" s="54" t="n">
        <v>117.03</v>
      </c>
      <c r="K52" s="54" t="n">
        <v>761.87</v>
      </c>
      <c r="N52" s="54" t="n">
        <v>0</v>
      </c>
      <c r="O52" s="54" t="n">
        <v>0</v>
      </c>
      <c r="P52" s="54" t="n">
        <v>0</v>
      </c>
      <c r="Q52" s="54" t="n">
        <v>0</v>
      </c>
      <c r="R52" s="54" t="n">
        <v>0.06</v>
      </c>
      <c r="S52" s="54">
        <f>N52+Answers!$C$16/100*S51</f>
        <v/>
      </c>
      <c r="T52" s="54">
        <f>O52+Answers!$C$17/100*T51</f>
        <v/>
      </c>
      <c r="U52" s="54">
        <f>P52+Answers!$C$18/100*U51</f>
        <v/>
      </c>
      <c r="V52" s="54">
        <f>Q52+Answers!$C$19/100*V51</f>
        <v/>
      </c>
      <c r="W52" s="54">
        <f>R52+Answers!$C$20/100*W51</f>
        <v/>
      </c>
      <c r="X52" s="54">
        <f>State!$B$2*E52</f>
        <v/>
      </c>
      <c r="Y52" s="54">
        <f>-State!$B$3*F52</f>
        <v/>
      </c>
      <c r="Z52" s="54">
        <f>State!$B$4*G52</f>
        <v/>
      </c>
      <c r="AA52" s="54">
        <f>State!$B$5*(1-State!$B$6/100)*I52</f>
        <v/>
      </c>
      <c r="AB52" s="54">
        <f>State!$B$7*K52</f>
        <v/>
      </c>
      <c r="AE52" s="54">
        <f>State!$B$8*(1-Answers!$C$16/100)*S52</f>
        <v/>
      </c>
      <c r="AF52" s="54">
        <f>State!$B$9*(1-Answers!$C$17/100)*T52</f>
        <v/>
      </c>
      <c r="AG52" s="54">
        <f>State!$B$10*(1-Answers!$C$18/100)*U52</f>
        <v/>
      </c>
      <c r="AH52" s="54">
        <f>State!$B$11*(1-Answers!$C$19/100)*V52</f>
        <v/>
      </c>
      <c r="AI52" s="54">
        <f>State!$B$12*(1-Answers!$C$20/100)*W52</f>
        <v/>
      </c>
      <c r="AJ52" s="54">
        <f>X52</f>
        <v/>
      </c>
      <c r="AK52" s="54">
        <f>X52+Y52</f>
        <v/>
      </c>
      <c r="AL52" s="54">
        <f>AK52+Z52</f>
        <v/>
      </c>
      <c r="AM52" s="54">
        <f>AL52+AA52</f>
        <v/>
      </c>
      <c r="AN52" s="54">
        <f>AM52+AB52</f>
        <v/>
      </c>
      <c r="AO52" s="54">
        <f>AL52+AE52+AF52+AG52+AH52+AI52+AB52</f>
        <v/>
      </c>
      <c r="AP52" s="54">
        <f>IF(State!$B$46=1,AO52,AN52)</f>
        <v/>
      </c>
      <c r="AQ52" s="54" t="n">
        <v>565</v>
      </c>
      <c r="AR52" s="54" t="n">
        <v>-979.3</v>
      </c>
      <c r="AS52" s="54" t="n">
        <v>0</v>
      </c>
      <c r="AT52" s="54" t="n">
        <v>245.6</v>
      </c>
      <c r="AU52" s="54" t="n">
        <v>541.7</v>
      </c>
      <c r="AX52" s="54" t="n">
        <v>35.3</v>
      </c>
      <c r="AY52" s="54" t="n">
        <v>9.1</v>
      </c>
      <c r="AZ52" s="54" t="n">
        <v>27.2</v>
      </c>
      <c r="BA52" s="54" t="n">
        <v>2.8</v>
      </c>
      <c r="BB52" s="54" t="n">
        <v>171.1</v>
      </c>
      <c r="BC52" s="54">
        <f>AQ52+AR52+AS52+AT52+AU52</f>
        <v/>
      </c>
      <c r="BD52" s="54">
        <f>AQ52</f>
        <v/>
      </c>
      <c r="BE52" s="54">
        <f>AQ52+AR52</f>
        <v/>
      </c>
      <c r="BF52" s="54">
        <f>BE52+AS52</f>
        <v/>
      </c>
      <c r="BG52" s="54">
        <f>BF52+AT52</f>
        <v/>
      </c>
      <c r="BH52" s="54">
        <f>BG52+AU52</f>
        <v/>
      </c>
      <c r="BI52" s="54">
        <f>BC52</f>
        <v/>
      </c>
      <c r="BJ52" s="54">
        <f>IF(State!$B$14=1,CHOOSE(State!$B$43+1,D52,BD52,BE52,BF52,BG52,BH52,BI52),BK52)</f>
        <v/>
      </c>
      <c r="BK52" s="54">
        <f>CHOOSE(State!$B$43+1,D52,AJ52,AK52,AL52,AM52,AN52,AO52)</f>
        <v/>
      </c>
      <c r="BL52" s="54">
        <f>IF(State!$B$44=1,H52,0)</f>
        <v/>
      </c>
      <c r="BQ52" s="54">
        <f>D52-AP52</f>
        <v/>
      </c>
      <c r="BR52" s="54">
        <f>BQ52^2</f>
        <v/>
      </c>
      <c r="BS52" s="54">
        <f>(BQ52-BQ51)^2</f>
        <v/>
      </c>
      <c r="BT52" s="54">
        <f>IF(D52&gt;2000,ABS(BQ52)/D52,"")</f>
        <v/>
      </c>
      <c r="BU52" s="54" t="n">
        <v>248</v>
      </c>
      <c r="BV52" s="74" t="n">
        <v>0.5379</v>
      </c>
      <c r="BW52" s="54" t="n">
        <v>860.1</v>
      </c>
    </row>
    <row r="53">
      <c r="A53" s="73" t="n">
        <v>45263</v>
      </c>
      <c r="B53" s="53">
        <f>YEAR(A53)</f>
        <v/>
      </c>
      <c r="C53" s="53">
        <f>MONTH(A53)</f>
        <v/>
      </c>
      <c r="D53" s="54" t="n">
        <v>178</v>
      </c>
      <c r="E53" s="55" t="n">
        <v>0.6492</v>
      </c>
      <c r="F53" s="55" t="n">
        <v>1.0282</v>
      </c>
      <c r="G53" s="55" t="n">
        <v>0</v>
      </c>
      <c r="H53" s="54" t="n">
        <v>0.29</v>
      </c>
      <c r="I53" s="54">
        <f>H53+State!$B$6/100*I52</f>
        <v/>
      </c>
      <c r="J53" s="54" t="n">
        <v>128.26</v>
      </c>
      <c r="K53" s="54" t="n">
        <v>239.16</v>
      </c>
      <c r="N53" s="54" t="n">
        <v>0</v>
      </c>
      <c r="O53" s="54" t="n">
        <v>0</v>
      </c>
      <c r="P53" s="54" t="n">
        <v>0</v>
      </c>
      <c r="Q53" s="54" t="n">
        <v>0</v>
      </c>
      <c r="R53" s="54" t="n">
        <v>0.11</v>
      </c>
      <c r="S53" s="54">
        <f>N53+Answers!$C$16/100*S52</f>
        <v/>
      </c>
      <c r="T53" s="54">
        <f>O53+Answers!$C$17/100*T52</f>
        <v/>
      </c>
      <c r="U53" s="54">
        <f>P53+Answers!$C$18/100*U52</f>
        <v/>
      </c>
      <c r="V53" s="54">
        <f>Q53+Answers!$C$19/100*V52</f>
        <v/>
      </c>
      <c r="W53" s="54">
        <f>R53+Answers!$C$20/100*W52</f>
        <v/>
      </c>
      <c r="X53" s="54">
        <f>State!$B$2*E53</f>
        <v/>
      </c>
      <c r="Y53" s="54">
        <f>-State!$B$3*F53</f>
        <v/>
      </c>
      <c r="Z53" s="54">
        <f>State!$B$4*G53</f>
        <v/>
      </c>
      <c r="AA53" s="54">
        <f>State!$B$5*(1-State!$B$6/100)*I53</f>
        <v/>
      </c>
      <c r="AB53" s="54">
        <f>State!$B$7*K53</f>
        <v/>
      </c>
      <c r="AE53" s="54">
        <f>State!$B$8*(1-Answers!$C$16/100)*S53</f>
        <v/>
      </c>
      <c r="AF53" s="54">
        <f>State!$B$9*(1-Answers!$C$17/100)*T53</f>
        <v/>
      </c>
      <c r="AG53" s="54">
        <f>State!$B$10*(1-Answers!$C$18/100)*U53</f>
        <v/>
      </c>
      <c r="AH53" s="54">
        <f>State!$B$11*(1-Answers!$C$19/100)*V53</f>
        <v/>
      </c>
      <c r="AI53" s="54">
        <f>State!$B$12*(1-Answers!$C$20/100)*W53</f>
        <v/>
      </c>
      <c r="AJ53" s="54">
        <f>X53</f>
        <v/>
      </c>
      <c r="AK53" s="54">
        <f>X53+Y53</f>
        <v/>
      </c>
      <c r="AL53" s="54">
        <f>AK53+Z53</f>
        <v/>
      </c>
      <c r="AM53" s="54">
        <f>AL53+AA53</f>
        <v/>
      </c>
      <c r="AN53" s="54">
        <f>AM53+AB53</f>
        <v/>
      </c>
      <c r="AO53" s="54">
        <f>AL53+AE53+AF53+AG53+AH53+AI53+AB53</f>
        <v/>
      </c>
      <c r="AP53" s="54">
        <f>IF(State!$B$46=1,AO53,AN53)</f>
        <v/>
      </c>
      <c r="AQ53" s="54" t="n">
        <v>568.4</v>
      </c>
      <c r="AR53" s="54" t="n">
        <v>-979.3</v>
      </c>
      <c r="AS53" s="54" t="n">
        <v>0</v>
      </c>
      <c r="AT53" s="54" t="n">
        <v>211.9</v>
      </c>
      <c r="AU53" s="54" t="n">
        <v>568.4</v>
      </c>
      <c r="AX53" s="54" t="n">
        <v>30</v>
      </c>
      <c r="AY53" s="54" t="n">
        <v>7.8</v>
      </c>
      <c r="AZ53" s="54" t="n">
        <v>23.2</v>
      </c>
      <c r="BA53" s="54" t="n">
        <v>2.4</v>
      </c>
      <c r="BB53" s="54" t="n">
        <v>148.6</v>
      </c>
      <c r="BC53" s="54">
        <f>AQ53+AR53+AS53+AT53+AU53</f>
        <v/>
      </c>
      <c r="BD53" s="54">
        <f>AQ53</f>
        <v/>
      </c>
      <c r="BE53" s="54">
        <f>AQ53+AR53</f>
        <v/>
      </c>
      <c r="BF53" s="54">
        <f>BE53+AS53</f>
        <v/>
      </c>
      <c r="BG53" s="54">
        <f>BF53+AT53</f>
        <v/>
      </c>
      <c r="BH53" s="54">
        <f>BG53+AU53</f>
        <v/>
      </c>
      <c r="BI53" s="54">
        <f>BC53</f>
        <v/>
      </c>
      <c r="BJ53" s="54">
        <f>IF(State!$B$14=1,CHOOSE(State!$B$43+1,D53,BD53,BE53,BF53,BG53,BH53,BI53),BK53)</f>
        <v/>
      </c>
      <c r="BK53" s="54">
        <f>CHOOSE(State!$B$43+1,D53,AJ53,AK53,AL53,AM53,AN53,AO53)</f>
        <v/>
      </c>
      <c r="BL53" s="54">
        <f>IF(State!$B$44=1,H53,0)</f>
        <v/>
      </c>
      <c r="BQ53" s="54">
        <f>D53-AP53</f>
        <v/>
      </c>
      <c r="BR53" s="54">
        <f>BQ53^2</f>
        <v/>
      </c>
      <c r="BS53" s="54">
        <f>(BQ53-BQ52)^2</f>
        <v/>
      </c>
      <c r="BT53" s="54">
        <f>IF(D53&gt;2000,ABS(BQ53)/D53,"")</f>
        <v/>
      </c>
      <c r="BU53" s="54" t="n">
        <v>283</v>
      </c>
      <c r="BV53" s="74" t="n">
        <v>0.5454</v>
      </c>
      <c r="BW53" s="54" t="n">
        <v>344.4</v>
      </c>
    </row>
    <row r="54">
      <c r="A54" s="73" t="n">
        <v>45270</v>
      </c>
      <c r="B54" s="53">
        <f>YEAR(A54)</f>
        <v/>
      </c>
      <c r="C54" s="53">
        <f>MONTH(A54)</f>
        <v/>
      </c>
      <c r="D54" s="54" t="n">
        <v>156</v>
      </c>
      <c r="E54" s="55" t="n">
        <v>0.6531</v>
      </c>
      <c r="F54" s="55" t="n">
        <v>1.0282</v>
      </c>
      <c r="G54" s="55" t="n">
        <v>0</v>
      </c>
      <c r="H54" s="54" t="n">
        <v>0.43</v>
      </c>
      <c r="I54" s="54">
        <f>H54+State!$B$6/100*I53</f>
        <v/>
      </c>
      <c r="J54" s="54" t="n">
        <v>99.87</v>
      </c>
      <c r="K54" s="54" t="n">
        <v>526.63</v>
      </c>
      <c r="N54" s="54" t="n">
        <v>0</v>
      </c>
      <c r="O54" s="54" t="n">
        <v>0</v>
      </c>
      <c r="P54" s="54" t="n">
        <v>0</v>
      </c>
      <c r="Q54" s="54" t="n">
        <v>0</v>
      </c>
      <c r="R54" s="54" t="n">
        <v>0.27</v>
      </c>
      <c r="S54" s="54">
        <f>N54+Answers!$C$16/100*S53</f>
        <v/>
      </c>
      <c r="T54" s="54">
        <f>O54+Answers!$C$17/100*T53</f>
        <v/>
      </c>
      <c r="U54" s="54">
        <f>P54+Answers!$C$18/100*U53</f>
        <v/>
      </c>
      <c r="V54" s="54">
        <f>Q54+Answers!$C$19/100*V53</f>
        <v/>
      </c>
      <c r="W54" s="54">
        <f>R54+Answers!$C$20/100*W53</f>
        <v/>
      </c>
      <c r="X54" s="54">
        <f>State!$B$2*E54</f>
        <v/>
      </c>
      <c r="Y54" s="54">
        <f>-State!$B$3*F54</f>
        <v/>
      </c>
      <c r="Z54" s="54">
        <f>State!$B$4*G54</f>
        <v/>
      </c>
      <c r="AA54" s="54">
        <f>State!$B$5*(1-State!$B$6/100)*I54</f>
        <v/>
      </c>
      <c r="AB54" s="54">
        <f>State!$B$7*K54</f>
        <v/>
      </c>
      <c r="AE54" s="54">
        <f>State!$B$8*(1-Answers!$C$16/100)*S54</f>
        <v/>
      </c>
      <c r="AF54" s="54">
        <f>State!$B$9*(1-Answers!$C$17/100)*T54</f>
        <v/>
      </c>
      <c r="AG54" s="54">
        <f>State!$B$10*(1-Answers!$C$18/100)*U54</f>
        <v/>
      </c>
      <c r="AH54" s="54">
        <f>State!$B$11*(1-Answers!$C$19/100)*V54</f>
        <v/>
      </c>
      <c r="AI54" s="54">
        <f>State!$B$12*(1-Answers!$C$20/100)*W54</f>
        <v/>
      </c>
      <c r="AJ54" s="54">
        <f>X54</f>
        <v/>
      </c>
      <c r="AK54" s="54">
        <f>X54+Y54</f>
        <v/>
      </c>
      <c r="AL54" s="54">
        <f>AK54+Z54</f>
        <v/>
      </c>
      <c r="AM54" s="54">
        <f>AL54+AA54</f>
        <v/>
      </c>
      <c r="AN54" s="54">
        <f>AM54+AB54</f>
        <v/>
      </c>
      <c r="AO54" s="54">
        <f>AL54+AE54+AF54+AG54+AH54+AI54+AB54</f>
        <v/>
      </c>
      <c r="AP54" s="54">
        <f>IF(State!$B$46=1,AO54,AN54)</f>
        <v/>
      </c>
      <c r="AQ54" s="54" t="n">
        <v>571.9</v>
      </c>
      <c r="AR54" s="54" t="n">
        <v>-979.3</v>
      </c>
      <c r="AS54" s="54" t="n">
        <v>0</v>
      </c>
      <c r="AT54" s="54" t="n">
        <v>185.7</v>
      </c>
      <c r="AU54" s="54" t="n">
        <v>347.8</v>
      </c>
      <c r="AX54" s="54" t="n">
        <v>25.5</v>
      </c>
      <c r="AY54" s="54" t="n">
        <v>6.6</v>
      </c>
      <c r="AZ54" s="54" t="n">
        <v>19.7</v>
      </c>
      <c r="BA54" s="54" t="n">
        <v>2</v>
      </c>
      <c r="BB54" s="54" t="n">
        <v>131.9</v>
      </c>
      <c r="BC54" s="54">
        <f>AQ54+AR54+AS54+AT54+AU54</f>
        <v/>
      </c>
      <c r="BD54" s="54">
        <f>AQ54</f>
        <v/>
      </c>
      <c r="BE54" s="54">
        <f>AQ54+AR54</f>
        <v/>
      </c>
      <c r="BF54" s="54">
        <f>BE54+AS54</f>
        <v/>
      </c>
      <c r="BG54" s="54">
        <f>BF54+AT54</f>
        <v/>
      </c>
      <c r="BH54" s="54">
        <f>BG54+AU54</f>
        <v/>
      </c>
      <c r="BI54" s="54">
        <f>BC54</f>
        <v/>
      </c>
      <c r="BJ54" s="54">
        <f>IF(State!$B$14=1,CHOOSE(State!$B$43+1,D54,BD54,BE54,BF54,BG54,BH54,BI54),BK54)</f>
        <v/>
      </c>
      <c r="BK54" s="54">
        <f>CHOOSE(State!$B$43+1,D54,AJ54,AK54,AL54,AM54,AN54,AO54)</f>
        <v/>
      </c>
      <c r="BL54" s="54">
        <f>IF(State!$B$44=1,H54,0)</f>
        <v/>
      </c>
      <c r="BQ54" s="54">
        <f>D54-AP54</f>
        <v/>
      </c>
      <c r="BR54" s="54">
        <f>BQ54^2</f>
        <v/>
      </c>
      <c r="BS54" s="54">
        <f>(BQ54-BQ53)^2</f>
        <v/>
      </c>
      <c r="BT54" s="54">
        <f>IF(D54&gt;2000,ABS(BQ54)/D54,"")</f>
        <v/>
      </c>
      <c r="BU54" s="54" t="n">
        <v>275</v>
      </c>
      <c r="BV54" s="74" t="n">
        <v>0.5454</v>
      </c>
      <c r="BW54" s="54" t="n">
        <v>638.2</v>
      </c>
    </row>
    <row r="55">
      <c r="A55" s="73" t="n">
        <v>45277</v>
      </c>
      <c r="B55" s="53">
        <f>YEAR(A55)</f>
        <v/>
      </c>
      <c r="C55" s="53">
        <f>MONTH(A55)</f>
        <v/>
      </c>
      <c r="D55" s="54" t="n">
        <v>165</v>
      </c>
      <c r="E55" s="55" t="n">
        <v>0.6634</v>
      </c>
      <c r="F55" s="55" t="n">
        <v>1.0282</v>
      </c>
      <c r="G55" s="55" t="n">
        <v>0</v>
      </c>
      <c r="H55" s="54" t="n">
        <v>0.58</v>
      </c>
      <c r="I55" s="54">
        <f>H55+State!$B$6/100*I54</f>
        <v/>
      </c>
      <c r="J55" s="54" t="n">
        <v>105.69</v>
      </c>
      <c r="K55" s="54" t="n">
        <v>115.34</v>
      </c>
      <c r="N55" s="54" t="n">
        <v>0</v>
      </c>
      <c r="O55" s="54" t="n">
        <v>0</v>
      </c>
      <c r="P55" s="54" t="n">
        <v>0</v>
      </c>
      <c r="Q55" s="54" t="n">
        <v>0</v>
      </c>
      <c r="R55" s="54" t="n">
        <v>0.41</v>
      </c>
      <c r="S55" s="54">
        <f>N55+Answers!$C$16/100*S54</f>
        <v/>
      </c>
      <c r="T55" s="54">
        <f>O55+Answers!$C$17/100*T54</f>
        <v/>
      </c>
      <c r="U55" s="54">
        <f>P55+Answers!$C$18/100*U54</f>
        <v/>
      </c>
      <c r="V55" s="54">
        <f>Q55+Answers!$C$19/100*V54</f>
        <v/>
      </c>
      <c r="W55" s="54">
        <f>R55+Answers!$C$20/100*W54</f>
        <v/>
      </c>
      <c r="X55" s="54">
        <f>State!$B$2*E55</f>
        <v/>
      </c>
      <c r="Y55" s="54">
        <f>-State!$B$3*F55</f>
        <v/>
      </c>
      <c r="Z55" s="54">
        <f>State!$B$4*G55</f>
        <v/>
      </c>
      <c r="AA55" s="54">
        <f>State!$B$5*(1-State!$B$6/100)*I55</f>
        <v/>
      </c>
      <c r="AB55" s="54">
        <f>State!$B$7*K55</f>
        <v/>
      </c>
      <c r="AE55" s="54">
        <f>State!$B$8*(1-Answers!$C$16/100)*S55</f>
        <v/>
      </c>
      <c r="AF55" s="54">
        <f>State!$B$9*(1-Answers!$C$17/100)*T55</f>
        <v/>
      </c>
      <c r="AG55" s="54">
        <f>State!$B$10*(1-Answers!$C$18/100)*U55</f>
        <v/>
      </c>
      <c r="AH55" s="54">
        <f>State!$B$11*(1-Answers!$C$19/100)*V55</f>
        <v/>
      </c>
      <c r="AI55" s="54">
        <f>State!$B$12*(1-Answers!$C$20/100)*W55</f>
        <v/>
      </c>
      <c r="AJ55" s="54">
        <f>X55</f>
        <v/>
      </c>
      <c r="AK55" s="54">
        <f>X55+Y55</f>
        <v/>
      </c>
      <c r="AL55" s="54">
        <f>AK55+Z55</f>
        <v/>
      </c>
      <c r="AM55" s="54">
        <f>AL55+AA55</f>
        <v/>
      </c>
      <c r="AN55" s="54">
        <f>AM55+AB55</f>
        <v/>
      </c>
      <c r="AO55" s="54">
        <f>AL55+AE55+AF55+AG55+AH55+AI55+AB55</f>
        <v/>
      </c>
      <c r="AP55" s="54">
        <f>IF(State!$B$46=1,AO55,AN55)</f>
        <v/>
      </c>
      <c r="AQ55" s="54" t="n">
        <v>580.9</v>
      </c>
      <c r="AR55" s="54" t="n">
        <v>-979.3</v>
      </c>
      <c r="AS55" s="54" t="n">
        <v>0</v>
      </c>
      <c r="AT55" s="54" t="n">
        <v>163</v>
      </c>
      <c r="AU55" s="54" t="n">
        <v>363</v>
      </c>
      <c r="AX55" s="54" t="n">
        <v>21.7</v>
      </c>
      <c r="AY55" s="54" t="n">
        <v>5.6</v>
      </c>
      <c r="AZ55" s="54" t="n">
        <v>16.7</v>
      </c>
      <c r="BA55" s="54" t="n">
        <v>1.7</v>
      </c>
      <c r="BB55" s="54" t="n">
        <v>117.3</v>
      </c>
      <c r="BC55" s="54">
        <f>AQ55+AR55+AS55+AT55+AU55</f>
        <v/>
      </c>
      <c r="BD55" s="54">
        <f>AQ55</f>
        <v/>
      </c>
      <c r="BE55" s="54">
        <f>AQ55+AR55</f>
        <v/>
      </c>
      <c r="BF55" s="54">
        <f>BE55+AS55</f>
        <v/>
      </c>
      <c r="BG55" s="54">
        <f>BF55+AT55</f>
        <v/>
      </c>
      <c r="BH55" s="54">
        <f>BG55+AU55</f>
        <v/>
      </c>
      <c r="BI55" s="54">
        <f>BC55</f>
        <v/>
      </c>
      <c r="BJ55" s="54">
        <f>IF(State!$B$14=1,CHOOSE(State!$B$43+1,D55,BD55,BE55,BF55,BG55,BH55,BI55),BK55)</f>
        <v/>
      </c>
      <c r="BK55" s="54">
        <f>CHOOSE(State!$B$43+1,D55,AJ55,AK55,AL55,AM55,AN55,AO55)</f>
        <v/>
      </c>
      <c r="BL55" s="54">
        <f>IF(State!$B$44=1,H55,0)</f>
        <v/>
      </c>
      <c r="BQ55" s="54">
        <f>D55-AP55</f>
        <v/>
      </c>
      <c r="BR55" s="54">
        <f>BQ55^2</f>
        <v/>
      </c>
      <c r="BS55" s="54">
        <f>(BQ55-BQ54)^2</f>
        <v/>
      </c>
      <c r="BT55" s="54">
        <f>IF(D55&gt;2000,ABS(BQ55)/D55,"")</f>
        <v/>
      </c>
      <c r="BU55" s="54" t="n">
        <v>218</v>
      </c>
      <c r="BV55" s="74" t="n">
        <v>0.5454</v>
      </c>
      <c r="BW55" s="54" t="n">
        <v>307</v>
      </c>
    </row>
    <row r="56">
      <c r="A56" s="73" t="n">
        <v>45284</v>
      </c>
      <c r="B56" s="53">
        <f>YEAR(A56)</f>
        <v/>
      </c>
      <c r="C56" s="53">
        <f>MONTH(A56)</f>
        <v/>
      </c>
      <c r="D56" s="54" t="n">
        <v>424</v>
      </c>
      <c r="E56" s="55" t="n">
        <v>0.6454</v>
      </c>
      <c r="F56" s="55" t="n">
        <v>1.0282</v>
      </c>
      <c r="G56" s="55" t="n">
        <v>0</v>
      </c>
      <c r="H56" s="54" t="n">
        <v>7.62</v>
      </c>
      <c r="I56" s="54">
        <f>H56+State!$B$6/100*I55</f>
        <v/>
      </c>
      <c r="J56" s="54" t="n">
        <v>99.13</v>
      </c>
      <c r="K56" s="54" t="n">
        <v>107.84</v>
      </c>
      <c r="N56" s="54" t="n">
        <v>0</v>
      </c>
      <c r="O56" s="54" t="n">
        <v>0</v>
      </c>
      <c r="P56" s="54" t="n">
        <v>0</v>
      </c>
      <c r="Q56" s="54" t="n">
        <v>0</v>
      </c>
      <c r="R56" s="54" t="n">
        <v>7.2</v>
      </c>
      <c r="S56" s="54">
        <f>N56+Answers!$C$16/100*S55</f>
        <v/>
      </c>
      <c r="T56" s="54">
        <f>O56+Answers!$C$17/100*T55</f>
        <v/>
      </c>
      <c r="U56" s="54">
        <f>P56+Answers!$C$18/100*U55</f>
        <v/>
      </c>
      <c r="V56" s="54">
        <f>Q56+Answers!$C$19/100*V55</f>
        <v/>
      </c>
      <c r="W56" s="54">
        <f>R56+Answers!$C$20/100*W55</f>
        <v/>
      </c>
      <c r="X56" s="54">
        <f>State!$B$2*E56</f>
        <v/>
      </c>
      <c r="Y56" s="54">
        <f>-State!$B$3*F56</f>
        <v/>
      </c>
      <c r="Z56" s="54">
        <f>State!$B$4*G56</f>
        <v/>
      </c>
      <c r="AA56" s="54">
        <f>State!$B$5*(1-State!$B$6/100)*I56</f>
        <v/>
      </c>
      <c r="AB56" s="54">
        <f>State!$B$7*K56</f>
        <v/>
      </c>
      <c r="AE56" s="54">
        <f>State!$B$8*(1-Answers!$C$16/100)*S56</f>
        <v/>
      </c>
      <c r="AF56" s="54">
        <f>State!$B$9*(1-Answers!$C$17/100)*T56</f>
        <v/>
      </c>
      <c r="AG56" s="54">
        <f>State!$B$10*(1-Answers!$C$18/100)*U56</f>
        <v/>
      </c>
      <c r="AH56" s="54">
        <f>State!$B$11*(1-Answers!$C$19/100)*V56</f>
        <v/>
      </c>
      <c r="AI56" s="54">
        <f>State!$B$12*(1-Answers!$C$20/100)*W56</f>
        <v/>
      </c>
      <c r="AJ56" s="54">
        <f>X56</f>
        <v/>
      </c>
      <c r="AK56" s="54">
        <f>X56+Y56</f>
        <v/>
      </c>
      <c r="AL56" s="54">
        <f>AK56+Z56</f>
        <v/>
      </c>
      <c r="AM56" s="54">
        <f>AL56+AA56</f>
        <v/>
      </c>
      <c r="AN56" s="54">
        <f>AM56+AB56</f>
        <v/>
      </c>
      <c r="AO56" s="54">
        <f>AL56+AE56+AF56+AG56+AH56+AI56+AB56</f>
        <v/>
      </c>
      <c r="AP56" s="54">
        <f>IF(State!$B$46=1,AO56,AN56)</f>
        <v/>
      </c>
      <c r="AQ56" s="54" t="n">
        <v>565.1</v>
      </c>
      <c r="AR56" s="54" t="n">
        <v>-979.3</v>
      </c>
      <c r="AS56" s="54" t="n">
        <v>0</v>
      </c>
      <c r="AT56" s="54" t="n">
        <v>155.1</v>
      </c>
      <c r="AU56" s="54" t="n">
        <v>342.3</v>
      </c>
      <c r="AX56" s="54" t="n">
        <v>18.4</v>
      </c>
      <c r="AY56" s="54" t="n">
        <v>4.8</v>
      </c>
      <c r="AZ56" s="54" t="n">
        <v>14.2</v>
      </c>
      <c r="BA56" s="54" t="n">
        <v>1.5</v>
      </c>
      <c r="BB56" s="54" t="n">
        <v>116.2</v>
      </c>
      <c r="BC56" s="54">
        <f>AQ56+AR56+AS56+AT56+AU56</f>
        <v/>
      </c>
      <c r="BD56" s="54">
        <f>AQ56</f>
        <v/>
      </c>
      <c r="BE56" s="54">
        <f>AQ56+AR56</f>
        <v/>
      </c>
      <c r="BF56" s="54">
        <f>BE56+AS56</f>
        <v/>
      </c>
      <c r="BG56" s="54">
        <f>BF56+AT56</f>
        <v/>
      </c>
      <c r="BH56" s="54">
        <f>BG56+AU56</f>
        <v/>
      </c>
      <c r="BI56" s="54">
        <f>BC56</f>
        <v/>
      </c>
      <c r="BJ56" s="54">
        <f>IF(State!$B$14=1,CHOOSE(State!$B$43+1,D56,BD56,BE56,BF56,BG56,BH56,BI56),BK56)</f>
        <v/>
      </c>
      <c r="BK56" s="54">
        <f>CHOOSE(State!$B$43+1,D56,AJ56,AK56,AL56,AM56,AN56,AO56)</f>
        <v/>
      </c>
      <c r="BL56" s="54">
        <f>IF(State!$B$44=1,H56,0)</f>
        <v/>
      </c>
      <c r="BQ56" s="54">
        <f>D56-AP56</f>
        <v/>
      </c>
      <c r="BR56" s="54">
        <f>BQ56^2</f>
        <v/>
      </c>
      <c r="BS56" s="54">
        <f>(BQ56-BQ55)^2</f>
        <v/>
      </c>
      <c r="BT56" s="54">
        <f>IF(D56&gt;2000,ABS(BQ56)/D56,"")</f>
        <v/>
      </c>
      <c r="BU56" s="54" t="n">
        <v>239</v>
      </c>
      <c r="BV56" s="74" t="n">
        <v>0.5454</v>
      </c>
      <c r="BW56" s="54" t="n">
        <v>177.6</v>
      </c>
    </row>
    <row r="57">
      <c r="A57" s="73" t="n">
        <v>45291</v>
      </c>
      <c r="B57" s="53">
        <f>YEAR(A57)</f>
        <v/>
      </c>
      <c r="C57" s="53">
        <f>MONTH(A57)</f>
        <v/>
      </c>
      <c r="D57" s="54" t="n">
        <v>2911</v>
      </c>
      <c r="E57" s="55" t="n">
        <v>0.6434</v>
      </c>
      <c r="F57" s="55" t="n">
        <v>0.1211</v>
      </c>
      <c r="G57" s="55" t="n">
        <v>0.7291</v>
      </c>
      <c r="H57" s="54" t="n">
        <v>49.28</v>
      </c>
      <c r="I57" s="54">
        <f>H57+State!$B$6/100*I56</f>
        <v/>
      </c>
      <c r="J57" s="54" t="n">
        <v>103.36</v>
      </c>
      <c r="K57" s="54" t="n">
        <v>112.45</v>
      </c>
      <c r="N57" s="54" t="n">
        <v>0</v>
      </c>
      <c r="O57" s="54" t="n">
        <v>0</v>
      </c>
      <c r="P57" s="54" t="n">
        <v>14.23</v>
      </c>
      <c r="Q57" s="54" t="n">
        <v>0</v>
      </c>
      <c r="R57" s="54" t="n">
        <v>32.14</v>
      </c>
      <c r="S57" s="54">
        <f>N57+Answers!$C$16/100*S56</f>
        <v/>
      </c>
      <c r="T57" s="54">
        <f>O57+Answers!$C$17/100*T56</f>
        <v/>
      </c>
      <c r="U57" s="54">
        <f>P57+Answers!$C$18/100*U56</f>
        <v/>
      </c>
      <c r="V57" s="54">
        <f>Q57+Answers!$C$19/100*V56</f>
        <v/>
      </c>
      <c r="W57" s="54">
        <f>R57+Answers!$C$20/100*W56</f>
        <v/>
      </c>
      <c r="X57" s="54">
        <f>State!$B$2*E57</f>
        <v/>
      </c>
      <c r="Y57" s="54">
        <f>-State!$B$3*F57</f>
        <v/>
      </c>
      <c r="Z57" s="54">
        <f>State!$B$4*G57</f>
        <v/>
      </c>
      <c r="AA57" s="54">
        <f>State!$B$5*(1-State!$B$6/100)*I57</f>
        <v/>
      </c>
      <c r="AB57" s="54">
        <f>State!$B$7*K57</f>
        <v/>
      </c>
      <c r="AE57" s="54">
        <f>State!$B$8*(1-Answers!$C$16/100)*S57</f>
        <v/>
      </c>
      <c r="AF57" s="54">
        <f>State!$B$9*(1-Answers!$C$17/100)*T57</f>
        <v/>
      </c>
      <c r="AG57" s="54">
        <f>State!$B$10*(1-Answers!$C$18/100)*U57</f>
        <v/>
      </c>
      <c r="AH57" s="54">
        <f>State!$B$11*(1-Answers!$C$19/100)*V57</f>
        <v/>
      </c>
      <c r="AI57" s="54">
        <f>State!$B$12*(1-Answers!$C$20/100)*W57</f>
        <v/>
      </c>
      <c r="AJ57" s="54">
        <f>X57</f>
        <v/>
      </c>
      <c r="AK57" s="54">
        <f>X57+Y57</f>
        <v/>
      </c>
      <c r="AL57" s="54">
        <f>AK57+Z57</f>
        <v/>
      </c>
      <c r="AM57" s="54">
        <f>AL57+AA57</f>
        <v/>
      </c>
      <c r="AN57" s="54">
        <f>AM57+AB57</f>
        <v/>
      </c>
      <c r="AO57" s="54">
        <f>AL57+AE57+AF57+AG57+AH57+AI57+AB57</f>
        <v/>
      </c>
      <c r="AP57" s="54">
        <f>IF(State!$B$46=1,AO57,AN57)</f>
        <v/>
      </c>
      <c r="AQ57" s="54" t="n">
        <v>563.4</v>
      </c>
      <c r="AR57" s="54" t="n">
        <v>-115.3</v>
      </c>
      <c r="AS57" s="54" t="n">
        <v>5539.2</v>
      </c>
      <c r="AT57" s="54" t="n">
        <v>243.8</v>
      </c>
      <c r="AU57" s="54" t="n">
        <v>361.5</v>
      </c>
      <c r="AX57" s="54" t="n">
        <v>15.6</v>
      </c>
      <c r="AY57" s="54" t="n">
        <v>4.1</v>
      </c>
      <c r="AZ57" s="54" t="n">
        <v>49.4</v>
      </c>
      <c r="BA57" s="54" t="n">
        <v>1.3</v>
      </c>
      <c r="BB57" s="54" t="n">
        <v>173.5</v>
      </c>
      <c r="BC57" s="54">
        <f>AQ57+AR57+AS57+AT57+AU57</f>
        <v/>
      </c>
      <c r="BD57" s="54">
        <f>AQ57</f>
        <v/>
      </c>
      <c r="BE57" s="54">
        <f>AQ57+AR57</f>
        <v/>
      </c>
      <c r="BF57" s="54">
        <f>BE57+AS57</f>
        <v/>
      </c>
      <c r="BG57" s="54">
        <f>BF57+AT57</f>
        <v/>
      </c>
      <c r="BH57" s="54">
        <f>BG57+AU57</f>
        <v/>
      </c>
      <c r="BI57" s="54">
        <f>BC57</f>
        <v/>
      </c>
      <c r="BJ57" s="54">
        <f>IF(State!$B$14=1,CHOOSE(State!$B$43+1,D57,BD57,BE57,BF57,BG57,BH57,BI57),BK57)</f>
        <v/>
      </c>
      <c r="BK57" s="54">
        <f>CHOOSE(State!$B$43+1,D57,AJ57,AK57,AL57,AM57,AN57,AO57)</f>
        <v/>
      </c>
      <c r="BL57" s="54">
        <f>IF(State!$B$44=1,H57,0)</f>
        <v/>
      </c>
      <c r="BQ57" s="54">
        <f>D57-AP57</f>
        <v/>
      </c>
      <c r="BR57" s="54">
        <f>BQ57^2</f>
        <v/>
      </c>
      <c r="BS57" s="54">
        <f>(BQ57-BQ56)^2</f>
        <v/>
      </c>
      <c r="BT57" s="54">
        <f>IF(D57&gt;2000,ABS(BQ57)/D57,"")</f>
        <v/>
      </c>
      <c r="BU57" s="54" t="n">
        <v>154</v>
      </c>
      <c r="BV57" s="74" t="n">
        <v>0.5123</v>
      </c>
      <c r="BW57" s="54" t="n">
        <v>220.1</v>
      </c>
    </row>
    <row r="58">
      <c r="A58" s="73" t="n">
        <v>45298</v>
      </c>
      <c r="B58" s="53">
        <f>YEAR(A58)</f>
        <v/>
      </c>
      <c r="C58" s="53">
        <f>MONTH(A58)</f>
        <v/>
      </c>
      <c r="D58" s="54" t="n">
        <v>10541</v>
      </c>
      <c r="E58" s="55" t="n">
        <v>0.6256</v>
      </c>
      <c r="F58" s="55" t="n">
        <v>0.128</v>
      </c>
      <c r="G58" s="55" t="n">
        <v>0.7291</v>
      </c>
      <c r="H58" s="54" t="n">
        <v>255.8</v>
      </c>
      <c r="I58" s="54">
        <f>H58+State!$B$6/100*I57</f>
        <v/>
      </c>
      <c r="J58" s="54" t="n">
        <v>234.55</v>
      </c>
      <c r="K58" s="54" t="n">
        <v>892.2</v>
      </c>
      <c r="N58" s="54" t="n">
        <v>49.95</v>
      </c>
      <c r="O58" s="54" t="n">
        <v>17.24</v>
      </c>
      <c r="P58" s="54" t="n">
        <v>62.24</v>
      </c>
      <c r="Q58" s="54" t="n">
        <v>3.5</v>
      </c>
      <c r="R58" s="54" t="n">
        <v>112.34</v>
      </c>
      <c r="S58" s="54">
        <f>N58+Answers!$C$16/100*S57</f>
        <v/>
      </c>
      <c r="T58" s="54">
        <f>O58+Answers!$C$17/100*T57</f>
        <v/>
      </c>
      <c r="U58" s="54">
        <f>P58+Answers!$C$18/100*U57</f>
        <v/>
      </c>
      <c r="V58" s="54">
        <f>Q58+Answers!$C$19/100*V57</f>
        <v/>
      </c>
      <c r="W58" s="54">
        <f>R58+Answers!$C$20/100*W57</f>
        <v/>
      </c>
      <c r="X58" s="54">
        <f>State!$B$2*E58</f>
        <v/>
      </c>
      <c r="Y58" s="54">
        <f>-State!$B$3*F58</f>
        <v/>
      </c>
      <c r="Z58" s="54">
        <f>State!$B$4*G58</f>
        <v/>
      </c>
      <c r="AA58" s="54">
        <f>State!$B$5*(1-State!$B$6/100)*I58</f>
        <v/>
      </c>
      <c r="AB58" s="54">
        <f>State!$B$7*K58</f>
        <v/>
      </c>
      <c r="AE58" s="54">
        <f>State!$B$8*(1-Answers!$C$16/100)*S58</f>
        <v/>
      </c>
      <c r="AF58" s="54">
        <f>State!$B$9*(1-Answers!$C$17/100)*T58</f>
        <v/>
      </c>
      <c r="AG58" s="54">
        <f>State!$B$10*(1-Answers!$C$18/100)*U58</f>
        <v/>
      </c>
      <c r="AH58" s="54">
        <f>State!$B$11*(1-Answers!$C$19/100)*V58</f>
        <v/>
      </c>
      <c r="AI58" s="54">
        <f>State!$B$12*(1-Answers!$C$20/100)*W58</f>
        <v/>
      </c>
      <c r="AJ58" s="54">
        <f>X58</f>
        <v/>
      </c>
      <c r="AK58" s="54">
        <f>X58+Y58</f>
        <v/>
      </c>
      <c r="AL58" s="54">
        <f>AK58+Z58</f>
        <v/>
      </c>
      <c r="AM58" s="54">
        <f>AL58+AA58</f>
        <v/>
      </c>
      <c r="AN58" s="54">
        <f>AM58+AB58</f>
        <v/>
      </c>
      <c r="AO58" s="54">
        <f>AL58+AE58+AF58+AG58+AH58+AI58+AB58</f>
        <v/>
      </c>
      <c r="AP58" s="54">
        <f>IF(State!$B$46=1,AO58,AN58)</f>
        <v/>
      </c>
      <c r="AQ58" s="54" t="n">
        <v>547.8</v>
      </c>
      <c r="AR58" s="54" t="n">
        <v>-121.9</v>
      </c>
      <c r="AS58" s="54" t="n">
        <v>5539.2</v>
      </c>
      <c r="AT58" s="54" t="n">
        <v>817.3</v>
      </c>
      <c r="AU58" s="54" t="n">
        <v>3277.5</v>
      </c>
      <c r="AX58" s="54" t="n">
        <v>143.3</v>
      </c>
      <c r="AY58" s="54" t="n">
        <v>48.4</v>
      </c>
      <c r="AZ58" s="54" t="n">
        <v>204.6</v>
      </c>
      <c r="BA58" s="54" t="n">
        <v>4</v>
      </c>
      <c r="BB58" s="54" t="n">
        <v>417.1</v>
      </c>
      <c r="BC58" s="54">
        <f>AQ58+AR58+AS58+AT58+AU58</f>
        <v/>
      </c>
      <c r="BD58" s="54">
        <f>AQ58</f>
        <v/>
      </c>
      <c r="BE58" s="54">
        <f>AQ58+AR58</f>
        <v/>
      </c>
      <c r="BF58" s="54">
        <f>BE58+AS58</f>
        <v/>
      </c>
      <c r="BG58" s="54">
        <f>BF58+AT58</f>
        <v/>
      </c>
      <c r="BH58" s="54">
        <f>BG58+AU58</f>
        <v/>
      </c>
      <c r="BI58" s="54">
        <f>BC58</f>
        <v/>
      </c>
      <c r="BJ58" s="54">
        <f>IF(State!$B$14=1,CHOOSE(State!$B$43+1,D58,BD58,BE58,BF58,BG58,BH58,BI58),BK58)</f>
        <v/>
      </c>
      <c r="BK58" s="54">
        <f>CHOOSE(State!$B$43+1,D58,AJ58,AK58,AL58,AM58,AN58,AO58)</f>
        <v/>
      </c>
      <c r="BL58" s="54">
        <f>IF(State!$B$44=1,H58,0)</f>
        <v/>
      </c>
      <c r="BQ58" s="54">
        <f>D58-AP58</f>
        <v/>
      </c>
      <c r="BR58" s="54">
        <f>BQ58^2</f>
        <v/>
      </c>
      <c r="BS58" s="54">
        <f>(BQ58-BQ57)^2</f>
        <v/>
      </c>
      <c r="BT58" s="54">
        <f>IF(D58&gt;2000,ABS(BQ58)/D58,"")</f>
        <v/>
      </c>
      <c r="BU58" s="54" t="n">
        <v>268</v>
      </c>
      <c r="BV58" s="74" t="n">
        <v>0.5123</v>
      </c>
      <c r="BW58" s="54" t="n">
        <v>1195</v>
      </c>
    </row>
    <row r="59">
      <c r="A59" s="73" t="n">
        <v>45305</v>
      </c>
      <c r="B59" s="53">
        <f>YEAR(A59)</f>
        <v/>
      </c>
      <c r="C59" s="53">
        <f>MONTH(A59)</f>
        <v/>
      </c>
      <c r="D59" s="54" t="n">
        <v>15091</v>
      </c>
      <c r="E59" s="55" t="n">
        <v>0.6157</v>
      </c>
      <c r="F59" s="55" t="n">
        <v>-0.0548</v>
      </c>
      <c r="G59" s="55" t="n">
        <v>0.7291</v>
      </c>
      <c r="H59" s="54" t="n">
        <v>323.09</v>
      </c>
      <c r="I59" s="54">
        <f>H59+State!$B$6/100*I58</f>
        <v/>
      </c>
      <c r="J59" s="54" t="n">
        <v>198.95</v>
      </c>
      <c r="K59" s="54" t="n">
        <v>654.34</v>
      </c>
      <c r="N59" s="54" t="n">
        <v>42.37</v>
      </c>
      <c r="O59" s="54" t="n">
        <v>79.04000000000001</v>
      </c>
      <c r="P59" s="54" t="n">
        <v>47.61</v>
      </c>
      <c r="Q59" s="54" t="n">
        <v>3.5</v>
      </c>
      <c r="R59" s="54" t="n">
        <v>135.49</v>
      </c>
      <c r="S59" s="54">
        <f>N59+Answers!$C$16/100*S58</f>
        <v/>
      </c>
      <c r="T59" s="54">
        <f>O59+Answers!$C$17/100*T58</f>
        <v/>
      </c>
      <c r="U59" s="54">
        <f>P59+Answers!$C$18/100*U58</f>
        <v/>
      </c>
      <c r="V59" s="54">
        <f>Q59+Answers!$C$19/100*V58</f>
        <v/>
      </c>
      <c r="W59" s="54">
        <f>R59+Answers!$C$20/100*W58</f>
        <v/>
      </c>
      <c r="X59" s="54">
        <f>State!$B$2*E59</f>
        <v/>
      </c>
      <c r="Y59" s="54">
        <f>-State!$B$3*F59</f>
        <v/>
      </c>
      <c r="Z59" s="54">
        <f>State!$B$4*G59</f>
        <v/>
      </c>
      <c r="AA59" s="54">
        <f>State!$B$5*(1-State!$B$6/100)*I59</f>
        <v/>
      </c>
      <c r="AB59" s="54">
        <f>State!$B$7*K59</f>
        <v/>
      </c>
      <c r="AE59" s="54">
        <f>State!$B$8*(1-Answers!$C$16/100)*S59</f>
        <v/>
      </c>
      <c r="AF59" s="54">
        <f>State!$B$9*(1-Answers!$C$17/100)*T59</f>
        <v/>
      </c>
      <c r="AG59" s="54">
        <f>State!$B$10*(1-Answers!$C$18/100)*U59</f>
        <v/>
      </c>
      <c r="AH59" s="54">
        <f>State!$B$11*(1-Answers!$C$19/100)*V59</f>
        <v/>
      </c>
      <c r="AI59" s="54">
        <f>State!$B$12*(1-Answers!$C$20/100)*W59</f>
        <v/>
      </c>
      <c r="AJ59" s="54">
        <f>X59</f>
        <v/>
      </c>
      <c r="AK59" s="54">
        <f>X59+Y59</f>
        <v/>
      </c>
      <c r="AL59" s="54">
        <f>AK59+Z59</f>
        <v/>
      </c>
      <c r="AM59" s="54">
        <f>AL59+AA59</f>
        <v/>
      </c>
      <c r="AN59" s="54">
        <f>AM59+AB59</f>
        <v/>
      </c>
      <c r="AO59" s="54">
        <f>AL59+AE59+AF59+AG59+AH59+AI59+AB59</f>
        <v/>
      </c>
      <c r="AP59" s="54">
        <f>IF(State!$B$46=1,AO59,AN59)</f>
        <v/>
      </c>
      <c r="AQ59" s="54" t="n">
        <v>539.1</v>
      </c>
      <c r="AR59" s="54" t="n">
        <v>52.2</v>
      </c>
      <c r="AS59" s="54" t="n">
        <v>5539.2</v>
      </c>
      <c r="AT59" s="54" t="n">
        <v>1468.5</v>
      </c>
      <c r="AU59" s="54" t="n">
        <v>2399.5</v>
      </c>
      <c r="AX59" s="54" t="n">
        <v>232</v>
      </c>
      <c r="AY59" s="54" t="n">
        <v>247.2</v>
      </c>
      <c r="AZ59" s="54" t="n">
        <v>298.3</v>
      </c>
      <c r="BA59" s="54" t="n">
        <v>6.3</v>
      </c>
      <c r="BB59" s="54" t="n">
        <v>684.8</v>
      </c>
      <c r="BC59" s="54">
        <f>AQ59+AR59+AS59+AT59+AU59</f>
        <v/>
      </c>
      <c r="BD59" s="54">
        <f>AQ59</f>
        <v/>
      </c>
      <c r="BE59" s="54">
        <f>AQ59+AR59</f>
        <v/>
      </c>
      <c r="BF59" s="54">
        <f>BE59+AS59</f>
        <v/>
      </c>
      <c r="BG59" s="54">
        <f>BF59+AT59</f>
        <v/>
      </c>
      <c r="BH59" s="54">
        <f>BG59+AU59</f>
        <v/>
      </c>
      <c r="BI59" s="54">
        <f>BC59</f>
        <v/>
      </c>
      <c r="BJ59" s="54">
        <f>IF(State!$B$14=1,CHOOSE(State!$B$43+1,D59,BD59,BE59,BF59,BG59,BH59,BI59),BK59)</f>
        <v/>
      </c>
      <c r="BK59" s="54">
        <f>CHOOSE(State!$B$43+1,D59,AJ59,AK59,AL59,AM59,AN59,AO59)</f>
        <v/>
      </c>
      <c r="BL59" s="54">
        <f>IF(State!$B$44=1,H59,0)</f>
        <v/>
      </c>
      <c r="BQ59" s="54">
        <f>D59-AP59</f>
        <v/>
      </c>
      <c r="BR59" s="54">
        <f>BQ59^2</f>
        <v/>
      </c>
      <c r="BS59" s="54">
        <f>(BQ59-BQ58)^2</f>
        <v/>
      </c>
      <c r="BT59" s="54">
        <f>IF(D59&gt;2000,ABS(BQ59)/D59,"")</f>
        <v/>
      </c>
      <c r="BU59" s="54" t="n">
        <v>281</v>
      </c>
      <c r="BV59" s="74" t="n">
        <v>0.5123</v>
      </c>
      <c r="BW59" s="54" t="n">
        <v>1001.1</v>
      </c>
    </row>
    <row r="60">
      <c r="A60" s="73" t="n">
        <v>45312</v>
      </c>
      <c r="B60" s="53">
        <f>YEAR(A60)</f>
        <v/>
      </c>
      <c r="C60" s="53">
        <f>MONTH(A60)</f>
        <v/>
      </c>
      <c r="D60" s="54" t="n">
        <v>11231</v>
      </c>
      <c r="E60" s="55" t="n">
        <v>0.6191</v>
      </c>
      <c r="F60" s="55" t="n">
        <v>-0.0571</v>
      </c>
      <c r="G60" s="55" t="n">
        <v>0.7291</v>
      </c>
      <c r="H60" s="54" t="n">
        <v>274.32</v>
      </c>
      <c r="I60" s="54">
        <f>H60+State!$B$6/100*I59</f>
        <v/>
      </c>
      <c r="J60" s="54" t="n">
        <v>775.25</v>
      </c>
      <c r="K60" s="54" t="n">
        <v>880.53</v>
      </c>
      <c r="N60" s="54" t="n">
        <v>47.83</v>
      </c>
      <c r="O60" s="54" t="n">
        <v>21.16</v>
      </c>
      <c r="P60" s="54" t="n">
        <v>43.37</v>
      </c>
      <c r="Q60" s="54" t="n">
        <v>3.5</v>
      </c>
      <c r="R60" s="54" t="n">
        <v>147.23</v>
      </c>
      <c r="S60" s="54">
        <f>N60+Answers!$C$16/100*S59</f>
        <v/>
      </c>
      <c r="T60" s="54">
        <f>O60+Answers!$C$17/100*T59</f>
        <v/>
      </c>
      <c r="U60" s="54">
        <f>P60+Answers!$C$18/100*U59</f>
        <v/>
      </c>
      <c r="V60" s="54">
        <f>Q60+Answers!$C$19/100*V59</f>
        <v/>
      </c>
      <c r="W60" s="54">
        <f>R60+Answers!$C$20/100*W59</f>
        <v/>
      </c>
      <c r="X60" s="54">
        <f>State!$B$2*E60</f>
        <v/>
      </c>
      <c r="Y60" s="54">
        <f>-State!$B$3*F60</f>
        <v/>
      </c>
      <c r="Z60" s="54">
        <f>State!$B$4*G60</f>
        <v/>
      </c>
      <c r="AA60" s="54">
        <f>State!$B$5*(1-State!$B$6/100)*I60</f>
        <v/>
      </c>
      <c r="AB60" s="54">
        <f>State!$B$7*K60</f>
        <v/>
      </c>
      <c r="AE60" s="54">
        <f>State!$B$8*(1-Answers!$C$16/100)*S60</f>
        <v/>
      </c>
      <c r="AF60" s="54">
        <f>State!$B$9*(1-Answers!$C$17/100)*T60</f>
        <v/>
      </c>
      <c r="AG60" s="54">
        <f>State!$B$10*(1-Answers!$C$18/100)*U60</f>
        <v/>
      </c>
      <c r="AH60" s="54">
        <f>State!$B$11*(1-Answers!$C$19/100)*V60</f>
        <v/>
      </c>
      <c r="AI60" s="54">
        <f>State!$B$12*(1-Answers!$C$20/100)*W60</f>
        <v/>
      </c>
      <c r="AJ60" s="54">
        <f>X60</f>
        <v/>
      </c>
      <c r="AK60" s="54">
        <f>X60+Y60</f>
        <v/>
      </c>
      <c r="AL60" s="54">
        <f>AK60+Z60</f>
        <v/>
      </c>
      <c r="AM60" s="54">
        <f>AL60+AA60</f>
        <v/>
      </c>
      <c r="AN60" s="54">
        <f>AM60+AB60</f>
        <v/>
      </c>
      <c r="AO60" s="54">
        <f>AL60+AE60+AF60+AG60+AH60+AI60+AB60</f>
        <v/>
      </c>
      <c r="AP60" s="54">
        <f>IF(State!$B$46=1,AO60,AN60)</f>
        <v/>
      </c>
      <c r="AQ60" s="54" t="n">
        <v>542.1</v>
      </c>
      <c r="AR60" s="54" t="n">
        <v>54.4</v>
      </c>
      <c r="AS60" s="54" t="n">
        <v>5539.2</v>
      </c>
      <c r="AT60" s="54" t="n">
        <v>1906.4</v>
      </c>
      <c r="AU60" s="54" t="n">
        <v>3372.6</v>
      </c>
      <c r="AX60" s="54" t="n">
        <v>321.6</v>
      </c>
      <c r="AY60" s="54" t="n">
        <v>265.2</v>
      </c>
      <c r="AZ60" s="54" t="n">
        <v>366.9</v>
      </c>
      <c r="BA60" s="54" t="n">
        <v>8.199999999999999</v>
      </c>
      <c r="BB60" s="54" t="n">
        <v>944.4</v>
      </c>
      <c r="BC60" s="54">
        <f>AQ60+AR60+AS60+AT60+AU60</f>
        <v/>
      </c>
      <c r="BD60" s="54">
        <f>AQ60</f>
        <v/>
      </c>
      <c r="BE60" s="54">
        <f>AQ60+AR60</f>
        <v/>
      </c>
      <c r="BF60" s="54">
        <f>BE60+AS60</f>
        <v/>
      </c>
      <c r="BG60" s="54">
        <f>BF60+AT60</f>
        <v/>
      </c>
      <c r="BH60" s="54">
        <f>BG60+AU60</f>
        <v/>
      </c>
      <c r="BI60" s="54">
        <f>BC60</f>
        <v/>
      </c>
      <c r="BJ60" s="54">
        <f>IF(State!$B$14=1,CHOOSE(State!$B$43+1,D60,BD60,BE60,BF60,BG60,BH60,BI60),BK60)</f>
        <v/>
      </c>
      <c r="BK60" s="54">
        <f>CHOOSE(State!$B$43+1,D60,AJ60,AK60,AL60,AM60,AN60,AO60)</f>
        <v/>
      </c>
      <c r="BL60" s="54">
        <f>IF(State!$B$44=1,H60,0)</f>
        <v/>
      </c>
      <c r="BQ60" s="54">
        <f>D60-AP60</f>
        <v/>
      </c>
      <c r="BR60" s="54">
        <f>BQ60^2</f>
        <v/>
      </c>
      <c r="BS60" s="54">
        <f>(BQ60-BQ59)^2</f>
        <v/>
      </c>
      <c r="BT60" s="54">
        <f>IF(D60&gt;2000,ABS(BQ60)/D60,"")</f>
        <v/>
      </c>
      <c r="BU60" s="54" t="n">
        <v>266</v>
      </c>
      <c r="BV60" s="74" t="n">
        <v>0.5123</v>
      </c>
      <c r="BW60" s="54" t="n">
        <v>1194.3</v>
      </c>
    </row>
    <row r="61">
      <c r="A61" s="73" t="n">
        <v>45319</v>
      </c>
      <c r="B61" s="53">
        <f>YEAR(A61)</f>
        <v/>
      </c>
      <c r="C61" s="53">
        <f>MONTH(A61)</f>
        <v/>
      </c>
      <c r="D61" s="54" t="n">
        <v>17424</v>
      </c>
      <c r="E61" s="55" t="n">
        <v>0.6252</v>
      </c>
      <c r="F61" s="55" t="n">
        <v>-0.016</v>
      </c>
      <c r="G61" s="55" t="n">
        <v>0.7291</v>
      </c>
      <c r="H61" s="54" t="n">
        <v>269.32</v>
      </c>
      <c r="I61" s="54">
        <f>H61+State!$B$6/100*I60</f>
        <v/>
      </c>
      <c r="J61" s="54" t="n">
        <v>843.92</v>
      </c>
      <c r="K61" s="54" t="n">
        <v>951.48</v>
      </c>
      <c r="N61" s="54" t="n">
        <v>51.57</v>
      </c>
      <c r="O61" s="54" t="n">
        <v>15.79</v>
      </c>
      <c r="P61" s="54" t="n">
        <v>32.96</v>
      </c>
      <c r="Q61" s="54" t="n">
        <v>3.5</v>
      </c>
      <c r="R61" s="54" t="n">
        <v>148.08</v>
      </c>
      <c r="S61" s="54">
        <f>N61+Answers!$C$16/100*S60</f>
        <v/>
      </c>
      <c r="T61" s="54">
        <f>O61+Answers!$C$17/100*T60</f>
        <v/>
      </c>
      <c r="U61" s="54">
        <f>P61+Answers!$C$18/100*U60</f>
        <v/>
      </c>
      <c r="V61" s="54">
        <f>Q61+Answers!$C$19/100*V60</f>
        <v/>
      </c>
      <c r="W61" s="54">
        <f>R61+Answers!$C$20/100*W60</f>
        <v/>
      </c>
      <c r="X61" s="54">
        <f>State!$B$2*E61</f>
        <v/>
      </c>
      <c r="Y61" s="54">
        <f>-State!$B$3*F61</f>
        <v/>
      </c>
      <c r="Z61" s="54">
        <f>State!$B$4*G61</f>
        <v/>
      </c>
      <c r="AA61" s="54">
        <f>State!$B$5*(1-State!$B$6/100)*I61</f>
        <v/>
      </c>
      <c r="AB61" s="54">
        <f>State!$B$7*K61</f>
        <v/>
      </c>
      <c r="AE61" s="54">
        <f>State!$B$8*(1-Answers!$C$16/100)*S61</f>
        <v/>
      </c>
      <c r="AF61" s="54">
        <f>State!$B$9*(1-Answers!$C$17/100)*T61</f>
        <v/>
      </c>
      <c r="AG61" s="54">
        <f>State!$B$10*(1-Answers!$C$18/100)*U61</f>
        <v/>
      </c>
      <c r="AH61" s="54">
        <f>State!$B$11*(1-Answers!$C$19/100)*V61</f>
        <v/>
      </c>
      <c r="AI61" s="54">
        <f>State!$B$12*(1-Answers!$C$20/100)*W61</f>
        <v/>
      </c>
      <c r="AJ61" s="54">
        <f>X61</f>
        <v/>
      </c>
      <c r="AK61" s="54">
        <f>X61+Y61</f>
        <v/>
      </c>
      <c r="AL61" s="54">
        <f>AK61+Z61</f>
        <v/>
      </c>
      <c r="AM61" s="54">
        <f>AL61+AA61</f>
        <v/>
      </c>
      <c r="AN61" s="54">
        <f>AM61+AB61</f>
        <v/>
      </c>
      <c r="AO61" s="54">
        <f>AL61+AE61+AF61+AG61+AH61+AI61+AB61</f>
        <v/>
      </c>
      <c r="AP61" s="54">
        <f>IF(State!$B$46=1,AO61,AN61)</f>
        <v/>
      </c>
      <c r="AQ61" s="54" t="n">
        <v>547.4</v>
      </c>
      <c r="AR61" s="54" t="n">
        <v>15.2</v>
      </c>
      <c r="AS61" s="54" t="n">
        <v>5539.2</v>
      </c>
      <c r="AT61" s="54" t="n">
        <v>2248.8</v>
      </c>
      <c r="AU61" s="54" t="n">
        <v>3638.2</v>
      </c>
      <c r="AX61" s="54" t="n">
        <v>407.6</v>
      </c>
      <c r="AY61" s="54" t="n">
        <v>266.6</v>
      </c>
      <c r="AZ61" s="54" t="n">
        <v>398</v>
      </c>
      <c r="BA61" s="54" t="n">
        <v>9.9</v>
      </c>
      <c r="BB61" s="54" t="n">
        <v>1166.8</v>
      </c>
      <c r="BC61" s="54">
        <f>AQ61+AR61+AS61+AT61+AU61</f>
        <v/>
      </c>
      <c r="BD61" s="54">
        <f>AQ61</f>
        <v/>
      </c>
      <c r="BE61" s="54">
        <f>AQ61+AR61</f>
        <v/>
      </c>
      <c r="BF61" s="54">
        <f>BE61+AS61</f>
        <v/>
      </c>
      <c r="BG61" s="54">
        <f>BF61+AT61</f>
        <v/>
      </c>
      <c r="BH61" s="54">
        <f>BG61+AU61</f>
        <v/>
      </c>
      <c r="BI61" s="54">
        <f>BC61</f>
        <v/>
      </c>
      <c r="BJ61" s="54">
        <f>IF(State!$B$14=1,CHOOSE(State!$B$43+1,D61,BD61,BE61,BF61,BG61,BH61,BI61),BK61)</f>
        <v/>
      </c>
      <c r="BK61" s="54">
        <f>CHOOSE(State!$B$43+1,D61,AJ61,AK61,AL61,AM61,AN61,AO61)</f>
        <v/>
      </c>
      <c r="BL61" s="54">
        <f>IF(State!$B$44=1,H61,0)</f>
        <v/>
      </c>
      <c r="BQ61" s="54">
        <f>D61-AP61</f>
        <v/>
      </c>
      <c r="BR61" s="54">
        <f>BQ61^2</f>
        <v/>
      </c>
      <c r="BS61" s="54">
        <f>(BQ61-BQ60)^2</f>
        <v/>
      </c>
      <c r="BT61" s="54">
        <f>IF(D61&gt;2000,ABS(BQ61)/D61,"")</f>
        <v/>
      </c>
      <c r="BU61" s="54" t="n">
        <v>319</v>
      </c>
      <c r="BV61" s="74" t="n">
        <v>0.5238</v>
      </c>
      <c r="BW61" s="54" t="n">
        <v>1265.5</v>
      </c>
    </row>
    <row r="62">
      <c r="A62" s="73" t="n">
        <v>45326</v>
      </c>
      <c r="B62" s="53">
        <f>YEAR(A62)</f>
        <v/>
      </c>
      <c r="C62" s="53">
        <f>MONTH(A62)</f>
        <v/>
      </c>
      <c r="D62" s="54" t="n">
        <v>29920</v>
      </c>
      <c r="E62" s="55" t="n">
        <v>0.6312</v>
      </c>
      <c r="F62" s="55" t="n">
        <v>0.09370000000000001</v>
      </c>
      <c r="G62" s="55" t="n">
        <v>3.6665</v>
      </c>
      <c r="H62" s="54" t="n">
        <v>203.2</v>
      </c>
      <c r="I62" s="54">
        <f>H62+State!$B$6/100*I61</f>
        <v/>
      </c>
      <c r="J62" s="54" t="n">
        <v>273.12</v>
      </c>
      <c r="K62" s="54" t="n">
        <v>331.61</v>
      </c>
      <c r="N62" s="54" t="n">
        <v>32.86</v>
      </c>
      <c r="O62" s="54" t="n">
        <v>29.64</v>
      </c>
      <c r="P62" s="54" t="n">
        <v>18.17</v>
      </c>
      <c r="Q62" s="54" t="n">
        <v>3.5</v>
      </c>
      <c r="R62" s="54" t="n">
        <v>89.12</v>
      </c>
      <c r="S62" s="54">
        <f>N62+Answers!$C$16/100*S61</f>
        <v/>
      </c>
      <c r="T62" s="54">
        <f>O62+Answers!$C$17/100*T61</f>
        <v/>
      </c>
      <c r="U62" s="54">
        <f>P62+Answers!$C$18/100*U61</f>
        <v/>
      </c>
      <c r="V62" s="54">
        <f>Q62+Answers!$C$19/100*V61</f>
        <v/>
      </c>
      <c r="W62" s="54">
        <f>R62+Answers!$C$20/100*W61</f>
        <v/>
      </c>
      <c r="X62" s="54">
        <f>State!$B$2*E62</f>
        <v/>
      </c>
      <c r="Y62" s="54">
        <f>-State!$B$3*F62</f>
        <v/>
      </c>
      <c r="Z62" s="54">
        <f>State!$B$4*G62</f>
        <v/>
      </c>
      <c r="AA62" s="54">
        <f>State!$B$5*(1-State!$B$6/100)*I62</f>
        <v/>
      </c>
      <c r="AB62" s="54">
        <f>State!$B$7*K62</f>
        <v/>
      </c>
      <c r="AE62" s="54">
        <f>State!$B$8*(1-Answers!$C$16/100)*S62</f>
        <v/>
      </c>
      <c r="AF62" s="54">
        <f>State!$B$9*(1-Answers!$C$17/100)*T62</f>
        <v/>
      </c>
      <c r="AG62" s="54">
        <f>State!$B$10*(1-Answers!$C$18/100)*U62</f>
        <v/>
      </c>
      <c r="AH62" s="54">
        <f>State!$B$11*(1-Answers!$C$19/100)*V62</f>
        <v/>
      </c>
      <c r="AI62" s="54">
        <f>State!$B$12*(1-Answers!$C$20/100)*W62</f>
        <v/>
      </c>
      <c r="AJ62" s="54">
        <f>X62</f>
        <v/>
      </c>
      <c r="AK62" s="54">
        <f>X62+Y62</f>
        <v/>
      </c>
      <c r="AL62" s="54">
        <f>AK62+Z62</f>
        <v/>
      </c>
      <c r="AM62" s="54">
        <f>AL62+AA62</f>
        <v/>
      </c>
      <c r="AN62" s="54">
        <f>AM62+AB62</f>
        <v/>
      </c>
      <c r="AO62" s="54">
        <f>AL62+AE62+AF62+AG62+AH62+AI62+AB62</f>
        <v/>
      </c>
      <c r="AP62" s="54">
        <f>IF(State!$B$46=1,AO62,AN62)</f>
        <v/>
      </c>
      <c r="AQ62" s="54" t="n">
        <v>552.7</v>
      </c>
      <c r="AR62" s="54" t="n">
        <v>-89.2</v>
      </c>
      <c r="AS62" s="54" t="n">
        <v>27856.1</v>
      </c>
      <c r="AT62" s="54" t="n">
        <v>2338.6</v>
      </c>
      <c r="AU62" s="54" t="n">
        <v>1234.9</v>
      </c>
      <c r="AX62" s="54" t="n">
        <v>431.9</v>
      </c>
      <c r="AY62" s="54" t="n">
        <v>303.9</v>
      </c>
      <c r="AZ62" s="54" t="n">
        <v>385.7</v>
      </c>
      <c r="BA62" s="54" t="n">
        <v>11.3</v>
      </c>
      <c r="BB62" s="54" t="n">
        <v>1205.7</v>
      </c>
      <c r="BC62" s="54">
        <f>AQ62+AR62+AS62+AT62+AU62</f>
        <v/>
      </c>
      <c r="BD62" s="54">
        <f>AQ62</f>
        <v/>
      </c>
      <c r="BE62" s="54">
        <f>AQ62+AR62</f>
        <v/>
      </c>
      <c r="BF62" s="54">
        <f>BE62+AS62</f>
        <v/>
      </c>
      <c r="BG62" s="54">
        <f>BF62+AT62</f>
        <v/>
      </c>
      <c r="BH62" s="54">
        <f>BG62+AU62</f>
        <v/>
      </c>
      <c r="BI62" s="54">
        <f>BC62</f>
        <v/>
      </c>
      <c r="BJ62" s="54">
        <f>IF(State!$B$14=1,CHOOSE(State!$B$43+1,D62,BD62,BE62,BF62,BG62,BH62,BI62),BK62)</f>
        <v/>
      </c>
      <c r="BK62" s="54">
        <f>CHOOSE(State!$B$43+1,D62,AJ62,AK62,AL62,AM62,AN62,AO62)</f>
        <v/>
      </c>
      <c r="BL62" s="54">
        <f>IF(State!$B$44=1,H62,0)</f>
        <v/>
      </c>
      <c r="BQ62" s="54">
        <f>D62-AP62</f>
        <v/>
      </c>
      <c r="BR62" s="54">
        <f>BQ62^2</f>
        <v/>
      </c>
      <c r="BS62" s="54">
        <f>(BQ62-BQ61)^2</f>
        <v/>
      </c>
      <c r="BT62" s="54">
        <f>IF(D62&gt;2000,ABS(BQ62)/D62,"")</f>
        <v/>
      </c>
      <c r="BU62" s="54" t="n">
        <v>294</v>
      </c>
      <c r="BV62" s="74" t="n">
        <v>0.5324</v>
      </c>
      <c r="BW62" s="54" t="n">
        <v>564.3</v>
      </c>
    </row>
    <row r="63">
      <c r="A63" s="73" t="n">
        <v>45333</v>
      </c>
      <c r="B63" s="53">
        <f>YEAR(A63)</f>
        <v/>
      </c>
      <c r="C63" s="53">
        <f>MONTH(A63)</f>
        <v/>
      </c>
      <c r="D63" s="54" t="n">
        <v>3364</v>
      </c>
      <c r="E63" s="55" t="n">
        <v>1.4019</v>
      </c>
      <c r="F63" s="55" t="n">
        <v>1.4098</v>
      </c>
      <c r="G63" s="55" t="n">
        <v>-0.1072</v>
      </c>
      <c r="H63" s="54" t="n">
        <v>120.16</v>
      </c>
      <c r="I63" s="54">
        <f>H63+State!$B$6/100*I62</f>
        <v/>
      </c>
      <c r="J63" s="54" t="n">
        <v>222.4</v>
      </c>
      <c r="K63" s="54" t="n">
        <v>277.94</v>
      </c>
      <c r="N63" s="54" t="n">
        <v>0</v>
      </c>
      <c r="O63" s="54" t="n">
        <v>27.22</v>
      </c>
      <c r="P63" s="54" t="n">
        <v>32.04</v>
      </c>
      <c r="Q63" s="54" t="n">
        <v>3.5</v>
      </c>
      <c r="R63" s="54" t="n">
        <v>54.04</v>
      </c>
      <c r="S63" s="54">
        <f>N63+Answers!$C$16/100*S62</f>
        <v/>
      </c>
      <c r="T63" s="54">
        <f>O63+Answers!$C$17/100*T62</f>
        <v/>
      </c>
      <c r="U63" s="54">
        <f>P63+Answers!$C$18/100*U62</f>
        <v/>
      </c>
      <c r="V63" s="54">
        <f>Q63+Answers!$C$19/100*V62</f>
        <v/>
      </c>
      <c r="W63" s="54">
        <f>R63+Answers!$C$20/100*W62</f>
        <v/>
      </c>
      <c r="X63" s="54">
        <f>State!$B$2*E63</f>
        <v/>
      </c>
      <c r="Y63" s="54">
        <f>-State!$B$3*F63</f>
        <v/>
      </c>
      <c r="Z63" s="54">
        <f>State!$B$4*G63</f>
        <v/>
      </c>
      <c r="AA63" s="54">
        <f>State!$B$5*(1-State!$B$6/100)*I63</f>
        <v/>
      </c>
      <c r="AB63" s="54">
        <f>State!$B$7*K63</f>
        <v/>
      </c>
      <c r="AE63" s="54">
        <f>State!$B$8*(1-Answers!$C$16/100)*S63</f>
        <v/>
      </c>
      <c r="AF63" s="54">
        <f>State!$B$9*(1-Answers!$C$17/100)*T63</f>
        <v/>
      </c>
      <c r="AG63" s="54">
        <f>State!$B$10*(1-Answers!$C$18/100)*U63</f>
        <v/>
      </c>
      <c r="AH63" s="54">
        <f>State!$B$11*(1-Answers!$C$19/100)*V63</f>
        <v/>
      </c>
      <c r="AI63" s="54">
        <f>State!$B$12*(1-Answers!$C$20/100)*W63</f>
        <v/>
      </c>
      <c r="AJ63" s="54">
        <f>X63</f>
        <v/>
      </c>
      <c r="AK63" s="54">
        <f>X63+Y63</f>
        <v/>
      </c>
      <c r="AL63" s="54">
        <f>AK63+Z63</f>
        <v/>
      </c>
      <c r="AM63" s="54">
        <f>AL63+AA63</f>
        <v/>
      </c>
      <c r="AN63" s="54">
        <f>AM63+AB63</f>
        <v/>
      </c>
      <c r="AO63" s="54">
        <f>AL63+AE63+AF63+AG63+AH63+AI63+AB63</f>
        <v/>
      </c>
      <c r="AP63" s="54">
        <f>IF(State!$B$46=1,AO63,AN63)</f>
        <v/>
      </c>
      <c r="AQ63" s="54" t="n">
        <v>1227.6</v>
      </c>
      <c r="AR63" s="54" t="n">
        <v>-1342.7</v>
      </c>
      <c r="AS63" s="54" t="n">
        <v>-814.8</v>
      </c>
      <c r="AT63" s="54" t="n">
        <v>2281.9</v>
      </c>
      <c r="AU63" s="54" t="n">
        <v>1028.8</v>
      </c>
      <c r="AX63" s="54" t="n">
        <v>367.1</v>
      </c>
      <c r="AY63" s="54" t="n">
        <v>329.3</v>
      </c>
      <c r="AZ63" s="54" t="n">
        <v>411.6</v>
      </c>
      <c r="BA63" s="54" t="n">
        <v>12.5</v>
      </c>
      <c r="BB63" s="54" t="n">
        <v>1161.4</v>
      </c>
      <c r="BC63" s="54">
        <f>AQ63+AR63+AS63+AT63+AU63</f>
        <v/>
      </c>
      <c r="BD63" s="54">
        <f>AQ63</f>
        <v/>
      </c>
      <c r="BE63" s="54">
        <f>AQ63+AR63</f>
        <v/>
      </c>
      <c r="BF63" s="54">
        <f>BE63+AS63</f>
        <v/>
      </c>
      <c r="BG63" s="54">
        <f>BF63+AT63</f>
        <v/>
      </c>
      <c r="BH63" s="54">
        <f>BG63+AU63</f>
        <v/>
      </c>
      <c r="BI63" s="54">
        <f>BC63</f>
        <v/>
      </c>
      <c r="BJ63" s="54">
        <f>IF(State!$B$14=1,CHOOSE(State!$B$43+1,D63,BD63,BE63,BF63,BG63,BH63,BI63),BK63)</f>
        <v/>
      </c>
      <c r="BK63" s="54">
        <f>CHOOSE(State!$B$43+1,D63,AJ63,AK63,AL63,AM63,AN63,AO63)</f>
        <v/>
      </c>
      <c r="BL63" s="54">
        <f>IF(State!$B$44=1,H63,0)</f>
        <v/>
      </c>
      <c r="BQ63" s="54">
        <f>D63-AP63</f>
        <v/>
      </c>
      <c r="BR63" s="54">
        <f>BQ63^2</f>
        <v/>
      </c>
      <c r="BS63" s="54">
        <f>(BQ63-BQ62)^2</f>
        <v/>
      </c>
      <c r="BT63" s="54">
        <f>IF(D63&gt;2000,ABS(BQ63)/D63,"")</f>
        <v/>
      </c>
      <c r="BU63" s="54" t="n">
        <v>362</v>
      </c>
      <c r="BV63" s="74" t="n">
        <v>0.5324</v>
      </c>
      <c r="BW63" s="54" t="n">
        <v>546.8</v>
      </c>
    </row>
    <row r="64">
      <c r="A64" s="73" t="n">
        <v>45340</v>
      </c>
      <c r="B64" s="53">
        <f>YEAR(A64)</f>
        <v/>
      </c>
      <c r="C64" s="53">
        <f>MONTH(A64)</f>
        <v/>
      </c>
      <c r="D64" s="54" t="n">
        <v>3134</v>
      </c>
      <c r="E64" s="55" t="n">
        <v>1.3931</v>
      </c>
      <c r="F64" s="55" t="n">
        <v>1.4807</v>
      </c>
      <c r="G64" s="55" t="n">
        <v>-0.1072</v>
      </c>
      <c r="H64" s="54" t="n">
        <v>108.48</v>
      </c>
      <c r="I64" s="54">
        <f>H64+State!$B$6/100*I63</f>
        <v/>
      </c>
      <c r="J64" s="54" t="n">
        <v>164.18</v>
      </c>
      <c r="K64" s="54" t="n">
        <v>231.85</v>
      </c>
      <c r="N64" s="54" t="n">
        <v>0</v>
      </c>
      <c r="O64" s="54" t="n">
        <v>20.35</v>
      </c>
      <c r="P64" s="54" t="n">
        <v>30.34</v>
      </c>
      <c r="Q64" s="54" t="n">
        <v>3.5</v>
      </c>
      <c r="R64" s="54" t="n">
        <v>51.16</v>
      </c>
      <c r="S64" s="54">
        <f>N64+Answers!$C$16/100*S63</f>
        <v/>
      </c>
      <c r="T64" s="54">
        <f>O64+Answers!$C$17/100*T63</f>
        <v/>
      </c>
      <c r="U64" s="54">
        <f>P64+Answers!$C$18/100*U63</f>
        <v/>
      </c>
      <c r="V64" s="54">
        <f>Q64+Answers!$C$19/100*V63</f>
        <v/>
      </c>
      <c r="W64" s="54">
        <f>R64+Answers!$C$20/100*W63</f>
        <v/>
      </c>
      <c r="X64" s="54">
        <f>State!$B$2*E64</f>
        <v/>
      </c>
      <c r="Y64" s="54">
        <f>-State!$B$3*F64</f>
        <v/>
      </c>
      <c r="Z64" s="54">
        <f>State!$B$4*G64</f>
        <v/>
      </c>
      <c r="AA64" s="54">
        <f>State!$B$5*(1-State!$B$6/100)*I64</f>
        <v/>
      </c>
      <c r="AB64" s="54">
        <f>State!$B$7*K64</f>
        <v/>
      </c>
      <c r="AE64" s="54">
        <f>State!$B$8*(1-Answers!$C$16/100)*S64</f>
        <v/>
      </c>
      <c r="AF64" s="54">
        <f>State!$B$9*(1-Answers!$C$17/100)*T64</f>
        <v/>
      </c>
      <c r="AG64" s="54">
        <f>State!$B$10*(1-Answers!$C$18/100)*U64</f>
        <v/>
      </c>
      <c r="AH64" s="54">
        <f>State!$B$11*(1-Answers!$C$19/100)*V64</f>
        <v/>
      </c>
      <c r="AI64" s="54">
        <f>State!$B$12*(1-Answers!$C$20/100)*W64</f>
        <v/>
      </c>
      <c r="AJ64" s="54">
        <f>X64</f>
        <v/>
      </c>
      <c r="AK64" s="54">
        <f>X64+Y64</f>
        <v/>
      </c>
      <c r="AL64" s="54">
        <f>AK64+Z64</f>
        <v/>
      </c>
      <c r="AM64" s="54">
        <f>AL64+AA64</f>
        <v/>
      </c>
      <c r="AN64" s="54">
        <f>AM64+AB64</f>
        <v/>
      </c>
      <c r="AO64" s="54">
        <f>AL64+AE64+AF64+AG64+AH64+AI64+AB64</f>
        <v/>
      </c>
      <c r="AP64" s="54">
        <f>IF(State!$B$46=1,AO64,AN64)</f>
        <v/>
      </c>
      <c r="AQ64" s="54" t="n">
        <v>1219.8</v>
      </c>
      <c r="AR64" s="54" t="n">
        <v>-1410.2</v>
      </c>
      <c r="AS64" s="54" t="n">
        <v>-814.8</v>
      </c>
      <c r="AT64" s="54" t="n">
        <v>2223.7</v>
      </c>
      <c r="AU64" s="54" t="n">
        <v>844.9</v>
      </c>
      <c r="AX64" s="54" t="n">
        <v>312.1</v>
      </c>
      <c r="AY64" s="54" t="n">
        <v>332.9</v>
      </c>
      <c r="AZ64" s="54" t="n">
        <v>429.1</v>
      </c>
      <c r="BA64" s="54" t="n">
        <v>13.5</v>
      </c>
      <c r="BB64" s="54" t="n">
        <v>1136.1</v>
      </c>
      <c r="BC64" s="54">
        <f>AQ64+AR64+AS64+AT64+AU64</f>
        <v/>
      </c>
      <c r="BD64" s="54">
        <f>AQ64</f>
        <v/>
      </c>
      <c r="BE64" s="54">
        <f>AQ64+AR64</f>
        <v/>
      </c>
      <c r="BF64" s="54">
        <f>BE64+AS64</f>
        <v/>
      </c>
      <c r="BG64" s="54">
        <f>BF64+AT64</f>
        <v/>
      </c>
      <c r="BH64" s="54">
        <f>BG64+AU64</f>
        <v/>
      </c>
      <c r="BI64" s="54">
        <f>BC64</f>
        <v/>
      </c>
      <c r="BJ64" s="54">
        <f>IF(State!$B$14=1,CHOOSE(State!$B$43+1,D64,BD64,BE64,BF64,BG64,BH64,BI64),BK64)</f>
        <v/>
      </c>
      <c r="BK64" s="54">
        <f>CHOOSE(State!$B$43+1,D64,AJ64,AK64,AL64,AM64,AN64,AO64)</f>
        <v/>
      </c>
      <c r="BL64" s="54">
        <f>IF(State!$B$44=1,H64,0)</f>
        <v/>
      </c>
      <c r="BQ64" s="54">
        <f>D64-AP64</f>
        <v/>
      </c>
      <c r="BR64" s="54">
        <f>BQ64^2</f>
        <v/>
      </c>
      <c r="BS64" s="54">
        <f>(BQ64-BQ63)^2</f>
        <v/>
      </c>
      <c r="BT64" s="54">
        <f>IF(D64&gt;2000,ABS(BQ64)/D64,"")</f>
        <v/>
      </c>
      <c r="BU64" s="54" t="n">
        <v>278</v>
      </c>
      <c r="BV64" s="74" t="n">
        <v>0.5324</v>
      </c>
      <c r="BW64" s="54" t="n">
        <v>544.1</v>
      </c>
    </row>
    <row r="65">
      <c r="A65" s="73" t="n">
        <v>45347</v>
      </c>
      <c r="B65" s="53">
        <f>YEAR(A65)</f>
        <v/>
      </c>
      <c r="C65" s="53">
        <f>MONTH(A65)</f>
        <v/>
      </c>
      <c r="D65" s="54" t="n">
        <v>3133</v>
      </c>
      <c r="E65" s="55" t="n">
        <v>0.7651</v>
      </c>
      <c r="F65" s="55" t="n">
        <v>1.2567</v>
      </c>
      <c r="G65" s="55" t="n">
        <v>-0.1072</v>
      </c>
      <c r="H65" s="54" t="n">
        <v>104.16</v>
      </c>
      <c r="I65" s="54">
        <f>H65+State!$B$6/100*I64</f>
        <v/>
      </c>
      <c r="J65" s="54" t="n">
        <v>160.56</v>
      </c>
      <c r="K65" s="54" t="n">
        <v>214.24</v>
      </c>
      <c r="N65" s="54" t="n">
        <v>0</v>
      </c>
      <c r="O65" s="54" t="n">
        <v>15.13</v>
      </c>
      <c r="P65" s="54" t="n">
        <v>31.14</v>
      </c>
      <c r="Q65" s="54" t="n">
        <v>3.5</v>
      </c>
      <c r="R65" s="54" t="n">
        <v>51.25</v>
      </c>
      <c r="S65" s="54">
        <f>N65+Answers!$C$16/100*S64</f>
        <v/>
      </c>
      <c r="T65" s="54">
        <f>O65+Answers!$C$17/100*T64</f>
        <v/>
      </c>
      <c r="U65" s="54">
        <f>P65+Answers!$C$18/100*U64</f>
        <v/>
      </c>
      <c r="V65" s="54">
        <f>Q65+Answers!$C$19/100*V64</f>
        <v/>
      </c>
      <c r="W65" s="54">
        <f>R65+Answers!$C$20/100*W64</f>
        <v/>
      </c>
      <c r="X65" s="54">
        <f>State!$B$2*E65</f>
        <v/>
      </c>
      <c r="Y65" s="54">
        <f>-State!$B$3*F65</f>
        <v/>
      </c>
      <c r="Z65" s="54">
        <f>State!$B$4*G65</f>
        <v/>
      </c>
      <c r="AA65" s="54">
        <f>State!$B$5*(1-State!$B$6/100)*I65</f>
        <v/>
      </c>
      <c r="AB65" s="54">
        <f>State!$B$7*K65</f>
        <v/>
      </c>
      <c r="AE65" s="54">
        <f>State!$B$8*(1-Answers!$C$16/100)*S65</f>
        <v/>
      </c>
      <c r="AF65" s="54">
        <f>State!$B$9*(1-Answers!$C$17/100)*T65</f>
        <v/>
      </c>
      <c r="AG65" s="54">
        <f>State!$B$10*(1-Answers!$C$18/100)*U65</f>
        <v/>
      </c>
      <c r="AH65" s="54">
        <f>State!$B$11*(1-Answers!$C$19/100)*V65</f>
        <v/>
      </c>
      <c r="AI65" s="54">
        <f>State!$B$12*(1-Answers!$C$20/100)*W65</f>
        <v/>
      </c>
      <c r="AJ65" s="54">
        <f>X65</f>
        <v/>
      </c>
      <c r="AK65" s="54">
        <f>X65+Y65</f>
        <v/>
      </c>
      <c r="AL65" s="54">
        <f>AK65+Z65</f>
        <v/>
      </c>
      <c r="AM65" s="54">
        <f>AL65+AA65</f>
        <v/>
      </c>
      <c r="AN65" s="54">
        <f>AM65+AB65</f>
        <v/>
      </c>
      <c r="AO65" s="54">
        <f>AL65+AE65+AF65+AG65+AH65+AI65+AB65</f>
        <v/>
      </c>
      <c r="AP65" s="54">
        <f>IF(State!$B$46=1,AO65,AN65)</f>
        <v/>
      </c>
      <c r="AQ65" s="54" t="n">
        <v>669.9</v>
      </c>
      <c r="AR65" s="54" t="n">
        <v>-1196.9</v>
      </c>
      <c r="AS65" s="54" t="n">
        <v>-814.8</v>
      </c>
      <c r="AT65" s="54" t="n">
        <v>2181.3</v>
      </c>
      <c r="AU65" s="54" t="n">
        <v>749.8</v>
      </c>
      <c r="AX65" s="54" t="n">
        <v>265.3</v>
      </c>
      <c r="AY65" s="54" t="n">
        <v>322.4</v>
      </c>
      <c r="AZ65" s="54" t="n">
        <v>446.1</v>
      </c>
      <c r="BA65" s="54" t="n">
        <v>14.4</v>
      </c>
      <c r="BB65" s="54" t="n">
        <v>1133.1</v>
      </c>
      <c r="BC65" s="54">
        <f>AQ65+AR65+AS65+AT65+AU65</f>
        <v/>
      </c>
      <c r="BD65" s="54">
        <f>AQ65</f>
        <v/>
      </c>
      <c r="BE65" s="54">
        <f>AQ65+AR65</f>
        <v/>
      </c>
      <c r="BF65" s="54">
        <f>BE65+AS65</f>
        <v/>
      </c>
      <c r="BG65" s="54">
        <f>BF65+AT65</f>
        <v/>
      </c>
      <c r="BH65" s="54">
        <f>BG65+AU65</f>
        <v/>
      </c>
      <c r="BI65" s="54">
        <f>BC65</f>
        <v/>
      </c>
      <c r="BJ65" s="54">
        <f>IF(State!$B$14=1,CHOOSE(State!$B$43+1,D65,BD65,BE65,BF65,BG65,BH65,BI65),BK65)</f>
        <v/>
      </c>
      <c r="BK65" s="54">
        <f>CHOOSE(State!$B$43+1,D65,AJ65,AK65,AL65,AM65,AN65,AO65)</f>
        <v/>
      </c>
      <c r="BL65" s="54">
        <f>IF(State!$B$44=1,H65,0)</f>
        <v/>
      </c>
      <c r="BQ65" s="54">
        <f>D65-AP65</f>
        <v/>
      </c>
      <c r="BR65" s="54">
        <f>BQ65^2</f>
        <v/>
      </c>
      <c r="BS65" s="54">
        <f>(BQ65-BQ64)^2</f>
        <v/>
      </c>
      <c r="BT65" s="54">
        <f>IF(D65&gt;2000,ABS(BQ65)/D65,"")</f>
        <v/>
      </c>
      <c r="BU65" s="54" t="n">
        <v>316</v>
      </c>
      <c r="BV65" s="74" t="n">
        <v>0.5421</v>
      </c>
      <c r="BW65" s="54" t="n">
        <v>596.5</v>
      </c>
    </row>
    <row r="66">
      <c r="A66" s="73" t="n">
        <v>45354</v>
      </c>
      <c r="B66" s="53">
        <f>YEAR(A66)</f>
        <v/>
      </c>
      <c r="C66" s="53">
        <f>MONTH(A66)</f>
        <v/>
      </c>
      <c r="D66" s="54" t="n">
        <v>4742</v>
      </c>
      <c r="E66" s="55" t="n">
        <v>1.2156</v>
      </c>
      <c r="F66" s="55" t="n">
        <v>1.0465</v>
      </c>
      <c r="G66" s="55" t="n">
        <v>0</v>
      </c>
      <c r="H66" s="54" t="n">
        <v>115.38</v>
      </c>
      <c r="I66" s="54">
        <f>H66+State!$B$6/100*I65</f>
        <v/>
      </c>
      <c r="J66" s="54" t="n">
        <v>126.01</v>
      </c>
      <c r="K66" s="54" t="n">
        <v>635.4299999999999</v>
      </c>
      <c r="N66" s="54" t="n">
        <v>0</v>
      </c>
      <c r="O66" s="54" t="n">
        <v>15.01</v>
      </c>
      <c r="P66" s="54" t="n">
        <v>41.43</v>
      </c>
      <c r="Q66" s="54" t="n">
        <v>3.5</v>
      </c>
      <c r="R66" s="54" t="n">
        <v>50.7</v>
      </c>
      <c r="S66" s="54">
        <f>N66+Answers!$C$16/100*S65</f>
        <v/>
      </c>
      <c r="T66" s="54">
        <f>O66+Answers!$C$17/100*T65</f>
        <v/>
      </c>
      <c r="U66" s="54">
        <f>P66+Answers!$C$18/100*U65</f>
        <v/>
      </c>
      <c r="V66" s="54">
        <f>Q66+Answers!$C$19/100*V65</f>
        <v/>
      </c>
      <c r="W66" s="54">
        <f>R66+Answers!$C$20/100*W65</f>
        <v/>
      </c>
      <c r="X66" s="54">
        <f>State!$B$2*E66</f>
        <v/>
      </c>
      <c r="Y66" s="54">
        <f>-State!$B$3*F66</f>
        <v/>
      </c>
      <c r="Z66" s="54">
        <f>State!$B$4*G66</f>
        <v/>
      </c>
      <c r="AA66" s="54">
        <f>State!$B$5*(1-State!$B$6/100)*I66</f>
        <v/>
      </c>
      <c r="AB66" s="54">
        <f>State!$B$7*K66</f>
        <v/>
      </c>
      <c r="AE66" s="54">
        <f>State!$B$8*(1-Answers!$C$16/100)*S66</f>
        <v/>
      </c>
      <c r="AF66" s="54">
        <f>State!$B$9*(1-Answers!$C$17/100)*T66</f>
        <v/>
      </c>
      <c r="AG66" s="54">
        <f>State!$B$10*(1-Answers!$C$18/100)*U66</f>
        <v/>
      </c>
      <c r="AH66" s="54">
        <f>State!$B$11*(1-Answers!$C$19/100)*V66</f>
        <v/>
      </c>
      <c r="AI66" s="54">
        <f>State!$B$12*(1-Answers!$C$20/100)*W66</f>
        <v/>
      </c>
      <c r="AJ66" s="54">
        <f>X66</f>
        <v/>
      </c>
      <c r="AK66" s="54">
        <f>X66+Y66</f>
        <v/>
      </c>
      <c r="AL66" s="54">
        <f>AK66+Z66</f>
        <v/>
      </c>
      <c r="AM66" s="54">
        <f>AL66+AA66</f>
        <v/>
      </c>
      <c r="AN66" s="54">
        <f>AM66+AB66</f>
        <v/>
      </c>
      <c r="AO66" s="54">
        <f>AL66+AE66+AF66+AG66+AH66+AI66+AB66</f>
        <v/>
      </c>
      <c r="AP66" s="54">
        <f>IF(State!$B$46=1,AO66,AN66)</f>
        <v/>
      </c>
      <c r="AQ66" s="54" t="n">
        <v>1064.4</v>
      </c>
      <c r="AR66" s="54" t="n">
        <v>-996.7</v>
      </c>
      <c r="AS66" s="54" t="n">
        <v>0</v>
      </c>
      <c r="AT66" s="54" t="n">
        <v>2151.2</v>
      </c>
      <c r="AU66" s="54" t="n">
        <v>2305.4</v>
      </c>
      <c r="AX66" s="54" t="n">
        <v>225.5</v>
      </c>
      <c r="AY66" s="54" t="n">
        <v>313.2</v>
      </c>
      <c r="AZ66" s="54" t="n">
        <v>487.5</v>
      </c>
      <c r="BA66" s="54" t="n">
        <v>15.1</v>
      </c>
      <c r="BB66" s="54" t="n">
        <v>1110</v>
      </c>
      <c r="BC66" s="54">
        <f>AQ66+AR66+AS66+AT66+AU66</f>
        <v/>
      </c>
      <c r="BD66" s="54">
        <f>AQ66</f>
        <v/>
      </c>
      <c r="BE66" s="54">
        <f>AQ66+AR66</f>
        <v/>
      </c>
      <c r="BF66" s="54">
        <f>BE66+AS66</f>
        <v/>
      </c>
      <c r="BG66" s="54">
        <f>BF66+AT66</f>
        <v/>
      </c>
      <c r="BH66" s="54">
        <f>BG66+AU66</f>
        <v/>
      </c>
      <c r="BI66" s="54">
        <f>BC66</f>
        <v/>
      </c>
      <c r="BJ66" s="54">
        <f>IF(State!$B$14=1,CHOOSE(State!$B$43+1,D66,BD66,BE66,BF66,BG66,BH66,BI66),BK66)</f>
        <v/>
      </c>
      <c r="BK66" s="54">
        <f>CHOOSE(State!$B$43+1,D66,AJ66,AK66,AL66,AM66,AN66,AO66)</f>
        <v/>
      </c>
      <c r="BL66" s="54">
        <f>IF(State!$B$44=1,H66,0)</f>
        <v/>
      </c>
      <c r="BQ66" s="54">
        <f>D66-AP66</f>
        <v/>
      </c>
      <c r="BR66" s="54">
        <f>BQ66^2</f>
        <v/>
      </c>
      <c r="BS66" s="54">
        <f>(BQ66-BQ65)^2</f>
        <v/>
      </c>
      <c r="BT66" s="54">
        <f>IF(D66&gt;2000,ABS(BQ66)/D66,"")</f>
        <v/>
      </c>
      <c r="BU66" s="54" t="n">
        <v>236</v>
      </c>
      <c r="BV66" s="74" t="n">
        <v>0.555</v>
      </c>
      <c r="BW66" s="54" t="n">
        <v>975.6</v>
      </c>
    </row>
    <row r="67">
      <c r="A67" s="73" t="n">
        <v>45361</v>
      </c>
      <c r="B67" s="53">
        <f>YEAR(A67)</f>
        <v/>
      </c>
      <c r="C67" s="53">
        <f>MONTH(A67)</f>
        <v/>
      </c>
      <c r="D67" s="54" t="n">
        <v>5043</v>
      </c>
      <c r="E67" s="55" t="n">
        <v>0.6877</v>
      </c>
      <c r="F67" s="55" t="n">
        <v>1.0488</v>
      </c>
      <c r="G67" s="55" t="n">
        <v>0</v>
      </c>
      <c r="H67" s="54" t="n">
        <v>167.12</v>
      </c>
      <c r="I67" s="54">
        <f>H67+State!$B$6/100*I66</f>
        <v/>
      </c>
      <c r="J67" s="54" t="n">
        <v>133.58</v>
      </c>
      <c r="K67" s="54" t="n">
        <v>588.6799999999999</v>
      </c>
      <c r="N67" s="54" t="n">
        <v>0</v>
      </c>
      <c r="O67" s="54" t="n">
        <v>49.13</v>
      </c>
      <c r="P67" s="54" t="n">
        <v>19.06</v>
      </c>
      <c r="Q67" s="54" t="n">
        <v>3.5</v>
      </c>
      <c r="R67" s="54" t="n">
        <v>90.39</v>
      </c>
      <c r="S67" s="54">
        <f>N67+Answers!$C$16/100*S66</f>
        <v/>
      </c>
      <c r="T67" s="54">
        <f>O67+Answers!$C$17/100*T66</f>
        <v/>
      </c>
      <c r="U67" s="54">
        <f>P67+Answers!$C$18/100*U66</f>
        <v/>
      </c>
      <c r="V67" s="54">
        <f>Q67+Answers!$C$19/100*V66</f>
        <v/>
      </c>
      <c r="W67" s="54">
        <f>R67+Answers!$C$20/100*W66</f>
        <v/>
      </c>
      <c r="X67" s="54">
        <f>State!$B$2*E67</f>
        <v/>
      </c>
      <c r="Y67" s="54">
        <f>-State!$B$3*F67</f>
        <v/>
      </c>
      <c r="Z67" s="54">
        <f>State!$B$4*G67</f>
        <v/>
      </c>
      <c r="AA67" s="54">
        <f>State!$B$5*(1-State!$B$6/100)*I67</f>
        <v/>
      </c>
      <c r="AB67" s="54">
        <f>State!$B$7*K67</f>
        <v/>
      </c>
      <c r="AE67" s="54">
        <f>State!$B$8*(1-Answers!$C$16/100)*S67</f>
        <v/>
      </c>
      <c r="AF67" s="54">
        <f>State!$B$9*(1-Answers!$C$17/100)*T67</f>
        <v/>
      </c>
      <c r="AG67" s="54">
        <f>State!$B$10*(1-Answers!$C$18/100)*U67</f>
        <v/>
      </c>
      <c r="AH67" s="54">
        <f>State!$B$11*(1-Answers!$C$19/100)*V67</f>
        <v/>
      </c>
      <c r="AI67" s="54">
        <f>State!$B$12*(1-Answers!$C$20/100)*W67</f>
        <v/>
      </c>
      <c r="AJ67" s="54">
        <f>X67</f>
        <v/>
      </c>
      <c r="AK67" s="54">
        <f>X67+Y67</f>
        <v/>
      </c>
      <c r="AL67" s="54">
        <f>AK67+Z67</f>
        <v/>
      </c>
      <c r="AM67" s="54">
        <f>AL67+AA67</f>
        <v/>
      </c>
      <c r="AN67" s="54">
        <f>AM67+AB67</f>
        <v/>
      </c>
      <c r="AO67" s="54">
        <f>AL67+AE67+AF67+AG67+AH67+AI67+AB67</f>
        <v/>
      </c>
      <c r="AP67" s="54">
        <f>IF(State!$B$46=1,AO67,AN67)</f>
        <v/>
      </c>
      <c r="AQ67" s="54" t="n">
        <v>602.1</v>
      </c>
      <c r="AR67" s="54" t="n">
        <v>-998.9</v>
      </c>
      <c r="AS67" s="54" t="n">
        <v>0</v>
      </c>
      <c r="AT67" s="54" t="n">
        <v>2232.4</v>
      </c>
      <c r="AU67" s="54" t="n">
        <v>2156</v>
      </c>
      <c r="AX67" s="54" t="n">
        <v>191.6</v>
      </c>
      <c r="AY67" s="54" t="n">
        <v>394.3</v>
      </c>
      <c r="AZ67" s="54" t="n">
        <v>464.1</v>
      </c>
      <c r="BA67" s="54" t="n">
        <v>15.8</v>
      </c>
      <c r="BB67" s="54" t="n">
        <v>1166.5</v>
      </c>
      <c r="BC67" s="54">
        <f>AQ67+AR67+AS67+AT67+AU67</f>
        <v/>
      </c>
      <c r="BD67" s="54">
        <f>AQ67</f>
        <v/>
      </c>
      <c r="BE67" s="54">
        <f>AQ67+AR67</f>
        <v/>
      </c>
      <c r="BF67" s="54">
        <f>BE67+AS67</f>
        <v/>
      </c>
      <c r="BG67" s="54">
        <f>BF67+AT67</f>
        <v/>
      </c>
      <c r="BH67" s="54">
        <f>BG67+AU67</f>
        <v/>
      </c>
      <c r="BI67" s="54">
        <f>BC67</f>
        <v/>
      </c>
      <c r="BJ67" s="54">
        <f>IF(State!$B$14=1,CHOOSE(State!$B$43+1,D67,BD67,BE67,BF67,BG67,BH67,BI67),BK67)</f>
        <v/>
      </c>
      <c r="BK67" s="54">
        <f>CHOOSE(State!$B$43+1,D67,AJ67,AK67,AL67,AM67,AN67,AO67)</f>
        <v/>
      </c>
      <c r="BL67" s="54">
        <f>IF(State!$B$44=1,H67,0)</f>
        <v/>
      </c>
      <c r="BQ67" s="54">
        <f>D67-AP67</f>
        <v/>
      </c>
      <c r="BR67" s="54">
        <f>BQ67^2</f>
        <v/>
      </c>
      <c r="BS67" s="54">
        <f>(BQ67-BQ66)^2</f>
        <v/>
      </c>
      <c r="BT67" s="54">
        <f>IF(D67&gt;2000,ABS(BQ67)/D67,"")</f>
        <v/>
      </c>
      <c r="BU67" s="54" t="n">
        <v>238</v>
      </c>
      <c r="BV67" s="74" t="n">
        <v>0.555</v>
      </c>
      <c r="BW67" s="54" t="n">
        <v>855</v>
      </c>
    </row>
    <row r="68">
      <c r="A68" s="73" t="n">
        <v>45368</v>
      </c>
      <c r="B68" s="53">
        <f>YEAR(A68)</f>
        <v/>
      </c>
      <c r="C68" s="53">
        <f>MONTH(A68)</f>
        <v/>
      </c>
      <c r="D68" s="54" t="n">
        <v>6334</v>
      </c>
      <c r="E68" s="55" t="n">
        <v>0.6852</v>
      </c>
      <c r="F68" s="55" t="n">
        <v>0.7015</v>
      </c>
      <c r="G68" s="55" t="n">
        <v>0.3125</v>
      </c>
      <c r="H68" s="54" t="n">
        <v>114.23</v>
      </c>
      <c r="I68" s="54">
        <f>H68+State!$B$6/100*I67</f>
        <v/>
      </c>
      <c r="J68" s="54" t="n">
        <v>107.4</v>
      </c>
      <c r="K68" s="54" t="n">
        <v>239.01</v>
      </c>
      <c r="N68" s="54" t="n">
        <v>0</v>
      </c>
      <c r="O68" s="54" t="n">
        <v>34.79</v>
      </c>
      <c r="P68" s="54" t="n">
        <v>20.81</v>
      </c>
      <c r="Q68" s="54" t="n">
        <v>3.5</v>
      </c>
      <c r="R68" s="54" t="n">
        <v>48.79</v>
      </c>
      <c r="S68" s="54">
        <f>N68+Answers!$C$16/100*S67</f>
        <v/>
      </c>
      <c r="T68" s="54">
        <f>O68+Answers!$C$17/100*T67</f>
        <v/>
      </c>
      <c r="U68" s="54">
        <f>P68+Answers!$C$18/100*U67</f>
        <v/>
      </c>
      <c r="V68" s="54">
        <f>Q68+Answers!$C$19/100*V67</f>
        <v/>
      </c>
      <c r="W68" s="54">
        <f>R68+Answers!$C$20/100*W67</f>
        <v/>
      </c>
      <c r="X68" s="54">
        <f>State!$B$2*E68</f>
        <v/>
      </c>
      <c r="Y68" s="54">
        <f>-State!$B$3*F68</f>
        <v/>
      </c>
      <c r="Z68" s="54">
        <f>State!$B$4*G68</f>
        <v/>
      </c>
      <c r="AA68" s="54">
        <f>State!$B$5*(1-State!$B$6/100)*I68</f>
        <v/>
      </c>
      <c r="AB68" s="54">
        <f>State!$B$7*K68</f>
        <v/>
      </c>
      <c r="AE68" s="54">
        <f>State!$B$8*(1-Answers!$C$16/100)*S68</f>
        <v/>
      </c>
      <c r="AF68" s="54">
        <f>State!$B$9*(1-Answers!$C$17/100)*T68</f>
        <v/>
      </c>
      <c r="AG68" s="54">
        <f>State!$B$10*(1-Answers!$C$18/100)*U68</f>
        <v/>
      </c>
      <c r="AH68" s="54">
        <f>State!$B$11*(1-Answers!$C$19/100)*V68</f>
        <v/>
      </c>
      <c r="AI68" s="54">
        <f>State!$B$12*(1-Answers!$C$20/100)*W68</f>
        <v/>
      </c>
      <c r="AJ68" s="54">
        <f>X68</f>
        <v/>
      </c>
      <c r="AK68" s="54">
        <f>X68+Y68</f>
        <v/>
      </c>
      <c r="AL68" s="54">
        <f>AK68+Z68</f>
        <v/>
      </c>
      <c r="AM68" s="54">
        <f>AL68+AA68</f>
        <v/>
      </c>
      <c r="AN68" s="54">
        <f>AM68+AB68</f>
        <v/>
      </c>
      <c r="AO68" s="54">
        <f>AL68+AE68+AF68+AG68+AH68+AI68+AB68</f>
        <v/>
      </c>
      <c r="AP68" s="54">
        <f>IF(State!$B$46=1,AO68,AN68)</f>
        <v/>
      </c>
      <c r="AQ68" s="54" t="n">
        <v>599.9</v>
      </c>
      <c r="AR68" s="54" t="n">
        <v>-668.1</v>
      </c>
      <c r="AS68" s="54" t="n">
        <v>2373.9</v>
      </c>
      <c r="AT68" s="54" t="n">
        <v>2170.6</v>
      </c>
      <c r="AU68" s="54" t="n">
        <v>869.5</v>
      </c>
      <c r="AX68" s="54" t="n">
        <v>162.9</v>
      </c>
      <c r="AY68" s="54" t="n">
        <v>425.8</v>
      </c>
      <c r="AZ68" s="54" t="n">
        <v>448.9</v>
      </c>
      <c r="BA68" s="54" t="n">
        <v>16.3</v>
      </c>
      <c r="BB68" s="54" t="n">
        <v>1116.6</v>
      </c>
      <c r="BC68" s="54">
        <f>AQ68+AR68+AS68+AT68+AU68</f>
        <v/>
      </c>
      <c r="BD68" s="54">
        <f>AQ68</f>
        <v/>
      </c>
      <c r="BE68" s="54">
        <f>AQ68+AR68</f>
        <v/>
      </c>
      <c r="BF68" s="54">
        <f>BE68+AS68</f>
        <v/>
      </c>
      <c r="BG68" s="54">
        <f>BF68+AT68</f>
        <v/>
      </c>
      <c r="BH68" s="54">
        <f>BG68+AU68</f>
        <v/>
      </c>
      <c r="BI68" s="54">
        <f>BC68</f>
        <v/>
      </c>
      <c r="BJ68" s="54">
        <f>IF(State!$B$14=1,CHOOSE(State!$B$43+1,D68,BD68,BE68,BF68,BG68,BH68,BI68),BK68)</f>
        <v/>
      </c>
      <c r="BK68" s="54">
        <f>CHOOSE(State!$B$43+1,D68,AJ68,AK68,AL68,AM68,AN68,AO68)</f>
        <v/>
      </c>
      <c r="BL68" s="54">
        <f>IF(State!$B$44=1,H68,0)</f>
        <v/>
      </c>
      <c r="BQ68" s="54">
        <f>D68-AP68</f>
        <v/>
      </c>
      <c r="BR68" s="54">
        <f>BQ68^2</f>
        <v/>
      </c>
      <c r="BS68" s="54">
        <f>(BQ68-BQ67)^2</f>
        <v/>
      </c>
      <c r="BT68" s="54">
        <f>IF(D68&gt;2000,ABS(BQ68)/D68,"")</f>
        <v/>
      </c>
      <c r="BU68" s="54" t="n">
        <v>175</v>
      </c>
      <c r="BV68" s="74" t="n">
        <v>0.555</v>
      </c>
      <c r="BW68" s="54" t="n">
        <v>515.4</v>
      </c>
    </row>
    <row r="69">
      <c r="A69" s="73" t="n">
        <v>45375</v>
      </c>
      <c r="B69" s="53">
        <f>YEAR(A69)</f>
        <v/>
      </c>
      <c r="C69" s="53">
        <f>MONTH(A69)</f>
        <v/>
      </c>
      <c r="D69" s="54" t="n">
        <v>8687</v>
      </c>
      <c r="E69" s="55" t="n">
        <v>0.6914</v>
      </c>
      <c r="F69" s="55" t="n">
        <v>0.5872000000000001</v>
      </c>
      <c r="G69" s="55" t="n">
        <v>0.7291</v>
      </c>
      <c r="H69" s="54" t="n">
        <v>874.25</v>
      </c>
      <c r="I69" s="54">
        <f>H69+State!$B$6/100*I68</f>
        <v/>
      </c>
      <c r="J69" s="54" t="n">
        <v>94.38</v>
      </c>
      <c r="K69" s="54" t="n">
        <v>164.82</v>
      </c>
      <c r="N69" s="54" t="n">
        <v>607.04</v>
      </c>
      <c r="O69" s="54" t="n">
        <v>19.73</v>
      </c>
      <c r="P69" s="54" t="n">
        <v>45.89</v>
      </c>
      <c r="Q69" s="54" t="n">
        <v>3.5</v>
      </c>
      <c r="R69" s="54" t="n">
        <v>189.4</v>
      </c>
      <c r="S69" s="54">
        <f>N69+Answers!$C$16/100*S68</f>
        <v/>
      </c>
      <c r="T69" s="54">
        <f>O69+Answers!$C$17/100*T68</f>
        <v/>
      </c>
      <c r="U69" s="54">
        <f>P69+Answers!$C$18/100*U68</f>
        <v/>
      </c>
      <c r="V69" s="54">
        <f>Q69+Answers!$C$19/100*V68</f>
        <v/>
      </c>
      <c r="W69" s="54">
        <f>R69+Answers!$C$20/100*W68</f>
        <v/>
      </c>
      <c r="X69" s="54">
        <f>State!$B$2*E69</f>
        <v/>
      </c>
      <c r="Y69" s="54">
        <f>-State!$B$3*F69</f>
        <v/>
      </c>
      <c r="Z69" s="54">
        <f>State!$B$4*G69</f>
        <v/>
      </c>
      <c r="AA69" s="54">
        <f>State!$B$5*(1-State!$B$6/100)*I69</f>
        <v/>
      </c>
      <c r="AB69" s="54">
        <f>State!$B$7*K69</f>
        <v/>
      </c>
      <c r="AE69" s="54">
        <f>State!$B$8*(1-Answers!$C$16/100)*S69</f>
        <v/>
      </c>
      <c r="AF69" s="54">
        <f>State!$B$9*(1-Answers!$C$17/100)*T69</f>
        <v/>
      </c>
      <c r="AG69" s="54">
        <f>State!$B$10*(1-Answers!$C$18/100)*U69</f>
        <v/>
      </c>
      <c r="AH69" s="54">
        <f>State!$B$11*(1-Answers!$C$19/100)*V69</f>
        <v/>
      </c>
      <c r="AI69" s="54">
        <f>State!$B$12*(1-Answers!$C$20/100)*W69</f>
        <v/>
      </c>
      <c r="AJ69" s="54">
        <f>X69</f>
        <v/>
      </c>
      <c r="AK69" s="54">
        <f>X69+Y69</f>
        <v/>
      </c>
      <c r="AL69" s="54">
        <f>AK69+Z69</f>
        <v/>
      </c>
      <c r="AM69" s="54">
        <f>AL69+AA69</f>
        <v/>
      </c>
      <c r="AN69" s="54">
        <f>AM69+AB69</f>
        <v/>
      </c>
      <c r="AO69" s="54">
        <f>AL69+AE69+AF69+AG69+AH69+AI69+AB69</f>
        <v/>
      </c>
      <c r="AP69" s="54">
        <f>IF(State!$B$46=1,AO69,AN69)</f>
        <v/>
      </c>
      <c r="AQ69" s="54" t="n">
        <v>605.4</v>
      </c>
      <c r="AR69" s="54" t="n">
        <v>-559.3</v>
      </c>
      <c r="AS69" s="54" t="n">
        <v>5539.2</v>
      </c>
      <c r="AT69" s="54" t="n">
        <v>4065.9</v>
      </c>
      <c r="AU69" s="54" t="n">
        <v>593.1</v>
      </c>
      <c r="AX69" s="54" t="n">
        <v>1719.4</v>
      </c>
      <c r="AY69" s="54" t="n">
        <v>413.4</v>
      </c>
      <c r="AZ69" s="54" t="n">
        <v>501.5</v>
      </c>
      <c r="BA69" s="54" t="n">
        <v>16.8</v>
      </c>
      <c r="BB69" s="54" t="n">
        <v>1414.8</v>
      </c>
      <c r="BC69" s="54">
        <f>AQ69+AR69+AS69+AT69+AU69</f>
        <v/>
      </c>
      <c r="BD69" s="54">
        <f>AQ69</f>
        <v/>
      </c>
      <c r="BE69" s="54">
        <f>AQ69+AR69</f>
        <v/>
      </c>
      <c r="BF69" s="54">
        <f>BE69+AS69</f>
        <v/>
      </c>
      <c r="BG69" s="54">
        <f>BF69+AT69</f>
        <v/>
      </c>
      <c r="BH69" s="54">
        <f>BG69+AU69</f>
        <v/>
      </c>
      <c r="BI69" s="54">
        <f>BC69</f>
        <v/>
      </c>
      <c r="BJ69" s="54">
        <f>IF(State!$B$14=1,CHOOSE(State!$B$43+1,D69,BD69,BE69,BF69,BG69,BH69,BI69),BK69)</f>
        <v/>
      </c>
      <c r="BK69" s="54">
        <f>CHOOSE(State!$B$43+1,D69,AJ69,AK69,AL69,AM69,AN69,AO69)</f>
        <v/>
      </c>
      <c r="BL69" s="54">
        <f>IF(State!$B$44=1,H69,0)</f>
        <v/>
      </c>
      <c r="BQ69" s="54">
        <f>D69-AP69</f>
        <v/>
      </c>
      <c r="BR69" s="54">
        <f>BQ69^2</f>
        <v/>
      </c>
      <c r="BS69" s="54">
        <f>(BQ69-BQ68)^2</f>
        <v/>
      </c>
      <c r="BT69" s="54">
        <f>IF(D69&gt;2000,ABS(BQ69)/D69,"")</f>
        <v/>
      </c>
      <c r="BU69" s="54" t="n">
        <v>208</v>
      </c>
      <c r="BV69" s="74" t="n">
        <v>0.555</v>
      </c>
      <c r="BW69" s="54" t="n">
        <v>1163.3</v>
      </c>
    </row>
    <row r="70">
      <c r="A70" s="73" t="n">
        <v>45382</v>
      </c>
      <c r="B70" s="53">
        <f>YEAR(A70)</f>
        <v/>
      </c>
      <c r="C70" s="53">
        <f>MONTH(A70)</f>
        <v/>
      </c>
      <c r="D70" s="54" t="n">
        <v>9170</v>
      </c>
      <c r="E70" s="55" t="n">
        <v>0.6791</v>
      </c>
      <c r="F70" s="55" t="n">
        <v>0.6855</v>
      </c>
      <c r="G70" s="55" t="n">
        <v>0.7291</v>
      </c>
      <c r="H70" s="54" t="n">
        <v>911.11</v>
      </c>
      <c r="I70" s="54">
        <f>H70+State!$B$6/100*I69</f>
        <v/>
      </c>
      <c r="J70" s="54" t="n">
        <v>77.31</v>
      </c>
      <c r="K70" s="54" t="n">
        <v>141.48</v>
      </c>
      <c r="N70" s="54" t="n">
        <v>592.95</v>
      </c>
      <c r="O70" s="54" t="n">
        <v>10.25</v>
      </c>
      <c r="P70" s="54" t="n">
        <v>66.64</v>
      </c>
      <c r="Q70" s="54" t="n">
        <v>3.5</v>
      </c>
      <c r="R70" s="54" t="n">
        <v>228.6</v>
      </c>
      <c r="S70" s="54">
        <f>N70+Answers!$C$16/100*S69</f>
        <v/>
      </c>
      <c r="T70" s="54">
        <f>O70+Answers!$C$17/100*T69</f>
        <v/>
      </c>
      <c r="U70" s="54">
        <f>P70+Answers!$C$18/100*U69</f>
        <v/>
      </c>
      <c r="V70" s="54">
        <f>Q70+Answers!$C$19/100*V69</f>
        <v/>
      </c>
      <c r="W70" s="54">
        <f>R70+Answers!$C$20/100*W69</f>
        <v/>
      </c>
      <c r="X70" s="54">
        <f>State!$B$2*E70</f>
        <v/>
      </c>
      <c r="Y70" s="54">
        <f>-State!$B$3*F70</f>
        <v/>
      </c>
      <c r="Z70" s="54">
        <f>State!$B$4*G70</f>
        <v/>
      </c>
      <c r="AA70" s="54">
        <f>State!$B$5*(1-State!$B$6/100)*I70</f>
        <v/>
      </c>
      <c r="AB70" s="54">
        <f>State!$B$7*K70</f>
        <v/>
      </c>
      <c r="AE70" s="54">
        <f>State!$B$8*(1-Answers!$C$16/100)*S70</f>
        <v/>
      </c>
      <c r="AF70" s="54">
        <f>State!$B$9*(1-Answers!$C$17/100)*T70</f>
        <v/>
      </c>
      <c r="AG70" s="54">
        <f>State!$B$10*(1-Answers!$C$18/100)*U70</f>
        <v/>
      </c>
      <c r="AH70" s="54">
        <f>State!$B$11*(1-Answers!$C$19/100)*V70</f>
        <v/>
      </c>
      <c r="AI70" s="54">
        <f>State!$B$12*(1-Answers!$C$20/100)*W70</f>
        <v/>
      </c>
      <c r="AJ70" s="54">
        <f>X70</f>
        <v/>
      </c>
      <c r="AK70" s="54">
        <f>X70+Y70</f>
        <v/>
      </c>
      <c r="AL70" s="54">
        <f>AK70+Z70</f>
        <v/>
      </c>
      <c r="AM70" s="54">
        <f>AL70+AA70</f>
        <v/>
      </c>
      <c r="AN70" s="54">
        <f>AM70+AB70</f>
        <v/>
      </c>
      <c r="AO70" s="54">
        <f>AL70+AE70+AF70+AG70+AH70+AI70+AB70</f>
        <v/>
      </c>
      <c r="AP70" s="54">
        <f>IF(State!$B$46=1,AO70,AN70)</f>
        <v/>
      </c>
      <c r="AQ70" s="54" t="n">
        <v>594.6</v>
      </c>
      <c r="AR70" s="54" t="n">
        <v>-652.9</v>
      </c>
      <c r="AS70" s="54" t="n">
        <v>5539.2</v>
      </c>
      <c r="AT70" s="54" t="n">
        <v>5747.7</v>
      </c>
      <c r="AU70" s="54" t="n">
        <v>506.1</v>
      </c>
      <c r="AX70" s="54" t="n">
        <v>3005.8</v>
      </c>
      <c r="AY70" s="54" t="n">
        <v>378.1</v>
      </c>
      <c r="AZ70" s="54" t="n">
        <v>600.4</v>
      </c>
      <c r="BA70" s="54" t="n">
        <v>17.1</v>
      </c>
      <c r="BB70" s="54" t="n">
        <v>1746.3</v>
      </c>
      <c r="BC70" s="54">
        <f>AQ70+AR70+AS70+AT70+AU70</f>
        <v/>
      </c>
      <c r="BD70" s="54">
        <f>AQ70</f>
        <v/>
      </c>
      <c r="BE70" s="54">
        <f>AQ70+AR70</f>
        <v/>
      </c>
      <c r="BF70" s="54">
        <f>BE70+AS70</f>
        <v/>
      </c>
      <c r="BG70" s="54">
        <f>BF70+AT70</f>
        <v/>
      </c>
      <c r="BH70" s="54">
        <f>BG70+AU70</f>
        <v/>
      </c>
      <c r="BI70" s="54">
        <f>BC70</f>
        <v/>
      </c>
      <c r="BJ70" s="54">
        <f>IF(State!$B$14=1,CHOOSE(State!$B$43+1,D70,BD70,BE70,BF70,BG70,BH70,BI70),BK70)</f>
        <v/>
      </c>
      <c r="BK70" s="54">
        <f>CHOOSE(State!$B$43+1,D70,AJ70,AK70,AL70,AM70,AN70,AO70)</f>
        <v/>
      </c>
      <c r="BL70" s="54">
        <f>IF(State!$B$44=1,H70,0)</f>
        <v/>
      </c>
      <c r="BQ70" s="54">
        <f>D70-AP70</f>
        <v/>
      </c>
      <c r="BR70" s="54">
        <f>BQ70^2</f>
        <v/>
      </c>
      <c r="BS70" s="54">
        <f>(BQ70-BQ69)^2</f>
        <v/>
      </c>
      <c r="BT70" s="54">
        <f>IF(D70&gt;2000,ABS(BQ70)/D70,"")</f>
        <v/>
      </c>
      <c r="BU70" s="54" t="n">
        <v>198</v>
      </c>
      <c r="BV70" s="74" t="n">
        <v>0.5375</v>
      </c>
      <c r="BW70" s="54" t="n">
        <v>1135.1</v>
      </c>
    </row>
    <row r="71">
      <c r="A71" s="73" t="n">
        <v>45389</v>
      </c>
      <c r="B71" s="53">
        <f>YEAR(A71)</f>
        <v/>
      </c>
      <c r="C71" s="53">
        <f>MONTH(A71)</f>
        <v/>
      </c>
      <c r="D71" s="54" t="n">
        <v>9821</v>
      </c>
      <c r="E71" s="55" t="n">
        <v>0.7907</v>
      </c>
      <c r="F71" s="55" t="n">
        <v>0.6695</v>
      </c>
      <c r="G71" s="55" t="n">
        <v>0.7291</v>
      </c>
      <c r="H71" s="54" t="n">
        <v>374.22</v>
      </c>
      <c r="I71" s="54">
        <f>H71+State!$B$6/100*I70</f>
        <v/>
      </c>
      <c r="J71" s="54" t="n">
        <v>85.68000000000001</v>
      </c>
      <c r="K71" s="54" t="n">
        <v>727.0700000000001</v>
      </c>
      <c r="N71" s="54" t="n">
        <v>67.42</v>
      </c>
      <c r="O71" s="54" t="n">
        <v>17.29</v>
      </c>
      <c r="P71" s="54" t="n">
        <v>50.61</v>
      </c>
      <c r="Q71" s="54" t="n">
        <v>3.27</v>
      </c>
      <c r="R71" s="54" t="n">
        <v>225.82</v>
      </c>
      <c r="S71" s="54">
        <f>N71+Answers!$C$16/100*S70</f>
        <v/>
      </c>
      <c r="T71" s="54">
        <f>O71+Answers!$C$17/100*T70</f>
        <v/>
      </c>
      <c r="U71" s="54">
        <f>P71+Answers!$C$18/100*U70</f>
        <v/>
      </c>
      <c r="V71" s="54">
        <f>Q71+Answers!$C$19/100*V70</f>
        <v/>
      </c>
      <c r="W71" s="54">
        <f>R71+Answers!$C$20/100*W70</f>
        <v/>
      </c>
      <c r="X71" s="54">
        <f>State!$B$2*E71</f>
        <v/>
      </c>
      <c r="Y71" s="54">
        <f>-State!$B$3*F71</f>
        <v/>
      </c>
      <c r="Z71" s="54">
        <f>State!$B$4*G71</f>
        <v/>
      </c>
      <c r="AA71" s="54">
        <f>State!$B$5*(1-State!$B$6/100)*I71</f>
        <v/>
      </c>
      <c r="AB71" s="54">
        <f>State!$B$7*K71</f>
        <v/>
      </c>
      <c r="AE71" s="54">
        <f>State!$B$8*(1-Answers!$C$16/100)*S71</f>
        <v/>
      </c>
      <c r="AF71" s="54">
        <f>State!$B$9*(1-Answers!$C$17/100)*T71</f>
        <v/>
      </c>
      <c r="AG71" s="54">
        <f>State!$B$10*(1-Answers!$C$18/100)*U71</f>
        <v/>
      </c>
      <c r="AH71" s="54">
        <f>State!$B$11*(1-Answers!$C$19/100)*V71</f>
        <v/>
      </c>
      <c r="AI71" s="54">
        <f>State!$B$12*(1-Answers!$C$20/100)*W71</f>
        <v/>
      </c>
      <c r="AJ71" s="54">
        <f>X71</f>
        <v/>
      </c>
      <c r="AK71" s="54">
        <f>X71+Y71</f>
        <v/>
      </c>
      <c r="AL71" s="54">
        <f>AK71+Z71</f>
        <v/>
      </c>
      <c r="AM71" s="54">
        <f>AL71+AA71</f>
        <v/>
      </c>
      <c r="AN71" s="54">
        <f>AM71+AB71</f>
        <v/>
      </c>
      <c r="AO71" s="54">
        <f>AL71+AE71+AF71+AG71+AH71+AI71+AB71</f>
        <v/>
      </c>
      <c r="AP71" s="54">
        <f>IF(State!$B$46=1,AO71,AN71)</f>
        <v/>
      </c>
      <c r="AQ71" s="54" t="n">
        <v>692.4</v>
      </c>
      <c r="AR71" s="54" t="n">
        <v>-637.6</v>
      </c>
      <c r="AS71" s="54" t="n">
        <v>5539.2</v>
      </c>
      <c r="AT71" s="54" t="n">
        <v>5765.5</v>
      </c>
      <c r="AU71" s="54" t="n">
        <v>1565.5</v>
      </c>
      <c r="AX71" s="54" t="n">
        <v>2730.4</v>
      </c>
      <c r="AY71" s="54" t="n">
        <v>366.5</v>
      </c>
      <c r="AZ71" s="54" t="n">
        <v>642.5</v>
      </c>
      <c r="BA71" s="54" t="n">
        <v>17.3</v>
      </c>
      <c r="BB71" s="54" t="n">
        <v>2008.8</v>
      </c>
      <c r="BC71" s="54">
        <f>AQ71+AR71+AS71+AT71+AU71</f>
        <v/>
      </c>
      <c r="BD71" s="54">
        <f>AQ71</f>
        <v/>
      </c>
      <c r="BE71" s="54">
        <f>AQ71+AR71</f>
        <v/>
      </c>
      <c r="BF71" s="54">
        <f>BE71+AS71</f>
        <v/>
      </c>
      <c r="BG71" s="54">
        <f>BF71+AT71</f>
        <v/>
      </c>
      <c r="BH71" s="54">
        <f>BG71+AU71</f>
        <v/>
      </c>
      <c r="BI71" s="54">
        <f>BC71</f>
        <v/>
      </c>
      <c r="BJ71" s="54">
        <f>IF(State!$B$14=1,CHOOSE(State!$B$43+1,D71,BD71,BE71,BF71,BG71,BH71,BI71),BK71)</f>
        <v/>
      </c>
      <c r="BK71" s="54">
        <f>CHOOSE(State!$B$43+1,D71,AJ71,AK71,AL71,AM71,AN71,AO71)</f>
        <v/>
      </c>
      <c r="BL71" s="54">
        <f>IF(State!$B$44=1,H71,0)</f>
        <v/>
      </c>
      <c r="BQ71" s="54">
        <f>D71-AP71</f>
        <v/>
      </c>
      <c r="BR71" s="54">
        <f>BQ71^2</f>
        <v/>
      </c>
      <c r="BS71" s="54">
        <f>(BQ71-BQ70)^2</f>
        <v/>
      </c>
      <c r="BT71" s="54">
        <f>IF(D71&gt;2000,ABS(BQ71)/D71,"")</f>
        <v/>
      </c>
      <c r="BU71" s="54" t="n">
        <v>253</v>
      </c>
      <c r="BV71" s="74" t="n">
        <v>0.5375</v>
      </c>
      <c r="BW71" s="54" t="n">
        <v>1113.1</v>
      </c>
    </row>
    <row r="72">
      <c r="A72" s="73" t="n">
        <v>45396</v>
      </c>
      <c r="B72" s="53">
        <f>YEAR(A72)</f>
        <v/>
      </c>
      <c r="C72" s="53">
        <f>MONTH(A72)</f>
        <v/>
      </c>
      <c r="D72" s="54" t="n">
        <v>10422</v>
      </c>
      <c r="E72" s="55" t="n">
        <v>1.3731</v>
      </c>
      <c r="F72" s="55" t="n">
        <v>0.6649</v>
      </c>
      <c r="G72" s="55" t="n">
        <v>0.7291</v>
      </c>
      <c r="H72" s="54" t="n">
        <v>339.04</v>
      </c>
      <c r="I72" s="54">
        <f>H72+State!$B$6/100*I71</f>
        <v/>
      </c>
      <c r="J72" s="54" t="n">
        <v>74.28</v>
      </c>
      <c r="K72" s="54" t="n">
        <v>622.9299999999999</v>
      </c>
      <c r="N72" s="54" t="n">
        <v>61.97</v>
      </c>
      <c r="O72" s="54" t="n">
        <v>13.77</v>
      </c>
      <c r="P72" s="54" t="n">
        <v>50.94</v>
      </c>
      <c r="Q72" s="54" t="n">
        <v>3.27</v>
      </c>
      <c r="R72" s="54" t="n">
        <v>198.68</v>
      </c>
      <c r="S72" s="54">
        <f>N72+Answers!$C$16/100*S71</f>
        <v/>
      </c>
      <c r="T72" s="54">
        <f>O72+Answers!$C$17/100*T71</f>
        <v/>
      </c>
      <c r="U72" s="54">
        <f>P72+Answers!$C$18/100*U71</f>
        <v/>
      </c>
      <c r="V72" s="54">
        <f>Q72+Answers!$C$19/100*V71</f>
        <v/>
      </c>
      <c r="W72" s="54">
        <f>R72+Answers!$C$20/100*W71</f>
        <v/>
      </c>
      <c r="X72" s="54">
        <f>State!$B$2*E72</f>
        <v/>
      </c>
      <c r="Y72" s="54">
        <f>-State!$B$3*F72</f>
        <v/>
      </c>
      <c r="Z72" s="54">
        <f>State!$B$4*G72</f>
        <v/>
      </c>
      <c r="AA72" s="54">
        <f>State!$B$5*(1-State!$B$6/100)*I72</f>
        <v/>
      </c>
      <c r="AB72" s="54">
        <f>State!$B$7*K72</f>
        <v/>
      </c>
      <c r="AE72" s="54">
        <f>State!$B$8*(1-Answers!$C$16/100)*S72</f>
        <v/>
      </c>
      <c r="AF72" s="54">
        <f>State!$B$9*(1-Answers!$C$17/100)*T72</f>
        <v/>
      </c>
      <c r="AG72" s="54">
        <f>State!$B$10*(1-Answers!$C$18/100)*U72</f>
        <v/>
      </c>
      <c r="AH72" s="54">
        <f>State!$B$11*(1-Answers!$C$19/100)*V72</f>
        <v/>
      </c>
      <c r="AI72" s="54">
        <f>State!$B$12*(1-Answers!$C$20/100)*W72</f>
        <v/>
      </c>
      <c r="AJ72" s="54">
        <f>X72</f>
        <v/>
      </c>
      <c r="AK72" s="54">
        <f>X72+Y72</f>
        <v/>
      </c>
      <c r="AL72" s="54">
        <f>AK72+Z72</f>
        <v/>
      </c>
      <c r="AM72" s="54">
        <f>AL72+AA72</f>
        <v/>
      </c>
      <c r="AN72" s="54">
        <f>AM72+AB72</f>
        <v/>
      </c>
      <c r="AO72" s="54">
        <f>AL72+AE72+AF72+AG72+AH72+AI72+AB72</f>
        <v/>
      </c>
      <c r="AP72" s="54">
        <f>IF(State!$B$46=1,AO72,AN72)</f>
        <v/>
      </c>
      <c r="AQ72" s="54" t="n">
        <v>1202.3</v>
      </c>
      <c r="AR72" s="54" t="n">
        <v>-633.3</v>
      </c>
      <c r="AS72" s="54" t="n">
        <v>5539.2</v>
      </c>
      <c r="AT72" s="54" t="n">
        <v>5701.8</v>
      </c>
      <c r="AU72" s="54" t="n">
        <v>2050.6</v>
      </c>
      <c r="AX72" s="54" t="n">
        <v>2482</v>
      </c>
      <c r="AY72" s="54" t="n">
        <v>347.4</v>
      </c>
      <c r="AZ72" s="54" t="n">
        <v>679.2</v>
      </c>
      <c r="BA72" s="54" t="n">
        <v>17.4</v>
      </c>
      <c r="BB72" s="54" t="n">
        <v>2175.8</v>
      </c>
      <c r="BC72" s="54">
        <f>AQ72+AR72+AS72+AT72+AU72</f>
        <v/>
      </c>
      <c r="BD72" s="54">
        <f>AQ72</f>
        <v/>
      </c>
      <c r="BE72" s="54">
        <f>AQ72+AR72</f>
        <v/>
      </c>
      <c r="BF72" s="54">
        <f>BE72+AS72</f>
        <v/>
      </c>
      <c r="BG72" s="54">
        <f>BF72+AT72</f>
        <v/>
      </c>
      <c r="BH72" s="54">
        <f>BG72+AU72</f>
        <v/>
      </c>
      <c r="BI72" s="54">
        <f>BC72</f>
        <v/>
      </c>
      <c r="BJ72" s="54">
        <f>IF(State!$B$14=1,CHOOSE(State!$B$43+1,D72,BD72,BE72,BF72,BG72,BH72,BI72),BK72)</f>
        <v/>
      </c>
      <c r="BK72" s="54">
        <f>CHOOSE(State!$B$43+1,D72,AJ72,AK72,AL72,AM72,AN72,AO72)</f>
        <v/>
      </c>
      <c r="BL72" s="54">
        <f>IF(State!$B$44=1,H72,0)</f>
        <v/>
      </c>
      <c r="BQ72" s="54">
        <f>D72-AP72</f>
        <v/>
      </c>
      <c r="BR72" s="54">
        <f>BQ72^2</f>
        <v/>
      </c>
      <c r="BS72" s="54">
        <f>(BQ72-BQ71)^2</f>
        <v/>
      </c>
      <c r="BT72" s="54">
        <f>IF(D72&gt;2000,ABS(BQ72)/D72,"")</f>
        <v/>
      </c>
      <c r="BU72" s="54" t="n">
        <v>233</v>
      </c>
      <c r="BV72" s="74" t="n">
        <v>0.5375</v>
      </c>
      <c r="BW72" s="54" t="n">
        <v>1015.7</v>
      </c>
    </row>
    <row r="73">
      <c r="A73" s="73" t="n">
        <v>45403</v>
      </c>
      <c r="B73" s="53">
        <f>YEAR(A73)</f>
        <v/>
      </c>
      <c r="C73" s="53">
        <f>MONTH(A73)</f>
        <v/>
      </c>
      <c r="D73" s="54" t="n">
        <v>11546</v>
      </c>
      <c r="E73" s="55" t="n">
        <v>0.7471</v>
      </c>
      <c r="F73" s="55" t="n">
        <v>0.5849</v>
      </c>
      <c r="G73" s="55" t="n">
        <v>0.7291</v>
      </c>
      <c r="H73" s="54" t="n">
        <v>345.42</v>
      </c>
      <c r="I73" s="54">
        <f>H73+State!$B$6/100*I72</f>
        <v/>
      </c>
      <c r="J73" s="54" t="n">
        <v>83.11</v>
      </c>
      <c r="K73" s="54" t="n">
        <v>175.9</v>
      </c>
      <c r="N73" s="54" t="n">
        <v>67.87</v>
      </c>
      <c r="O73" s="54" t="n">
        <v>12.68</v>
      </c>
      <c r="P73" s="54" t="n">
        <v>46.71</v>
      </c>
      <c r="Q73" s="54" t="n">
        <v>3.27</v>
      </c>
      <c r="R73" s="54" t="n">
        <v>203.35</v>
      </c>
      <c r="S73" s="54">
        <f>N73+Answers!$C$16/100*S72</f>
        <v/>
      </c>
      <c r="T73" s="54">
        <f>O73+Answers!$C$17/100*T72</f>
        <v/>
      </c>
      <c r="U73" s="54">
        <f>P73+Answers!$C$18/100*U72</f>
        <v/>
      </c>
      <c r="V73" s="54">
        <f>Q73+Answers!$C$19/100*V72</f>
        <v/>
      </c>
      <c r="W73" s="54">
        <f>R73+Answers!$C$20/100*W72</f>
        <v/>
      </c>
      <c r="X73" s="54">
        <f>State!$B$2*E73</f>
        <v/>
      </c>
      <c r="Y73" s="54">
        <f>-State!$B$3*F73</f>
        <v/>
      </c>
      <c r="Z73" s="54">
        <f>State!$B$4*G73</f>
        <v/>
      </c>
      <c r="AA73" s="54">
        <f>State!$B$5*(1-State!$B$6/100)*I73</f>
        <v/>
      </c>
      <c r="AB73" s="54">
        <f>State!$B$7*K73</f>
        <v/>
      </c>
      <c r="AE73" s="54">
        <f>State!$B$8*(1-Answers!$C$16/100)*S73</f>
        <v/>
      </c>
      <c r="AF73" s="54">
        <f>State!$B$9*(1-Answers!$C$17/100)*T73</f>
        <v/>
      </c>
      <c r="AG73" s="54">
        <f>State!$B$10*(1-Answers!$C$18/100)*U73</f>
        <v/>
      </c>
      <c r="AH73" s="54">
        <f>State!$B$11*(1-Answers!$C$19/100)*V73</f>
        <v/>
      </c>
      <c r="AI73" s="54">
        <f>State!$B$12*(1-Answers!$C$20/100)*W73</f>
        <v/>
      </c>
      <c r="AJ73" s="54">
        <f>X73</f>
        <v/>
      </c>
      <c r="AK73" s="54">
        <f>X73+Y73</f>
        <v/>
      </c>
      <c r="AL73" s="54">
        <f>AK73+Z73</f>
        <v/>
      </c>
      <c r="AM73" s="54">
        <f>AL73+AA73</f>
        <v/>
      </c>
      <c r="AN73" s="54">
        <f>AM73+AB73</f>
        <v/>
      </c>
      <c r="AO73" s="54">
        <f>AL73+AE73+AF73+AG73+AH73+AI73+AB73</f>
        <v/>
      </c>
      <c r="AP73" s="54">
        <f>IF(State!$B$46=1,AO73,AN73)</f>
        <v/>
      </c>
      <c r="AQ73" s="54" t="n">
        <v>654.2</v>
      </c>
      <c r="AR73" s="54" t="n">
        <v>-557.1</v>
      </c>
      <c r="AS73" s="54" t="n">
        <v>5539.2</v>
      </c>
      <c r="AT73" s="54" t="n">
        <v>5664.2</v>
      </c>
      <c r="AU73" s="54" t="n">
        <v>1577.7</v>
      </c>
      <c r="AX73" s="54" t="n">
        <v>2286.3</v>
      </c>
      <c r="AY73" s="54" t="n">
        <v>328.3</v>
      </c>
      <c r="AZ73" s="54" t="n">
        <v>699.4</v>
      </c>
      <c r="BA73" s="54" t="n">
        <v>17.5</v>
      </c>
      <c r="BB73" s="54" t="n">
        <v>2332.7</v>
      </c>
      <c r="BC73" s="54">
        <f>AQ73+AR73+AS73+AT73+AU73</f>
        <v/>
      </c>
      <c r="BD73" s="54">
        <f>AQ73</f>
        <v/>
      </c>
      <c r="BE73" s="54">
        <f>AQ73+AR73</f>
        <v/>
      </c>
      <c r="BF73" s="54">
        <f>BE73+AS73</f>
        <v/>
      </c>
      <c r="BG73" s="54">
        <f>BF73+AT73</f>
        <v/>
      </c>
      <c r="BH73" s="54">
        <f>BG73+AU73</f>
        <v/>
      </c>
      <c r="BI73" s="54">
        <f>BC73</f>
        <v/>
      </c>
      <c r="BJ73" s="54">
        <f>IF(State!$B$14=1,CHOOSE(State!$B$43+1,D73,BD73,BE73,BF73,BG73,BH73,BI73),BK73)</f>
        <v/>
      </c>
      <c r="BK73" s="54">
        <f>CHOOSE(State!$B$43+1,D73,AJ73,AK73,AL73,AM73,AN73,AO73)</f>
        <v/>
      </c>
      <c r="BL73" s="54">
        <f>IF(State!$B$44=1,H73,0)</f>
        <v/>
      </c>
      <c r="BQ73" s="54">
        <f>D73-AP73</f>
        <v/>
      </c>
      <c r="BR73" s="54">
        <f>BQ73^2</f>
        <v/>
      </c>
      <c r="BS73" s="54">
        <f>(BQ73-BQ72)^2</f>
        <v/>
      </c>
      <c r="BT73" s="54">
        <f>IF(D73&gt;2000,ABS(BQ73)/D73,"")</f>
        <v/>
      </c>
      <c r="BU73" s="54" t="n">
        <v>134</v>
      </c>
      <c r="BV73" s="74" t="n">
        <v>0.5375</v>
      </c>
      <c r="BW73" s="54" t="n">
        <v>609.1</v>
      </c>
    </row>
    <row r="74">
      <c r="A74" s="73" t="n">
        <v>45410</v>
      </c>
      <c r="B74" s="53">
        <f>YEAR(A74)</f>
        <v/>
      </c>
      <c r="C74" s="53">
        <f>MONTH(A74)</f>
        <v/>
      </c>
      <c r="D74" s="54" t="n">
        <v>20655</v>
      </c>
      <c r="E74" s="55" t="n">
        <v>0.745</v>
      </c>
      <c r="F74" s="55" t="n">
        <v>0.6763</v>
      </c>
      <c r="G74" s="55" t="n">
        <v>1.7411</v>
      </c>
      <c r="H74" s="54" t="n">
        <v>368.47</v>
      </c>
      <c r="I74" s="54">
        <f>H74+State!$B$6/100*I73</f>
        <v/>
      </c>
      <c r="J74" s="54" t="n">
        <v>71.7</v>
      </c>
      <c r="K74" s="54" t="n">
        <v>141.3</v>
      </c>
      <c r="N74" s="54" t="n">
        <v>49.01</v>
      </c>
      <c r="O74" s="54" t="n">
        <v>12.45</v>
      </c>
      <c r="P74" s="54" t="n">
        <v>41.21</v>
      </c>
      <c r="Q74" s="54" t="n">
        <v>45.73</v>
      </c>
      <c r="R74" s="54" t="n">
        <v>199.41</v>
      </c>
      <c r="S74" s="54">
        <f>N74+Answers!$C$16/100*S73</f>
        <v/>
      </c>
      <c r="T74" s="54">
        <f>O74+Answers!$C$17/100*T73</f>
        <v/>
      </c>
      <c r="U74" s="54">
        <f>P74+Answers!$C$18/100*U73</f>
        <v/>
      </c>
      <c r="V74" s="54">
        <f>Q74+Answers!$C$19/100*V73</f>
        <v/>
      </c>
      <c r="W74" s="54">
        <f>R74+Answers!$C$20/100*W73</f>
        <v/>
      </c>
      <c r="X74" s="54">
        <f>State!$B$2*E74</f>
        <v/>
      </c>
      <c r="Y74" s="54">
        <f>-State!$B$3*F74</f>
        <v/>
      </c>
      <c r="Z74" s="54">
        <f>State!$B$4*G74</f>
        <v/>
      </c>
      <c r="AA74" s="54">
        <f>State!$B$5*(1-State!$B$6/100)*I74</f>
        <v/>
      </c>
      <c r="AB74" s="54">
        <f>State!$B$7*K74</f>
        <v/>
      </c>
      <c r="AE74" s="54">
        <f>State!$B$8*(1-Answers!$C$16/100)*S74</f>
        <v/>
      </c>
      <c r="AF74" s="54">
        <f>State!$B$9*(1-Answers!$C$17/100)*T74</f>
        <v/>
      </c>
      <c r="AG74" s="54">
        <f>State!$B$10*(1-Answers!$C$18/100)*U74</f>
        <v/>
      </c>
      <c r="AH74" s="54">
        <f>State!$B$11*(1-Answers!$C$19/100)*V74</f>
        <v/>
      </c>
      <c r="AI74" s="54">
        <f>State!$B$12*(1-Answers!$C$20/100)*W74</f>
        <v/>
      </c>
      <c r="AJ74" s="54">
        <f>X74</f>
        <v/>
      </c>
      <c r="AK74" s="54">
        <f>X74+Y74</f>
        <v/>
      </c>
      <c r="AL74" s="54">
        <f>AK74+Z74</f>
        <v/>
      </c>
      <c r="AM74" s="54">
        <f>AL74+AA74</f>
        <v/>
      </c>
      <c r="AN74" s="54">
        <f>AM74+AB74</f>
        <v/>
      </c>
      <c r="AO74" s="54">
        <f>AL74+AE74+AF74+AG74+AH74+AI74+AB74</f>
        <v/>
      </c>
      <c r="AP74" s="54">
        <f>IF(State!$B$46=1,AO74,AN74)</f>
        <v/>
      </c>
      <c r="AQ74" s="54" t="n">
        <v>652.3</v>
      </c>
      <c r="AR74" s="54" t="n">
        <v>-644.2</v>
      </c>
      <c r="AS74" s="54" t="n">
        <v>13227.7</v>
      </c>
      <c r="AT74" s="54" t="n">
        <v>5606</v>
      </c>
      <c r="AU74" s="54" t="n">
        <v>1191.2</v>
      </c>
      <c r="AX74" s="54" t="n">
        <v>2070.9</v>
      </c>
      <c r="AY74" s="54" t="n">
        <v>311.5</v>
      </c>
      <c r="AZ74" s="54" t="n">
        <v>702.2</v>
      </c>
      <c r="BA74" s="54" t="n">
        <v>52.8</v>
      </c>
      <c r="BB74" s="54" t="n">
        <v>2468.6</v>
      </c>
      <c r="BC74" s="54">
        <f>AQ74+AR74+AS74+AT74+AU74</f>
        <v/>
      </c>
      <c r="BD74" s="54">
        <f>AQ74</f>
        <v/>
      </c>
      <c r="BE74" s="54">
        <f>AQ74+AR74</f>
        <v/>
      </c>
      <c r="BF74" s="54">
        <f>BE74+AS74</f>
        <v/>
      </c>
      <c r="BG74" s="54">
        <f>BF74+AT74</f>
        <v/>
      </c>
      <c r="BH74" s="54">
        <f>BG74+AU74</f>
        <v/>
      </c>
      <c r="BI74" s="54">
        <f>BC74</f>
        <v/>
      </c>
      <c r="BJ74" s="54">
        <f>IF(State!$B$14=1,CHOOSE(State!$B$43+1,D74,BD74,BE74,BF74,BG74,BH74,BI74),BK74)</f>
        <v/>
      </c>
      <c r="BK74" s="54">
        <f>CHOOSE(State!$B$43+1,D74,AJ74,AK74,AL74,AM74,AN74,AO74)</f>
        <v/>
      </c>
      <c r="BL74" s="54">
        <f>IF(State!$B$44=1,H74,0)</f>
        <v/>
      </c>
      <c r="BQ74" s="54">
        <f>D74-AP74</f>
        <v/>
      </c>
      <c r="BR74" s="54">
        <f>BQ74^2</f>
        <v/>
      </c>
      <c r="BS74" s="54">
        <f>(BQ74-BQ73)^2</f>
        <v/>
      </c>
      <c r="BT74" s="54">
        <f>IF(D74&gt;2000,ABS(BQ74)/D74,"")</f>
        <v/>
      </c>
      <c r="BU74" s="54" t="n">
        <v>182</v>
      </c>
      <c r="BV74" s="74" t="n">
        <v>0.5724</v>
      </c>
      <c r="BW74" s="54" t="n">
        <v>653.4</v>
      </c>
    </row>
    <row r="75">
      <c r="A75" s="73" t="n">
        <v>45417</v>
      </c>
      <c r="B75" s="53">
        <f>YEAR(A75)</f>
        <v/>
      </c>
      <c r="C75" s="53">
        <f>MONTH(A75)</f>
        <v/>
      </c>
      <c r="D75" s="54" t="n">
        <v>12844</v>
      </c>
      <c r="E75" s="55" t="n">
        <v>6.6978</v>
      </c>
      <c r="F75" s="55" t="n">
        <v>0.8177</v>
      </c>
      <c r="G75" s="55" t="n">
        <v>0.1042</v>
      </c>
      <c r="H75" s="54" t="n">
        <v>296.44</v>
      </c>
      <c r="I75" s="54">
        <f>H75+State!$B$6/100*I74</f>
        <v/>
      </c>
      <c r="J75" s="54" t="n">
        <v>73.25</v>
      </c>
      <c r="K75" s="54" t="n">
        <v>106.68</v>
      </c>
      <c r="N75" s="54" t="n">
        <v>55.24</v>
      </c>
      <c r="O75" s="54" t="n">
        <v>22.08</v>
      </c>
      <c r="P75" s="54" t="n">
        <v>61.74</v>
      </c>
      <c r="Q75" s="54" t="n">
        <v>26.49</v>
      </c>
      <c r="R75" s="54" t="n">
        <v>118.05</v>
      </c>
      <c r="S75" s="54">
        <f>N75+Answers!$C$16/100*S74</f>
        <v/>
      </c>
      <c r="T75" s="54">
        <f>O75+Answers!$C$17/100*T74</f>
        <v/>
      </c>
      <c r="U75" s="54">
        <f>P75+Answers!$C$18/100*U74</f>
        <v/>
      </c>
      <c r="V75" s="54">
        <f>Q75+Answers!$C$19/100*V74</f>
        <v/>
      </c>
      <c r="W75" s="54">
        <f>R75+Answers!$C$20/100*W74</f>
        <v/>
      </c>
      <c r="X75" s="54">
        <f>State!$B$2*E75</f>
        <v/>
      </c>
      <c r="Y75" s="54">
        <f>-State!$B$3*F75</f>
        <v/>
      </c>
      <c r="Z75" s="54">
        <f>State!$B$4*G75</f>
        <v/>
      </c>
      <c r="AA75" s="54">
        <f>State!$B$5*(1-State!$B$6/100)*I75</f>
        <v/>
      </c>
      <c r="AB75" s="54">
        <f>State!$B$7*K75</f>
        <v/>
      </c>
      <c r="AE75" s="54">
        <f>State!$B$8*(1-Answers!$C$16/100)*S75</f>
        <v/>
      </c>
      <c r="AF75" s="54">
        <f>State!$B$9*(1-Answers!$C$17/100)*T75</f>
        <v/>
      </c>
      <c r="AG75" s="54">
        <f>State!$B$10*(1-Answers!$C$18/100)*U75</f>
        <v/>
      </c>
      <c r="AH75" s="54">
        <f>State!$B$11*(1-Answers!$C$19/100)*V75</f>
        <v/>
      </c>
      <c r="AI75" s="54">
        <f>State!$B$12*(1-Answers!$C$20/100)*W75</f>
        <v/>
      </c>
      <c r="AJ75" s="54">
        <f>X75</f>
        <v/>
      </c>
      <c r="AK75" s="54">
        <f>X75+Y75</f>
        <v/>
      </c>
      <c r="AL75" s="54">
        <f>AK75+Z75</f>
        <v/>
      </c>
      <c r="AM75" s="54">
        <f>AL75+AA75</f>
        <v/>
      </c>
      <c r="AN75" s="54">
        <f>AM75+AB75</f>
        <v/>
      </c>
      <c r="AO75" s="54">
        <f>AL75+AE75+AF75+AG75+AH75+AI75+AB75</f>
        <v/>
      </c>
      <c r="AP75" s="54">
        <f>IF(State!$B$46=1,AO75,AN75)</f>
        <v/>
      </c>
      <c r="AQ75" s="54" t="n">
        <v>5864.7</v>
      </c>
      <c r="AR75" s="54" t="n">
        <v>-778.8</v>
      </c>
      <c r="AS75" s="54" t="n">
        <v>791.3</v>
      </c>
      <c r="AT75" s="54" t="n">
        <v>5432</v>
      </c>
      <c r="AU75" s="54" t="n">
        <v>908.3</v>
      </c>
      <c r="AX75" s="54" t="n">
        <v>1904</v>
      </c>
      <c r="AY75" s="54" t="n">
        <v>322.4</v>
      </c>
      <c r="AZ75" s="54" t="n">
        <v>758.2</v>
      </c>
      <c r="BA75" s="54" t="n">
        <v>66.8</v>
      </c>
      <c r="BB75" s="54" t="n">
        <v>2380.7</v>
      </c>
      <c r="BC75" s="54">
        <f>AQ75+AR75+AS75+AT75+AU75</f>
        <v/>
      </c>
      <c r="BD75" s="54">
        <f>AQ75</f>
        <v/>
      </c>
      <c r="BE75" s="54">
        <f>AQ75+AR75</f>
        <v/>
      </c>
      <c r="BF75" s="54">
        <f>BE75+AS75</f>
        <v/>
      </c>
      <c r="BG75" s="54">
        <f>BF75+AT75</f>
        <v/>
      </c>
      <c r="BH75" s="54">
        <f>BG75+AU75</f>
        <v/>
      </c>
      <c r="BI75" s="54">
        <f>BC75</f>
        <v/>
      </c>
      <c r="BJ75" s="54">
        <f>IF(State!$B$14=1,CHOOSE(State!$B$43+1,D75,BD75,BE75,BF75,BG75,BH75,BI75),BK75)</f>
        <v/>
      </c>
      <c r="BK75" s="54">
        <f>CHOOSE(State!$B$43+1,D75,AJ75,AK75,AL75,AM75,AN75,AO75)</f>
        <v/>
      </c>
      <c r="BL75" s="54">
        <f>IF(State!$B$44=1,H75,0)</f>
        <v/>
      </c>
      <c r="BQ75" s="54">
        <f>D75-AP75</f>
        <v/>
      </c>
      <c r="BR75" s="54">
        <f>BQ75^2</f>
        <v/>
      </c>
      <c r="BS75" s="54">
        <f>(BQ75-BQ74)^2</f>
        <v/>
      </c>
      <c r="BT75" s="54">
        <f>IF(D75&gt;2000,ABS(BQ75)/D75,"")</f>
        <v/>
      </c>
      <c r="BU75" s="54" t="n">
        <v>153</v>
      </c>
      <c r="BV75" s="74" t="n">
        <v>0.5863</v>
      </c>
      <c r="BW75" s="54" t="n">
        <v>481.9</v>
      </c>
    </row>
    <row r="76">
      <c r="A76" s="73" t="n">
        <v>45424</v>
      </c>
      <c r="B76" s="53">
        <f>YEAR(A76)</f>
        <v/>
      </c>
      <c r="C76" s="53">
        <f>MONTH(A76)</f>
        <v/>
      </c>
      <c r="D76" s="54" t="n">
        <v>7516</v>
      </c>
      <c r="E76" s="55" t="n">
        <v>1.4665</v>
      </c>
      <c r="F76" s="55" t="n">
        <v>1.0477</v>
      </c>
      <c r="G76" s="55" t="n">
        <v>0</v>
      </c>
      <c r="H76" s="54" t="n">
        <v>223.93</v>
      </c>
      <c r="I76" s="54">
        <f>H76+State!$B$6/100*I75</f>
        <v/>
      </c>
      <c r="J76" s="54" t="n">
        <v>86.11</v>
      </c>
      <c r="K76" s="54" t="n">
        <v>112.47</v>
      </c>
      <c r="N76" s="54" t="n">
        <v>0</v>
      </c>
      <c r="O76" s="54" t="n">
        <v>19.12</v>
      </c>
      <c r="P76" s="54" t="n">
        <v>39.09</v>
      </c>
      <c r="Q76" s="54" t="n">
        <v>63.23</v>
      </c>
      <c r="R76" s="54" t="n">
        <v>94.95999999999999</v>
      </c>
      <c r="S76" s="54">
        <f>N76+Answers!$C$16/100*S75</f>
        <v/>
      </c>
      <c r="T76" s="54">
        <f>O76+Answers!$C$17/100*T75</f>
        <v/>
      </c>
      <c r="U76" s="54">
        <f>P76+Answers!$C$18/100*U75</f>
        <v/>
      </c>
      <c r="V76" s="54">
        <f>Q76+Answers!$C$19/100*V75</f>
        <v/>
      </c>
      <c r="W76" s="54">
        <f>R76+Answers!$C$20/100*W75</f>
        <v/>
      </c>
      <c r="X76" s="54">
        <f>State!$B$2*E76</f>
        <v/>
      </c>
      <c r="Y76" s="54">
        <f>-State!$B$3*F76</f>
        <v/>
      </c>
      <c r="Z76" s="54">
        <f>State!$B$4*G76</f>
        <v/>
      </c>
      <c r="AA76" s="54">
        <f>State!$B$5*(1-State!$B$6/100)*I76</f>
        <v/>
      </c>
      <c r="AB76" s="54">
        <f>State!$B$7*K76</f>
        <v/>
      </c>
      <c r="AE76" s="54">
        <f>State!$B$8*(1-Answers!$C$16/100)*S76</f>
        <v/>
      </c>
      <c r="AF76" s="54">
        <f>State!$B$9*(1-Answers!$C$17/100)*T76</f>
        <v/>
      </c>
      <c r="AG76" s="54">
        <f>State!$B$10*(1-Answers!$C$18/100)*U76</f>
        <v/>
      </c>
      <c r="AH76" s="54">
        <f>State!$B$11*(1-Answers!$C$19/100)*V76</f>
        <v/>
      </c>
      <c r="AI76" s="54">
        <f>State!$B$12*(1-Answers!$C$20/100)*W76</f>
        <v/>
      </c>
      <c r="AJ76" s="54">
        <f>X76</f>
        <v/>
      </c>
      <c r="AK76" s="54">
        <f>X76+Y76</f>
        <v/>
      </c>
      <c r="AL76" s="54">
        <f>AK76+Z76</f>
        <v/>
      </c>
      <c r="AM76" s="54">
        <f>AL76+AA76</f>
        <v/>
      </c>
      <c r="AN76" s="54">
        <f>AM76+AB76</f>
        <v/>
      </c>
      <c r="AO76" s="54">
        <f>AL76+AE76+AF76+AG76+AH76+AI76+AB76</f>
        <v/>
      </c>
      <c r="AP76" s="54">
        <f>IF(State!$B$46=1,AO76,AN76)</f>
        <v/>
      </c>
      <c r="AQ76" s="54" t="n">
        <v>1284.1</v>
      </c>
      <c r="AR76" s="54" t="n">
        <v>-997.9</v>
      </c>
      <c r="AS76" s="54" t="n">
        <v>0</v>
      </c>
      <c r="AT76" s="54" t="n">
        <v>5051.3</v>
      </c>
      <c r="AU76" s="54" t="n">
        <v>743.4</v>
      </c>
      <c r="AX76" s="54" t="n">
        <v>1618.4</v>
      </c>
      <c r="AY76" s="54" t="n">
        <v>323.9</v>
      </c>
      <c r="AZ76" s="54" t="n">
        <v>746.6</v>
      </c>
      <c r="BA76" s="54" t="n">
        <v>109.2</v>
      </c>
      <c r="BB76" s="54" t="n">
        <v>2253.4</v>
      </c>
      <c r="BC76" s="54">
        <f>AQ76+AR76+AS76+AT76+AU76</f>
        <v/>
      </c>
      <c r="BD76" s="54">
        <f>AQ76</f>
        <v/>
      </c>
      <c r="BE76" s="54">
        <f>AQ76+AR76</f>
        <v/>
      </c>
      <c r="BF76" s="54">
        <f>BE76+AS76</f>
        <v/>
      </c>
      <c r="BG76" s="54">
        <f>BF76+AT76</f>
        <v/>
      </c>
      <c r="BH76" s="54">
        <f>BG76+AU76</f>
        <v/>
      </c>
      <c r="BI76" s="54">
        <f>BC76</f>
        <v/>
      </c>
      <c r="BJ76" s="54">
        <f>IF(State!$B$14=1,CHOOSE(State!$B$43+1,D76,BD76,BE76,BF76,BG76,BH76,BI76),BK76)</f>
        <v/>
      </c>
      <c r="BK76" s="54">
        <f>CHOOSE(State!$B$43+1,D76,AJ76,AK76,AL76,AM76,AN76,AO76)</f>
        <v/>
      </c>
      <c r="BL76" s="54">
        <f>IF(State!$B$44=1,H76,0)</f>
        <v/>
      </c>
      <c r="BQ76" s="54">
        <f>D76-AP76</f>
        <v/>
      </c>
      <c r="BR76" s="54">
        <f>BQ76^2</f>
        <v/>
      </c>
      <c r="BS76" s="54">
        <f>(BQ76-BQ75)^2</f>
        <v/>
      </c>
      <c r="BT76" s="54">
        <f>IF(D76&gt;2000,ABS(BQ76)/D76,"")</f>
        <v/>
      </c>
      <c r="BU76" s="54" t="n">
        <v>119</v>
      </c>
      <c r="BV76" s="74" t="n">
        <v>0.5863</v>
      </c>
      <c r="BW76" s="54" t="n">
        <v>489.2</v>
      </c>
    </row>
    <row r="77">
      <c r="A77" s="73" t="n">
        <v>45431</v>
      </c>
      <c r="B77" s="53">
        <f>YEAR(A77)</f>
        <v/>
      </c>
      <c r="C77" s="53">
        <f>MONTH(A77)</f>
        <v/>
      </c>
      <c r="D77" s="54" t="n">
        <v>6687</v>
      </c>
      <c r="E77" s="55" t="n">
        <v>0.915</v>
      </c>
      <c r="F77" s="55" t="n">
        <v>0.9581</v>
      </c>
      <c r="G77" s="55" t="n">
        <v>0</v>
      </c>
      <c r="H77" s="54" t="n">
        <v>260.72</v>
      </c>
      <c r="I77" s="54">
        <f>H77+State!$B$6/100*I76</f>
        <v/>
      </c>
      <c r="J77" s="54" t="n">
        <v>106.03</v>
      </c>
      <c r="K77" s="54" t="n">
        <v>129.43</v>
      </c>
      <c r="N77" s="54" t="n">
        <v>52.21</v>
      </c>
      <c r="O77" s="54" t="n">
        <v>20.61</v>
      </c>
      <c r="P77" s="54" t="n">
        <v>37.21</v>
      </c>
      <c r="Q77" s="54" t="n">
        <v>58.24</v>
      </c>
      <c r="R77" s="54" t="n">
        <v>85.76000000000001</v>
      </c>
      <c r="S77" s="54">
        <f>N77+Answers!$C$16/100*S76</f>
        <v/>
      </c>
      <c r="T77" s="54">
        <f>O77+Answers!$C$17/100*T76</f>
        <v/>
      </c>
      <c r="U77" s="54">
        <f>P77+Answers!$C$18/100*U76</f>
        <v/>
      </c>
      <c r="V77" s="54">
        <f>Q77+Answers!$C$19/100*V76</f>
        <v/>
      </c>
      <c r="W77" s="54">
        <f>R77+Answers!$C$20/100*W76</f>
        <v/>
      </c>
      <c r="X77" s="54">
        <f>State!$B$2*E77</f>
        <v/>
      </c>
      <c r="Y77" s="54">
        <f>-State!$B$3*F77</f>
        <v/>
      </c>
      <c r="Z77" s="54">
        <f>State!$B$4*G77</f>
        <v/>
      </c>
      <c r="AA77" s="54">
        <f>State!$B$5*(1-State!$B$6/100)*I77</f>
        <v/>
      </c>
      <c r="AB77" s="54">
        <f>State!$B$7*K77</f>
        <v/>
      </c>
      <c r="AE77" s="54">
        <f>State!$B$8*(1-Answers!$C$16/100)*S77</f>
        <v/>
      </c>
      <c r="AF77" s="54">
        <f>State!$B$9*(1-Answers!$C$17/100)*T77</f>
        <v/>
      </c>
      <c r="AG77" s="54">
        <f>State!$B$10*(1-Answers!$C$18/100)*U77</f>
        <v/>
      </c>
      <c r="AH77" s="54">
        <f>State!$B$11*(1-Answers!$C$19/100)*V77</f>
        <v/>
      </c>
      <c r="AI77" s="54">
        <f>State!$B$12*(1-Answers!$C$20/100)*W77</f>
        <v/>
      </c>
      <c r="AJ77" s="54">
        <f>X77</f>
        <v/>
      </c>
      <c r="AK77" s="54">
        <f>X77+Y77</f>
        <v/>
      </c>
      <c r="AL77" s="54">
        <f>AK77+Z77</f>
        <v/>
      </c>
      <c r="AM77" s="54">
        <f>AL77+AA77</f>
        <v/>
      </c>
      <c r="AN77" s="54">
        <f>AM77+AB77</f>
        <v/>
      </c>
      <c r="AO77" s="54">
        <f>AL77+AE77+AF77+AG77+AH77+AI77+AB77</f>
        <v/>
      </c>
      <c r="AP77" s="54">
        <f>IF(State!$B$46=1,AO77,AN77)</f>
        <v/>
      </c>
      <c r="AQ77" s="54" t="n">
        <v>801.2</v>
      </c>
      <c r="AR77" s="54" t="n">
        <v>-912.5</v>
      </c>
      <c r="AS77" s="54" t="n">
        <v>0</v>
      </c>
      <c r="AT77" s="54" t="n">
        <v>4843.6</v>
      </c>
      <c r="AU77" s="54" t="n">
        <v>690</v>
      </c>
      <c r="AX77" s="54" t="n">
        <v>1511.5</v>
      </c>
      <c r="AY77" s="54" t="n">
        <v>329</v>
      </c>
      <c r="AZ77" s="54" t="n">
        <v>731.8</v>
      </c>
      <c r="BA77" s="54" t="n">
        <v>141</v>
      </c>
      <c r="BB77" s="54" t="n">
        <v>2130.3</v>
      </c>
      <c r="BC77" s="54">
        <f>AQ77+AR77+AS77+AT77+AU77</f>
        <v/>
      </c>
      <c r="BD77" s="54">
        <f>AQ77</f>
        <v/>
      </c>
      <c r="BE77" s="54">
        <f>AQ77+AR77</f>
        <v/>
      </c>
      <c r="BF77" s="54">
        <f>BE77+AS77</f>
        <v/>
      </c>
      <c r="BG77" s="54">
        <f>BF77+AT77</f>
        <v/>
      </c>
      <c r="BH77" s="54">
        <f>BG77+AU77</f>
        <v/>
      </c>
      <c r="BI77" s="54">
        <f>BC77</f>
        <v/>
      </c>
      <c r="BJ77" s="54">
        <f>IF(State!$B$14=1,CHOOSE(State!$B$43+1,D77,BD77,BE77,BF77,BG77,BH77,BI77),BK77)</f>
        <v/>
      </c>
      <c r="BK77" s="54">
        <f>CHOOSE(State!$B$43+1,D77,AJ77,AK77,AL77,AM77,AN77,AO77)</f>
        <v/>
      </c>
      <c r="BL77" s="54">
        <f>IF(State!$B$44=1,H77,0)</f>
        <v/>
      </c>
      <c r="BQ77" s="54">
        <f>D77-AP77</f>
        <v/>
      </c>
      <c r="BR77" s="54">
        <f>BQ77^2</f>
        <v/>
      </c>
      <c r="BS77" s="54">
        <f>(BQ77-BQ76)^2</f>
        <v/>
      </c>
      <c r="BT77" s="54">
        <f>IF(D77&gt;2000,ABS(BQ77)/D77,"")</f>
        <v/>
      </c>
      <c r="BU77" s="54" t="n">
        <v>95</v>
      </c>
      <c r="BV77" s="74" t="n">
        <v>0.5863</v>
      </c>
      <c r="BW77" s="54" t="n">
        <v>570.4</v>
      </c>
    </row>
    <row r="78">
      <c r="A78" s="73" t="n">
        <v>45438</v>
      </c>
      <c r="B78" s="53">
        <f>YEAR(A78)</f>
        <v/>
      </c>
      <c r="C78" s="53">
        <f>MONTH(A78)</f>
        <v/>
      </c>
      <c r="D78" s="54" t="n">
        <v>7477</v>
      </c>
      <c r="E78" s="55" t="n">
        <v>0.9681999999999999</v>
      </c>
      <c r="F78" s="55" t="n">
        <v>0.8851</v>
      </c>
      <c r="G78" s="55" t="n">
        <v>0</v>
      </c>
      <c r="H78" s="54" t="n">
        <v>158.64</v>
      </c>
      <c r="I78" s="54">
        <f>H78+State!$B$6/100*I77</f>
        <v/>
      </c>
      <c r="J78" s="54" t="n">
        <v>82.59999999999999</v>
      </c>
      <c r="K78" s="54" t="n">
        <v>104.54</v>
      </c>
      <c r="N78" s="54" t="n">
        <v>0</v>
      </c>
      <c r="O78" s="54" t="n">
        <v>17.81</v>
      </c>
      <c r="P78" s="54" t="n">
        <v>38.81</v>
      </c>
      <c r="Q78" s="54" t="n">
        <v>17</v>
      </c>
      <c r="R78" s="54" t="n">
        <v>77.54000000000001</v>
      </c>
      <c r="S78" s="54">
        <f>N78+Answers!$C$16/100*S77</f>
        <v/>
      </c>
      <c r="T78" s="54">
        <f>O78+Answers!$C$17/100*T77</f>
        <v/>
      </c>
      <c r="U78" s="54">
        <f>P78+Answers!$C$18/100*U77</f>
        <v/>
      </c>
      <c r="V78" s="54">
        <f>Q78+Answers!$C$19/100*V77</f>
        <v/>
      </c>
      <c r="W78" s="54">
        <f>R78+Answers!$C$20/100*W77</f>
        <v/>
      </c>
      <c r="X78" s="54">
        <f>State!$B$2*E78</f>
        <v/>
      </c>
      <c r="Y78" s="54">
        <f>-State!$B$3*F78</f>
        <v/>
      </c>
      <c r="Z78" s="54">
        <f>State!$B$4*G78</f>
        <v/>
      </c>
      <c r="AA78" s="54">
        <f>State!$B$5*(1-State!$B$6/100)*I78</f>
        <v/>
      </c>
      <c r="AB78" s="54">
        <f>State!$B$7*K78</f>
        <v/>
      </c>
      <c r="AE78" s="54">
        <f>State!$B$8*(1-Answers!$C$16/100)*S78</f>
        <v/>
      </c>
      <c r="AF78" s="54">
        <f>State!$B$9*(1-Answers!$C$17/100)*T78</f>
        <v/>
      </c>
      <c r="AG78" s="54">
        <f>State!$B$10*(1-Answers!$C$18/100)*U78</f>
        <v/>
      </c>
      <c r="AH78" s="54">
        <f>State!$B$11*(1-Answers!$C$19/100)*V78</f>
        <v/>
      </c>
      <c r="AI78" s="54">
        <f>State!$B$12*(1-Answers!$C$20/100)*W78</f>
        <v/>
      </c>
      <c r="AJ78" s="54">
        <f>X78</f>
        <v/>
      </c>
      <c r="AK78" s="54">
        <f>X78+Y78</f>
        <v/>
      </c>
      <c r="AL78" s="54">
        <f>AK78+Z78</f>
        <v/>
      </c>
      <c r="AM78" s="54">
        <f>AL78+AA78</f>
        <v/>
      </c>
      <c r="AN78" s="54">
        <f>AM78+AB78</f>
        <v/>
      </c>
      <c r="AO78" s="54">
        <f>AL78+AE78+AF78+AG78+AH78+AI78+AB78</f>
        <v/>
      </c>
      <c r="AP78" s="54">
        <f>IF(State!$B$46=1,AO78,AN78)</f>
        <v/>
      </c>
      <c r="AQ78" s="54" t="n">
        <v>847.8</v>
      </c>
      <c r="AR78" s="54" t="n">
        <v>-843</v>
      </c>
      <c r="AS78" s="54" t="n">
        <v>0</v>
      </c>
      <c r="AT78" s="54" t="n">
        <v>4472.6</v>
      </c>
      <c r="AU78" s="54" t="n">
        <v>514.8</v>
      </c>
      <c r="AX78" s="54" t="n">
        <v>1284.7</v>
      </c>
      <c r="AY78" s="54" t="n">
        <v>326.1</v>
      </c>
      <c r="AZ78" s="54" t="n">
        <v>723.5</v>
      </c>
      <c r="BA78" s="54" t="n">
        <v>134</v>
      </c>
      <c r="BB78" s="54" t="n">
        <v>2004.4</v>
      </c>
      <c r="BC78" s="54">
        <f>AQ78+AR78+AS78+AT78+AU78</f>
        <v/>
      </c>
      <c r="BD78" s="54">
        <f>AQ78</f>
        <v/>
      </c>
      <c r="BE78" s="54">
        <f>AQ78+AR78</f>
        <v/>
      </c>
      <c r="BF78" s="54">
        <f>BE78+AS78</f>
        <v/>
      </c>
      <c r="BG78" s="54">
        <f>BF78+AT78</f>
        <v/>
      </c>
      <c r="BH78" s="54">
        <f>BG78+AU78</f>
        <v/>
      </c>
      <c r="BI78" s="54">
        <f>BC78</f>
        <v/>
      </c>
      <c r="BJ78" s="54">
        <f>IF(State!$B$14=1,CHOOSE(State!$B$43+1,D78,BD78,BE78,BF78,BG78,BH78,BI78),BK78)</f>
        <v/>
      </c>
      <c r="BK78" s="54">
        <f>CHOOSE(State!$B$43+1,D78,AJ78,AK78,AL78,AM78,AN78,AO78)</f>
        <v/>
      </c>
      <c r="BL78" s="54">
        <f>IF(State!$B$44=1,H78,0)</f>
        <v/>
      </c>
      <c r="BQ78" s="54">
        <f>D78-AP78</f>
        <v/>
      </c>
      <c r="BR78" s="54">
        <f>BQ78^2</f>
        <v/>
      </c>
      <c r="BS78" s="54">
        <f>(BQ78-BQ77)^2</f>
        <v/>
      </c>
      <c r="BT78" s="54">
        <f>IF(D78&gt;2000,ABS(BQ78)/D78,"")</f>
        <v/>
      </c>
      <c r="BU78" s="54" t="n">
        <v>134</v>
      </c>
      <c r="BV78" s="74" t="n">
        <v>0.5790999999999999</v>
      </c>
      <c r="BW78" s="54" t="n">
        <v>476.6</v>
      </c>
    </row>
    <row r="79">
      <c r="A79" s="73" t="n">
        <v>45445</v>
      </c>
      <c r="B79" s="53">
        <f>YEAR(A79)</f>
        <v/>
      </c>
      <c r="C79" s="53">
        <f>MONTH(A79)</f>
        <v/>
      </c>
      <c r="D79" s="54" t="n">
        <v>6805</v>
      </c>
      <c r="E79" s="55" t="n">
        <v>1.3727</v>
      </c>
      <c r="F79" s="55" t="n">
        <v>0.8837</v>
      </c>
      <c r="G79" s="55" t="n">
        <v>0</v>
      </c>
      <c r="H79" s="54" t="n">
        <v>216.61</v>
      </c>
      <c r="I79" s="54">
        <f>H79+State!$B$6/100*I78</f>
        <v/>
      </c>
      <c r="J79" s="54" t="n">
        <v>88.81</v>
      </c>
      <c r="K79" s="54" t="n">
        <v>134.25</v>
      </c>
      <c r="N79" s="54" t="n">
        <v>59.75</v>
      </c>
      <c r="O79" s="54" t="n">
        <v>19.22</v>
      </c>
      <c r="P79" s="54" t="n">
        <v>27.68</v>
      </c>
      <c r="Q79" s="54" t="n">
        <v>17</v>
      </c>
      <c r="R79" s="54" t="n">
        <v>86.14</v>
      </c>
      <c r="S79" s="54">
        <f>N79+Answers!$C$16/100*S78</f>
        <v/>
      </c>
      <c r="T79" s="54">
        <f>O79+Answers!$C$17/100*T78</f>
        <v/>
      </c>
      <c r="U79" s="54">
        <f>P79+Answers!$C$18/100*U78</f>
        <v/>
      </c>
      <c r="V79" s="54">
        <f>Q79+Answers!$C$19/100*V78</f>
        <v/>
      </c>
      <c r="W79" s="54">
        <f>R79+Answers!$C$20/100*W78</f>
        <v/>
      </c>
      <c r="X79" s="54">
        <f>State!$B$2*E79</f>
        <v/>
      </c>
      <c r="Y79" s="54">
        <f>-State!$B$3*F79</f>
        <v/>
      </c>
      <c r="Z79" s="54">
        <f>State!$B$4*G79</f>
        <v/>
      </c>
      <c r="AA79" s="54">
        <f>State!$B$5*(1-State!$B$6/100)*I79</f>
        <v/>
      </c>
      <c r="AB79" s="54">
        <f>State!$B$7*K79</f>
        <v/>
      </c>
      <c r="AE79" s="54">
        <f>State!$B$8*(1-Answers!$C$16/100)*S79</f>
        <v/>
      </c>
      <c r="AF79" s="54">
        <f>State!$B$9*(1-Answers!$C$17/100)*T79</f>
        <v/>
      </c>
      <c r="AG79" s="54">
        <f>State!$B$10*(1-Answers!$C$18/100)*U79</f>
        <v/>
      </c>
      <c r="AH79" s="54">
        <f>State!$B$11*(1-Answers!$C$19/100)*V79</f>
        <v/>
      </c>
      <c r="AI79" s="54">
        <f>State!$B$12*(1-Answers!$C$20/100)*W79</f>
        <v/>
      </c>
      <c r="AJ79" s="54">
        <f>X79</f>
        <v/>
      </c>
      <c r="AK79" s="54">
        <f>X79+Y79</f>
        <v/>
      </c>
      <c r="AL79" s="54">
        <f>AK79+Z79</f>
        <v/>
      </c>
      <c r="AM79" s="54">
        <f>AL79+AA79</f>
        <v/>
      </c>
      <c r="AN79" s="54">
        <f>AM79+AB79</f>
        <v/>
      </c>
      <c r="AO79" s="54">
        <f>AL79+AE79+AF79+AG79+AH79+AI79+AB79</f>
        <v/>
      </c>
      <c r="AP79" s="54">
        <f>IF(State!$B$46=1,AO79,AN79)</f>
        <v/>
      </c>
      <c r="AQ79" s="54" t="n">
        <v>1201.9</v>
      </c>
      <c r="AR79" s="54" t="n">
        <v>-841.7</v>
      </c>
      <c r="AS79" s="54" t="n">
        <v>0</v>
      </c>
      <c r="AT79" s="54" t="n">
        <v>4302.6</v>
      </c>
      <c r="AU79" s="54" t="n">
        <v>569.4</v>
      </c>
      <c r="AX79" s="54" t="n">
        <v>1247.5</v>
      </c>
      <c r="AY79" s="54" t="n">
        <v>327.3</v>
      </c>
      <c r="AZ79" s="54" t="n">
        <v>687.3</v>
      </c>
      <c r="BA79" s="54" t="n">
        <v>127.9</v>
      </c>
      <c r="BB79" s="54" t="n">
        <v>1912.6</v>
      </c>
      <c r="BC79" s="54">
        <f>AQ79+AR79+AS79+AT79+AU79</f>
        <v/>
      </c>
      <c r="BD79" s="54">
        <f>AQ79</f>
        <v/>
      </c>
      <c r="BE79" s="54">
        <f>AQ79+AR79</f>
        <v/>
      </c>
      <c r="BF79" s="54">
        <f>BE79+AS79</f>
        <v/>
      </c>
      <c r="BG79" s="54">
        <f>BF79+AT79</f>
        <v/>
      </c>
      <c r="BH79" s="54">
        <f>BG79+AU79</f>
        <v/>
      </c>
      <c r="BI79" s="54">
        <f>BC79</f>
        <v/>
      </c>
      <c r="BJ79" s="54">
        <f>IF(State!$B$14=1,CHOOSE(State!$B$43+1,D79,BD79,BE79,BF79,BG79,BH79,BI79),BK79)</f>
        <v/>
      </c>
      <c r="BK79" s="54">
        <f>CHOOSE(State!$B$43+1,D79,AJ79,AK79,AL79,AM79,AN79,AO79)</f>
        <v/>
      </c>
      <c r="BL79" s="54">
        <f>IF(State!$B$44=1,H79,0)</f>
        <v/>
      </c>
      <c r="BQ79" s="54">
        <f>D79-AP79</f>
        <v/>
      </c>
      <c r="BR79" s="54">
        <f>BQ79^2</f>
        <v/>
      </c>
      <c r="BS79" s="54">
        <f>(BQ79-BQ78)^2</f>
        <v/>
      </c>
      <c r="BT79" s="54">
        <f>IF(D79&gt;2000,ABS(BQ79)/D79,"")</f>
        <v/>
      </c>
      <c r="BU79" s="54" t="n">
        <v>145</v>
      </c>
      <c r="BV79" s="74" t="n">
        <v>0.5609</v>
      </c>
      <c r="BW79" s="54" t="n">
        <v>520</v>
      </c>
    </row>
    <row r="80">
      <c r="A80" s="73" t="n">
        <v>45452</v>
      </c>
      <c r="B80" s="53">
        <f>YEAR(A80)</f>
        <v/>
      </c>
      <c r="C80" s="53">
        <f>MONTH(A80)</f>
        <v/>
      </c>
      <c r="D80" s="54" t="n">
        <v>6394</v>
      </c>
      <c r="E80" s="55" t="n">
        <v>1.2103</v>
      </c>
      <c r="F80" s="55" t="n">
        <v>0.8796</v>
      </c>
      <c r="G80" s="55" t="n">
        <v>0</v>
      </c>
      <c r="H80" s="54" t="n">
        <v>166.69</v>
      </c>
      <c r="I80" s="54">
        <f>H80+State!$B$6/100*I79</f>
        <v/>
      </c>
      <c r="J80" s="54" t="n">
        <v>106.57</v>
      </c>
      <c r="K80" s="54" t="n">
        <v>653.62</v>
      </c>
      <c r="N80" s="54" t="n">
        <v>0</v>
      </c>
      <c r="O80" s="54" t="n">
        <v>17.58</v>
      </c>
      <c r="P80" s="54" t="n">
        <v>22.41</v>
      </c>
      <c r="Q80" s="54" t="n">
        <v>17</v>
      </c>
      <c r="R80" s="54" t="n">
        <v>103.31</v>
      </c>
      <c r="S80" s="54">
        <f>N80+Answers!$C$16/100*S79</f>
        <v/>
      </c>
      <c r="T80" s="54">
        <f>O80+Answers!$C$17/100*T79</f>
        <v/>
      </c>
      <c r="U80" s="54">
        <f>P80+Answers!$C$18/100*U79</f>
        <v/>
      </c>
      <c r="V80" s="54">
        <f>Q80+Answers!$C$19/100*V79</f>
        <v/>
      </c>
      <c r="W80" s="54">
        <f>R80+Answers!$C$20/100*W79</f>
        <v/>
      </c>
      <c r="X80" s="54">
        <f>State!$B$2*E80</f>
        <v/>
      </c>
      <c r="Y80" s="54">
        <f>-State!$B$3*F80</f>
        <v/>
      </c>
      <c r="Z80" s="54">
        <f>State!$B$4*G80</f>
        <v/>
      </c>
      <c r="AA80" s="54">
        <f>State!$B$5*(1-State!$B$6/100)*I80</f>
        <v/>
      </c>
      <c r="AB80" s="54">
        <f>State!$B$7*K80</f>
        <v/>
      </c>
      <c r="AE80" s="54">
        <f>State!$B$8*(1-Answers!$C$16/100)*S80</f>
        <v/>
      </c>
      <c r="AF80" s="54">
        <f>State!$B$9*(1-Answers!$C$17/100)*T80</f>
        <v/>
      </c>
      <c r="AG80" s="54">
        <f>State!$B$10*(1-Answers!$C$18/100)*U80</f>
        <v/>
      </c>
      <c r="AH80" s="54">
        <f>State!$B$11*(1-Answers!$C$19/100)*V80</f>
        <v/>
      </c>
      <c r="AI80" s="54">
        <f>State!$B$12*(1-Answers!$C$20/100)*W80</f>
        <v/>
      </c>
      <c r="AJ80" s="54">
        <f>X80</f>
        <v/>
      </c>
      <c r="AK80" s="54">
        <f>X80+Y80</f>
        <v/>
      </c>
      <c r="AL80" s="54">
        <f>AK80+Z80</f>
        <v/>
      </c>
      <c r="AM80" s="54">
        <f>AL80+AA80</f>
        <v/>
      </c>
      <c r="AN80" s="54">
        <f>AM80+AB80</f>
        <v/>
      </c>
      <c r="AO80" s="54">
        <f>AL80+AE80+AF80+AG80+AH80+AI80+AB80</f>
        <v/>
      </c>
      <c r="AP80" s="54">
        <f>IF(State!$B$46=1,AO80,AN80)</f>
        <v/>
      </c>
      <c r="AQ80" s="54" t="n">
        <v>1059.7</v>
      </c>
      <c r="AR80" s="54" t="n">
        <v>-837.8</v>
      </c>
      <c r="AS80" s="54" t="n">
        <v>0</v>
      </c>
      <c r="AT80" s="54" t="n">
        <v>4006.6</v>
      </c>
      <c r="AU80" s="54" t="n">
        <v>588.5</v>
      </c>
      <c r="AX80" s="54" t="n">
        <v>1060.4</v>
      </c>
      <c r="AY80" s="54" t="n">
        <v>324</v>
      </c>
      <c r="AZ80" s="54" t="n">
        <v>642.7</v>
      </c>
      <c r="BA80" s="54" t="n">
        <v>122.8</v>
      </c>
      <c r="BB80" s="54" t="n">
        <v>1856.7</v>
      </c>
      <c r="BC80" s="54">
        <f>AQ80+AR80+AS80+AT80+AU80</f>
        <v/>
      </c>
      <c r="BD80" s="54">
        <f>AQ80</f>
        <v/>
      </c>
      <c r="BE80" s="54">
        <f>AQ80+AR80</f>
        <v/>
      </c>
      <c r="BF80" s="54">
        <f>BE80+AS80</f>
        <v/>
      </c>
      <c r="BG80" s="54">
        <f>BF80+AT80</f>
        <v/>
      </c>
      <c r="BH80" s="54">
        <f>BG80+AU80</f>
        <v/>
      </c>
      <c r="BI80" s="54">
        <f>BC80</f>
        <v/>
      </c>
      <c r="BJ80" s="54">
        <f>IF(State!$B$14=1,CHOOSE(State!$B$43+1,D80,BD80,BE80,BF80,BG80,BH80,BI80),BK80)</f>
        <v/>
      </c>
      <c r="BK80" s="54">
        <f>CHOOSE(State!$B$43+1,D80,AJ80,AK80,AL80,AM80,AN80,AO80)</f>
        <v/>
      </c>
      <c r="BL80" s="54">
        <f>IF(State!$B$44=1,H80,0)</f>
        <v/>
      </c>
      <c r="BQ80" s="54">
        <f>D80-AP80</f>
        <v/>
      </c>
      <c r="BR80" s="54">
        <f>BQ80^2</f>
        <v/>
      </c>
      <c r="BS80" s="54">
        <f>(BQ80-BQ79)^2</f>
        <v/>
      </c>
      <c r="BT80" s="54">
        <f>IF(D80&gt;2000,ABS(BQ80)/D80,"")</f>
        <v/>
      </c>
      <c r="BU80" s="54" t="n">
        <v>249</v>
      </c>
      <c r="BV80" s="74" t="n">
        <v>0.5609</v>
      </c>
      <c r="BW80" s="54" t="n">
        <v>928.8</v>
      </c>
    </row>
    <row r="81">
      <c r="A81" s="73" t="n">
        <v>45459</v>
      </c>
      <c r="B81" s="53">
        <f>YEAR(A81)</f>
        <v/>
      </c>
      <c r="C81" s="53">
        <f>MONTH(A81)</f>
        <v/>
      </c>
      <c r="D81" s="54" t="n">
        <v>5409</v>
      </c>
      <c r="E81" s="55" t="n">
        <v>1.1667</v>
      </c>
      <c r="F81" s="55" t="n">
        <v>0.8245</v>
      </c>
      <c r="G81" s="55" t="n">
        <v>0</v>
      </c>
      <c r="H81" s="54" t="n">
        <v>222.59</v>
      </c>
      <c r="I81" s="54">
        <f>H81+State!$B$6/100*I80</f>
        <v/>
      </c>
      <c r="J81" s="54" t="n">
        <v>88.7</v>
      </c>
      <c r="K81" s="54" t="n">
        <v>627.62</v>
      </c>
      <c r="N81" s="54" t="n">
        <v>58.01</v>
      </c>
      <c r="O81" s="54" t="n">
        <v>14.91</v>
      </c>
      <c r="P81" s="54" t="n">
        <v>12.94</v>
      </c>
      <c r="Q81" s="54" t="n">
        <v>17</v>
      </c>
      <c r="R81" s="54" t="n">
        <v>114.32</v>
      </c>
      <c r="S81" s="54">
        <f>N81+Answers!$C$16/100*S80</f>
        <v/>
      </c>
      <c r="T81" s="54">
        <f>O81+Answers!$C$17/100*T80</f>
        <v/>
      </c>
      <c r="U81" s="54">
        <f>P81+Answers!$C$18/100*U80</f>
        <v/>
      </c>
      <c r="V81" s="54">
        <f>Q81+Answers!$C$19/100*V80</f>
        <v/>
      </c>
      <c r="W81" s="54">
        <f>R81+Answers!$C$20/100*W80</f>
        <v/>
      </c>
      <c r="X81" s="54">
        <f>State!$B$2*E81</f>
        <v/>
      </c>
      <c r="Y81" s="54">
        <f>-State!$B$3*F81</f>
        <v/>
      </c>
      <c r="Z81" s="54">
        <f>State!$B$4*G81</f>
        <v/>
      </c>
      <c r="AA81" s="54">
        <f>State!$B$5*(1-State!$B$6/100)*I81</f>
        <v/>
      </c>
      <c r="AB81" s="54">
        <f>State!$B$7*K81</f>
        <v/>
      </c>
      <c r="AE81" s="54">
        <f>State!$B$8*(1-Answers!$C$16/100)*S81</f>
        <v/>
      </c>
      <c r="AF81" s="54">
        <f>State!$B$9*(1-Answers!$C$17/100)*T81</f>
        <v/>
      </c>
      <c r="AG81" s="54">
        <f>State!$B$10*(1-Answers!$C$18/100)*U81</f>
        <v/>
      </c>
      <c r="AH81" s="54">
        <f>State!$B$11*(1-Answers!$C$19/100)*V81</f>
        <v/>
      </c>
      <c r="AI81" s="54">
        <f>State!$B$12*(1-Answers!$C$20/100)*W81</f>
        <v/>
      </c>
      <c r="AJ81" s="54">
        <f>X81</f>
        <v/>
      </c>
      <c r="AK81" s="54">
        <f>X81+Y81</f>
        <v/>
      </c>
      <c r="AL81" s="54">
        <f>AK81+Z81</f>
        <v/>
      </c>
      <c r="AM81" s="54">
        <f>AL81+AA81</f>
        <v/>
      </c>
      <c r="AN81" s="54">
        <f>AM81+AB81</f>
        <v/>
      </c>
      <c r="AO81" s="54">
        <f>AL81+AE81+AF81+AG81+AH81+AI81+AB81</f>
        <v/>
      </c>
      <c r="AP81" s="54">
        <f>IF(State!$B$46=1,AO81,AN81)</f>
        <v/>
      </c>
      <c r="AQ81" s="54" t="n">
        <v>1021.6</v>
      </c>
      <c r="AR81" s="54" t="n">
        <v>-785.3</v>
      </c>
      <c r="AS81" s="54" t="n">
        <v>0</v>
      </c>
      <c r="AT81" s="54" t="n">
        <v>3900.1</v>
      </c>
      <c r="AU81" s="54" t="n">
        <v>468.2</v>
      </c>
      <c r="AX81" s="54" t="n">
        <v>1052.2</v>
      </c>
      <c r="AY81" s="54" t="n">
        <v>314.3</v>
      </c>
      <c r="AZ81" s="54" t="n">
        <v>580.1</v>
      </c>
      <c r="BA81" s="54" t="n">
        <v>118.5</v>
      </c>
      <c r="BB81" s="54" t="n">
        <v>1834.9</v>
      </c>
      <c r="BC81" s="54">
        <f>AQ81+AR81+AS81+AT81+AU81</f>
        <v/>
      </c>
      <c r="BD81" s="54">
        <f>AQ81</f>
        <v/>
      </c>
      <c r="BE81" s="54">
        <f>AQ81+AR81</f>
        <v/>
      </c>
      <c r="BF81" s="54">
        <f>BE81+AS81</f>
        <v/>
      </c>
      <c r="BG81" s="54">
        <f>BF81+AT81</f>
        <v/>
      </c>
      <c r="BH81" s="54">
        <f>BG81+AU81</f>
        <v/>
      </c>
      <c r="BI81" s="54">
        <f>BC81</f>
        <v/>
      </c>
      <c r="BJ81" s="54">
        <f>IF(State!$B$14=1,CHOOSE(State!$B$43+1,D81,BD81,BE81,BF81,BG81,BH81,BI81),BK81)</f>
        <v/>
      </c>
      <c r="BK81" s="54">
        <f>CHOOSE(State!$B$43+1,D81,AJ81,AK81,AL81,AM81,AN81,AO81)</f>
        <v/>
      </c>
      <c r="BL81" s="54">
        <f>IF(State!$B$44=1,H81,0)</f>
        <v/>
      </c>
      <c r="BQ81" s="54">
        <f>D81-AP81</f>
        <v/>
      </c>
      <c r="BR81" s="54">
        <f>BQ81^2</f>
        <v/>
      </c>
      <c r="BS81" s="54">
        <f>(BQ81-BQ80)^2</f>
        <v/>
      </c>
      <c r="BT81" s="54">
        <f>IF(D81&gt;2000,ABS(BQ81)/D81,"")</f>
        <v/>
      </c>
      <c r="BU81" s="54" t="n">
        <v>216</v>
      </c>
      <c r="BV81" s="74" t="n">
        <v>0.5609</v>
      </c>
      <c r="BW81" s="54" t="n">
        <v>926</v>
      </c>
    </row>
    <row r="82">
      <c r="A82" s="73" t="n">
        <v>45466</v>
      </c>
      <c r="B82" s="53">
        <f>YEAR(A82)</f>
        <v/>
      </c>
      <c r="C82" s="53">
        <f>MONTH(A82)</f>
        <v/>
      </c>
      <c r="D82" s="54" t="n">
        <v>4819</v>
      </c>
      <c r="E82" s="55" t="n">
        <v>1.2567</v>
      </c>
      <c r="F82" s="55" t="n">
        <v>0.7188</v>
      </c>
      <c r="G82" s="55" t="n">
        <v>0</v>
      </c>
      <c r="H82" s="54" t="n">
        <v>213.39</v>
      </c>
      <c r="I82" s="54">
        <f>H82+State!$B$6/100*I81</f>
        <v/>
      </c>
      <c r="J82" s="54" t="n">
        <v>71.68000000000001</v>
      </c>
      <c r="K82" s="54" t="n">
        <v>514.61</v>
      </c>
      <c r="N82" s="54" t="n">
        <v>0</v>
      </c>
      <c r="O82" s="54" t="n">
        <v>11.25</v>
      </c>
      <c r="P82" s="54" t="n">
        <v>11.77</v>
      </c>
      <c r="Q82" s="54" t="n">
        <v>34</v>
      </c>
      <c r="R82" s="54" t="n">
        <v>151.56</v>
      </c>
      <c r="S82" s="54">
        <f>N82+Answers!$C$16/100*S81</f>
        <v/>
      </c>
      <c r="T82" s="54">
        <f>O82+Answers!$C$17/100*T81</f>
        <v/>
      </c>
      <c r="U82" s="54">
        <f>P82+Answers!$C$18/100*U81</f>
        <v/>
      </c>
      <c r="V82" s="54">
        <f>Q82+Answers!$C$19/100*V81</f>
        <v/>
      </c>
      <c r="W82" s="54">
        <f>R82+Answers!$C$20/100*W81</f>
        <v/>
      </c>
      <c r="X82" s="54">
        <f>State!$B$2*E82</f>
        <v/>
      </c>
      <c r="Y82" s="54">
        <f>-State!$B$3*F82</f>
        <v/>
      </c>
      <c r="Z82" s="54">
        <f>State!$B$4*G82</f>
        <v/>
      </c>
      <c r="AA82" s="54">
        <f>State!$B$5*(1-State!$B$6/100)*I82</f>
        <v/>
      </c>
      <c r="AB82" s="54">
        <f>State!$B$7*K82</f>
        <v/>
      </c>
      <c r="AE82" s="54">
        <f>State!$B$8*(1-Answers!$C$16/100)*S82</f>
        <v/>
      </c>
      <c r="AF82" s="54">
        <f>State!$B$9*(1-Answers!$C$17/100)*T82</f>
        <v/>
      </c>
      <c r="AG82" s="54">
        <f>State!$B$10*(1-Answers!$C$18/100)*U82</f>
        <v/>
      </c>
      <c r="AH82" s="54">
        <f>State!$B$11*(1-Answers!$C$19/100)*V82</f>
        <v/>
      </c>
      <c r="AI82" s="54">
        <f>State!$B$12*(1-Answers!$C$20/100)*W82</f>
        <v/>
      </c>
      <c r="AJ82" s="54">
        <f>X82</f>
        <v/>
      </c>
      <c r="AK82" s="54">
        <f>X82+Y82</f>
        <v/>
      </c>
      <c r="AL82" s="54">
        <f>AK82+Z82</f>
        <v/>
      </c>
      <c r="AM82" s="54">
        <f>AL82+AA82</f>
        <v/>
      </c>
      <c r="AN82" s="54">
        <f>AM82+AB82</f>
        <v/>
      </c>
      <c r="AO82" s="54">
        <f>AL82+AE82+AF82+AG82+AH82+AI82+AB82</f>
        <v/>
      </c>
      <c r="AP82" s="54">
        <f>IF(State!$B$46=1,AO82,AN82)</f>
        <v/>
      </c>
      <c r="AQ82" s="54" t="n">
        <v>1100.4</v>
      </c>
      <c r="AR82" s="54" t="n">
        <v>-684.6</v>
      </c>
      <c r="AS82" s="54" t="n">
        <v>0</v>
      </c>
      <c r="AT82" s="54" t="n">
        <v>3737.8</v>
      </c>
      <c r="AU82" s="54" t="n">
        <v>1680.2</v>
      </c>
      <c r="AX82" s="54" t="n">
        <v>894.4</v>
      </c>
      <c r="AY82" s="54" t="n">
        <v>296.5</v>
      </c>
      <c r="AZ82" s="54" t="n">
        <v>523.8</v>
      </c>
      <c r="BA82" s="54" t="n">
        <v>128.9</v>
      </c>
      <c r="BB82" s="54" t="n">
        <v>1894.2</v>
      </c>
      <c r="BC82" s="54">
        <f>AQ82+AR82+AS82+AT82+AU82</f>
        <v/>
      </c>
      <c r="BD82" s="54">
        <f>AQ82</f>
        <v/>
      </c>
      <c r="BE82" s="54">
        <f>AQ82+AR82</f>
        <v/>
      </c>
      <c r="BF82" s="54">
        <f>BE82+AS82</f>
        <v/>
      </c>
      <c r="BG82" s="54">
        <f>BF82+AT82</f>
        <v/>
      </c>
      <c r="BH82" s="54">
        <f>BG82+AU82</f>
        <v/>
      </c>
      <c r="BI82" s="54">
        <f>BC82</f>
        <v/>
      </c>
      <c r="BJ82" s="54">
        <f>IF(State!$B$14=1,CHOOSE(State!$B$43+1,D82,BD82,BE82,BF82,BG82,BH82,BI82),BK82)</f>
        <v/>
      </c>
      <c r="BK82" s="54">
        <f>CHOOSE(State!$B$43+1,D82,AJ82,AK82,AL82,AM82,AN82,AO82)</f>
        <v/>
      </c>
      <c r="BL82" s="54">
        <f>IF(State!$B$44=1,H82,0)</f>
        <v/>
      </c>
      <c r="BQ82" s="54">
        <f>D82-AP82</f>
        <v/>
      </c>
      <c r="BR82" s="54">
        <f>BQ82^2</f>
        <v/>
      </c>
      <c r="BS82" s="54">
        <f>(BQ82-BQ81)^2</f>
        <v/>
      </c>
      <c r="BT82" s="54">
        <f>IF(D82&gt;2000,ABS(BQ82)/D82,"")</f>
        <v/>
      </c>
      <c r="BU82" s="54" t="n">
        <v>106</v>
      </c>
      <c r="BV82" s="74" t="n">
        <v>0.5609</v>
      </c>
      <c r="BW82" s="54" t="n">
        <v>799.9</v>
      </c>
    </row>
    <row r="83">
      <c r="A83" s="73" t="n">
        <v>45473</v>
      </c>
      <c r="B83" s="53">
        <f>YEAR(A83)</f>
        <v/>
      </c>
      <c r="C83" s="53">
        <f>MONTH(A83)</f>
        <v/>
      </c>
      <c r="D83" s="54" t="n">
        <v>4558</v>
      </c>
      <c r="E83" s="55" t="n">
        <v>1.8797</v>
      </c>
      <c r="F83" s="55" t="n">
        <v>0.736</v>
      </c>
      <c r="G83" s="55" t="n">
        <v>0</v>
      </c>
      <c r="H83" s="54" t="n">
        <v>301.3</v>
      </c>
      <c r="I83" s="54">
        <f>H83+State!$B$6/100*I82</f>
        <v/>
      </c>
      <c r="J83" s="54" t="n">
        <v>84.5</v>
      </c>
      <c r="K83" s="54" t="n">
        <v>492.44</v>
      </c>
      <c r="N83" s="54" t="n">
        <v>50.79</v>
      </c>
      <c r="O83" s="54" t="n">
        <v>10.35</v>
      </c>
      <c r="P83" s="54" t="n">
        <v>11.06</v>
      </c>
      <c r="Q83" s="54" t="n">
        <v>62.4</v>
      </c>
      <c r="R83" s="54" t="n">
        <v>162.14</v>
      </c>
      <c r="S83" s="54">
        <f>N83+Answers!$C$16/100*S82</f>
        <v/>
      </c>
      <c r="T83" s="54">
        <f>O83+Answers!$C$17/100*T82</f>
        <v/>
      </c>
      <c r="U83" s="54">
        <f>P83+Answers!$C$18/100*U82</f>
        <v/>
      </c>
      <c r="V83" s="54">
        <f>Q83+Answers!$C$19/100*V82</f>
        <v/>
      </c>
      <c r="W83" s="54">
        <f>R83+Answers!$C$20/100*W82</f>
        <v/>
      </c>
      <c r="X83" s="54">
        <f>State!$B$2*E83</f>
        <v/>
      </c>
      <c r="Y83" s="54">
        <f>-State!$B$3*F83</f>
        <v/>
      </c>
      <c r="Z83" s="54">
        <f>State!$B$4*G83</f>
        <v/>
      </c>
      <c r="AA83" s="54">
        <f>State!$B$5*(1-State!$B$6/100)*I83</f>
        <v/>
      </c>
      <c r="AB83" s="54">
        <f>State!$B$7*K83</f>
        <v/>
      </c>
      <c r="AE83" s="54">
        <f>State!$B$8*(1-Answers!$C$16/100)*S83</f>
        <v/>
      </c>
      <c r="AF83" s="54">
        <f>State!$B$9*(1-Answers!$C$17/100)*T83</f>
        <v/>
      </c>
      <c r="AG83" s="54">
        <f>State!$B$10*(1-Answers!$C$18/100)*U83</f>
        <v/>
      </c>
      <c r="AH83" s="54">
        <f>State!$B$11*(1-Answers!$C$19/100)*V83</f>
        <v/>
      </c>
      <c r="AI83" s="54">
        <f>State!$B$12*(1-Answers!$C$20/100)*W83</f>
        <v/>
      </c>
      <c r="AJ83" s="54">
        <f>X83</f>
        <v/>
      </c>
      <c r="AK83" s="54">
        <f>X83+Y83</f>
        <v/>
      </c>
      <c r="AL83" s="54">
        <f>AK83+Z83</f>
        <v/>
      </c>
      <c r="AM83" s="54">
        <f>AL83+AA83</f>
        <v/>
      </c>
      <c r="AN83" s="54">
        <f>AM83+AB83</f>
        <v/>
      </c>
      <c r="AO83" s="54">
        <f>AL83+AE83+AF83+AG83+AH83+AI83+AB83</f>
        <v/>
      </c>
      <c r="AP83" s="54">
        <f>IF(State!$B$46=1,AO83,AN83)</f>
        <v/>
      </c>
      <c r="AQ83" s="54" t="n">
        <v>1645.9</v>
      </c>
      <c r="AR83" s="54" t="n">
        <v>-701</v>
      </c>
      <c r="AS83" s="54" t="n">
        <v>0</v>
      </c>
      <c r="AT83" s="54" t="n">
        <v>3763.4</v>
      </c>
      <c r="AU83" s="54" t="n">
        <v>1683.2</v>
      </c>
      <c r="AX83" s="54" t="n">
        <v>892.4</v>
      </c>
      <c r="AY83" s="54" t="n">
        <v>279</v>
      </c>
      <c r="AZ83" s="54" t="n">
        <v>474.2</v>
      </c>
      <c r="BA83" s="54" t="n">
        <v>161.3</v>
      </c>
      <c r="BB83" s="54" t="n">
        <v>1956.6</v>
      </c>
      <c r="BC83" s="54">
        <f>AQ83+AR83+AS83+AT83+AU83</f>
        <v/>
      </c>
      <c r="BD83" s="54">
        <f>AQ83</f>
        <v/>
      </c>
      <c r="BE83" s="54">
        <f>AQ83+AR83</f>
        <v/>
      </c>
      <c r="BF83" s="54">
        <f>BE83+AS83</f>
        <v/>
      </c>
      <c r="BG83" s="54">
        <f>BF83+AT83</f>
        <v/>
      </c>
      <c r="BH83" s="54">
        <f>BG83+AU83</f>
        <v/>
      </c>
      <c r="BI83" s="54">
        <f>BC83</f>
        <v/>
      </c>
      <c r="BJ83" s="54">
        <f>IF(State!$B$14=1,CHOOSE(State!$B$43+1,D83,BD83,BE83,BF83,BG83,BH83,BI83),BK83)</f>
        <v/>
      </c>
      <c r="BK83" s="54">
        <f>CHOOSE(State!$B$43+1,D83,AJ83,AK83,AL83,AM83,AN83,AO83)</f>
        <v/>
      </c>
      <c r="BL83" s="54">
        <f>IF(State!$B$44=1,H83,0)</f>
        <v/>
      </c>
      <c r="BQ83" s="54">
        <f>D83-AP83</f>
        <v/>
      </c>
      <c r="BR83" s="54">
        <f>BQ83^2</f>
        <v/>
      </c>
      <c r="BS83" s="54">
        <f>(BQ83-BQ82)^2</f>
        <v/>
      </c>
      <c r="BT83" s="54">
        <f>IF(D83&gt;2000,ABS(BQ83)/D83,"")</f>
        <v/>
      </c>
      <c r="BU83" s="54" t="n">
        <v>165</v>
      </c>
      <c r="BV83" s="74" t="n">
        <v>0.5517</v>
      </c>
      <c r="BW83" s="54" t="n">
        <v>860.8</v>
      </c>
    </row>
    <row r="84">
      <c r="A84" s="73" t="n">
        <v>45480</v>
      </c>
      <c r="B84" s="53">
        <f>YEAR(A84)</f>
        <v/>
      </c>
      <c r="C84" s="53">
        <f>MONTH(A84)</f>
        <v/>
      </c>
      <c r="D84" s="54" t="n">
        <v>3559</v>
      </c>
      <c r="E84" s="55" t="n">
        <v>1.2578</v>
      </c>
      <c r="F84" s="55" t="n">
        <v>0.7464</v>
      </c>
      <c r="G84" s="55" t="n">
        <v>0</v>
      </c>
      <c r="H84" s="54" t="n">
        <v>221.57</v>
      </c>
      <c r="I84" s="54">
        <f>H84+State!$B$6/100*I83</f>
        <v/>
      </c>
      <c r="J84" s="54" t="n">
        <v>94.06</v>
      </c>
      <c r="K84" s="54" t="n">
        <v>261.51</v>
      </c>
      <c r="N84" s="54" t="n">
        <v>0</v>
      </c>
      <c r="O84" s="54" t="n">
        <v>26.71</v>
      </c>
      <c r="P84" s="54" t="n">
        <v>12.88</v>
      </c>
      <c r="Q84" s="54" t="n">
        <v>77.31</v>
      </c>
      <c r="R84" s="54" t="n">
        <v>101.11</v>
      </c>
      <c r="S84" s="54">
        <f>N84+Answers!$C$16/100*S83</f>
        <v/>
      </c>
      <c r="T84" s="54">
        <f>O84+Answers!$C$17/100*T83</f>
        <v/>
      </c>
      <c r="U84" s="54">
        <f>P84+Answers!$C$18/100*U83</f>
        <v/>
      </c>
      <c r="V84" s="54">
        <f>Q84+Answers!$C$19/100*V83</f>
        <v/>
      </c>
      <c r="W84" s="54">
        <f>R84+Answers!$C$20/100*W83</f>
        <v/>
      </c>
      <c r="X84" s="54">
        <f>State!$B$2*E84</f>
        <v/>
      </c>
      <c r="Y84" s="54">
        <f>-State!$B$3*F84</f>
        <v/>
      </c>
      <c r="Z84" s="54">
        <f>State!$B$4*G84</f>
        <v/>
      </c>
      <c r="AA84" s="54">
        <f>State!$B$5*(1-State!$B$6/100)*I84</f>
        <v/>
      </c>
      <c r="AB84" s="54">
        <f>State!$B$7*K84</f>
        <v/>
      </c>
      <c r="AE84" s="54">
        <f>State!$B$8*(1-Answers!$C$16/100)*S84</f>
        <v/>
      </c>
      <c r="AF84" s="54">
        <f>State!$B$9*(1-Answers!$C$17/100)*T84</f>
        <v/>
      </c>
      <c r="AG84" s="54">
        <f>State!$B$10*(1-Answers!$C$18/100)*U84</f>
        <v/>
      </c>
      <c r="AH84" s="54">
        <f>State!$B$11*(1-Answers!$C$19/100)*V84</f>
        <v/>
      </c>
      <c r="AI84" s="54">
        <f>State!$B$12*(1-Answers!$C$20/100)*W84</f>
        <v/>
      </c>
      <c r="AJ84" s="54">
        <f>X84</f>
        <v/>
      </c>
      <c r="AK84" s="54">
        <f>X84+Y84</f>
        <v/>
      </c>
      <c r="AL84" s="54">
        <f>AK84+Z84</f>
        <v/>
      </c>
      <c r="AM84" s="54">
        <f>AL84+AA84</f>
        <v/>
      </c>
      <c r="AN84" s="54">
        <f>AM84+AB84</f>
        <v/>
      </c>
      <c r="AO84" s="54">
        <f>AL84+AE84+AF84+AG84+AH84+AI84+AB84</f>
        <v/>
      </c>
      <c r="AP84" s="54">
        <f>IF(State!$B$46=1,AO84,AN84)</f>
        <v/>
      </c>
      <c r="AQ84" s="54" t="n">
        <v>1101.3</v>
      </c>
      <c r="AR84" s="54" t="n">
        <v>-710.9</v>
      </c>
      <c r="AS84" s="54" t="n">
        <v>0</v>
      </c>
      <c r="AT84" s="54" t="n">
        <v>3583.8</v>
      </c>
      <c r="AU84" s="54" t="n">
        <v>945.9</v>
      </c>
      <c r="AX84" s="54" t="n">
        <v>758.5</v>
      </c>
      <c r="AY84" s="54" t="n">
        <v>306.8</v>
      </c>
      <c r="AZ84" s="54" t="n">
        <v>436.7</v>
      </c>
      <c r="BA84" s="54" t="n">
        <v>201.1</v>
      </c>
      <c r="BB84" s="54" t="n">
        <v>1880.6</v>
      </c>
      <c r="BC84" s="54">
        <f>AQ84+AR84+AS84+AT84+AU84</f>
        <v/>
      </c>
      <c r="BD84" s="54">
        <f>AQ84</f>
        <v/>
      </c>
      <c r="BE84" s="54">
        <f>AQ84+AR84</f>
        <v/>
      </c>
      <c r="BF84" s="54">
        <f>BE84+AS84</f>
        <v/>
      </c>
      <c r="BG84" s="54">
        <f>BF84+AT84</f>
        <v/>
      </c>
      <c r="BH84" s="54">
        <f>BG84+AU84</f>
        <v/>
      </c>
      <c r="BI84" s="54">
        <f>BC84</f>
        <v/>
      </c>
      <c r="BJ84" s="54">
        <f>IF(State!$B$14=1,CHOOSE(State!$B$43+1,D84,BD84,BE84,BF84,BG84,BH84,BI84),BK84)</f>
        <v/>
      </c>
      <c r="BK84" s="54">
        <f>CHOOSE(State!$B$43+1,D84,AJ84,AK84,AL84,AM84,AN84,AO84)</f>
        <v/>
      </c>
      <c r="BL84" s="54">
        <f>IF(State!$B$44=1,H84,0)</f>
        <v/>
      </c>
      <c r="BQ84" s="54">
        <f>D84-AP84</f>
        <v/>
      </c>
      <c r="BR84" s="54">
        <f>BQ84^2</f>
        <v/>
      </c>
      <c r="BS84" s="54">
        <f>(BQ84-BQ83)^2</f>
        <v/>
      </c>
      <c r="BT84" s="54">
        <f>IF(D84&gt;2000,ABS(BQ84)/D84,"")</f>
        <v/>
      </c>
      <c r="BU84" s="54" t="n">
        <v>135</v>
      </c>
      <c r="BV84" s="74" t="n">
        <v>0.5517</v>
      </c>
      <c r="BW84" s="54" t="n">
        <v>550.5</v>
      </c>
    </row>
    <row r="85">
      <c r="A85" s="73" t="n">
        <v>45487</v>
      </c>
      <c r="B85" s="53">
        <f>YEAR(A85)</f>
        <v/>
      </c>
      <c r="C85" s="53">
        <f>MONTH(A85)</f>
        <v/>
      </c>
      <c r="D85" s="54" t="n">
        <v>2296</v>
      </c>
      <c r="E85" s="55" t="n">
        <v>1.2437</v>
      </c>
      <c r="F85" s="55" t="n">
        <v>0.7979000000000001</v>
      </c>
      <c r="G85" s="55" t="n">
        <v>0</v>
      </c>
      <c r="H85" s="54" t="n">
        <v>167.72</v>
      </c>
      <c r="I85" s="54">
        <f>H85+State!$B$6/100*I84</f>
        <v/>
      </c>
      <c r="J85" s="54" t="n">
        <v>95.34999999999999</v>
      </c>
      <c r="K85" s="54" t="n">
        <v>233.59</v>
      </c>
      <c r="N85" s="54" t="n">
        <v>53.14</v>
      </c>
      <c r="O85" s="54" t="n">
        <v>16</v>
      </c>
      <c r="P85" s="54" t="n">
        <v>12.27</v>
      </c>
      <c r="Q85" s="54" t="n">
        <v>0.36</v>
      </c>
      <c r="R85" s="54" t="n">
        <v>83.65000000000001</v>
      </c>
      <c r="S85" s="54">
        <f>N85+Answers!$C$16/100*S84</f>
        <v/>
      </c>
      <c r="T85" s="54">
        <f>O85+Answers!$C$17/100*T84</f>
        <v/>
      </c>
      <c r="U85" s="54">
        <f>P85+Answers!$C$18/100*U84</f>
        <v/>
      </c>
      <c r="V85" s="54">
        <f>Q85+Answers!$C$19/100*V84</f>
        <v/>
      </c>
      <c r="W85" s="54">
        <f>R85+Answers!$C$20/100*W84</f>
        <v/>
      </c>
      <c r="X85" s="54">
        <f>State!$B$2*E85</f>
        <v/>
      </c>
      <c r="Y85" s="54">
        <f>-State!$B$3*F85</f>
        <v/>
      </c>
      <c r="Z85" s="54">
        <f>State!$B$4*G85</f>
        <v/>
      </c>
      <c r="AA85" s="54">
        <f>State!$B$5*(1-State!$B$6/100)*I85</f>
        <v/>
      </c>
      <c r="AB85" s="54">
        <f>State!$B$7*K85</f>
        <v/>
      </c>
      <c r="AE85" s="54">
        <f>State!$B$8*(1-Answers!$C$16/100)*S85</f>
        <v/>
      </c>
      <c r="AF85" s="54">
        <f>State!$B$9*(1-Answers!$C$17/100)*T85</f>
        <v/>
      </c>
      <c r="AG85" s="54">
        <f>State!$B$10*(1-Answers!$C$18/100)*U85</f>
        <v/>
      </c>
      <c r="AH85" s="54">
        <f>State!$B$11*(1-Answers!$C$19/100)*V85</f>
        <v/>
      </c>
      <c r="AI85" s="54">
        <f>State!$B$12*(1-Answers!$C$20/100)*W85</f>
        <v/>
      </c>
      <c r="AJ85" s="54">
        <f>X85</f>
        <v/>
      </c>
      <c r="AK85" s="54">
        <f>X85+Y85</f>
        <v/>
      </c>
      <c r="AL85" s="54">
        <f>AK85+Z85</f>
        <v/>
      </c>
      <c r="AM85" s="54">
        <f>AL85+AA85</f>
        <v/>
      </c>
      <c r="AN85" s="54">
        <f>AM85+AB85</f>
        <v/>
      </c>
      <c r="AO85" s="54">
        <f>AL85+AE85+AF85+AG85+AH85+AI85+AB85</f>
        <v/>
      </c>
      <c r="AP85" s="54">
        <f>IF(State!$B$46=1,AO85,AN85)</f>
        <v/>
      </c>
      <c r="AQ85" s="54" t="n">
        <v>1089</v>
      </c>
      <c r="AR85" s="54" t="n">
        <v>-759.9</v>
      </c>
      <c r="AS85" s="54" t="n">
        <v>0</v>
      </c>
      <c r="AT85" s="54" t="n">
        <v>3439.1</v>
      </c>
      <c r="AU85" s="54" t="n">
        <v>835.8</v>
      </c>
      <c r="AX85" s="54" t="n">
        <v>783</v>
      </c>
      <c r="AY85" s="54" t="n">
        <v>302.5</v>
      </c>
      <c r="AZ85" s="54" t="n">
        <v>403.3</v>
      </c>
      <c r="BA85" s="54" t="n">
        <v>171.2</v>
      </c>
      <c r="BB85" s="54" t="n">
        <v>1779.1</v>
      </c>
      <c r="BC85" s="54">
        <f>AQ85+AR85+AS85+AT85+AU85</f>
        <v/>
      </c>
      <c r="BD85" s="54">
        <f>AQ85</f>
        <v/>
      </c>
      <c r="BE85" s="54">
        <f>AQ85+AR85</f>
        <v/>
      </c>
      <c r="BF85" s="54">
        <f>BE85+AS85</f>
        <v/>
      </c>
      <c r="BG85" s="54">
        <f>BF85+AT85</f>
        <v/>
      </c>
      <c r="BH85" s="54">
        <f>BG85+AU85</f>
        <v/>
      </c>
      <c r="BI85" s="54">
        <f>BC85</f>
        <v/>
      </c>
      <c r="BJ85" s="54">
        <f>IF(State!$B$14=1,CHOOSE(State!$B$43+1,D85,BD85,BE85,BF85,BG85,BH85,BI85),BK85)</f>
        <v/>
      </c>
      <c r="BK85" s="54">
        <f>CHOOSE(State!$B$43+1,D85,AJ85,AK85,AL85,AM85,AN85,AO85)</f>
        <v/>
      </c>
      <c r="BL85" s="54">
        <f>IF(State!$B$44=1,H85,0)</f>
        <v/>
      </c>
      <c r="BQ85" s="54">
        <f>D85-AP85</f>
        <v/>
      </c>
      <c r="BR85" s="54">
        <f>BQ85^2</f>
        <v/>
      </c>
      <c r="BS85" s="54">
        <f>(BQ85-BQ84)^2</f>
        <v/>
      </c>
      <c r="BT85" s="54">
        <f>IF(D85&gt;2000,ABS(BQ85)/D85,"")</f>
        <v/>
      </c>
      <c r="BU85" s="54" t="n">
        <v>119</v>
      </c>
      <c r="BV85" s="74" t="n">
        <v>0.5517</v>
      </c>
      <c r="BW85" s="54" t="n">
        <v>530.5</v>
      </c>
    </row>
    <row r="86">
      <c r="A86" s="73" t="n">
        <v>45494</v>
      </c>
      <c r="B86" s="53">
        <f>YEAR(A86)</f>
        <v/>
      </c>
      <c r="C86" s="53">
        <f>MONTH(A86)</f>
        <v/>
      </c>
      <c r="D86" s="54" t="n">
        <v>1719</v>
      </c>
      <c r="E86" s="55" t="n">
        <v>1.1823</v>
      </c>
      <c r="F86" s="55" t="n">
        <v>0.8416</v>
      </c>
      <c r="G86" s="55" t="n">
        <v>0</v>
      </c>
      <c r="H86" s="54" t="n">
        <v>52.27</v>
      </c>
      <c r="I86" s="54">
        <f>H86+State!$B$6/100*I85</f>
        <v/>
      </c>
      <c r="J86" s="54" t="n">
        <v>69.58</v>
      </c>
      <c r="K86" s="54" t="n">
        <v>109.58</v>
      </c>
      <c r="N86" s="54" t="n">
        <v>0</v>
      </c>
      <c r="O86" s="54" t="n">
        <v>0</v>
      </c>
      <c r="P86" s="54" t="n">
        <v>0</v>
      </c>
      <c r="Q86" s="54" t="n">
        <v>0</v>
      </c>
      <c r="R86" s="54" t="n">
        <v>50.55</v>
      </c>
      <c r="S86" s="54">
        <f>N86+Answers!$C$16/100*S85</f>
        <v/>
      </c>
      <c r="T86" s="54">
        <f>O86+Answers!$C$17/100*T85</f>
        <v/>
      </c>
      <c r="U86" s="54">
        <f>P86+Answers!$C$18/100*U85</f>
        <v/>
      </c>
      <c r="V86" s="54">
        <f>Q86+Answers!$C$19/100*V85</f>
        <v/>
      </c>
      <c r="W86" s="54">
        <f>R86+Answers!$C$20/100*W85</f>
        <v/>
      </c>
      <c r="X86" s="54">
        <f>State!$B$2*E86</f>
        <v/>
      </c>
      <c r="Y86" s="54">
        <f>-State!$B$3*F86</f>
        <v/>
      </c>
      <c r="Z86" s="54">
        <f>State!$B$4*G86</f>
        <v/>
      </c>
      <c r="AA86" s="54">
        <f>State!$B$5*(1-State!$B$6/100)*I86</f>
        <v/>
      </c>
      <c r="AB86" s="54">
        <f>State!$B$7*K86</f>
        <v/>
      </c>
      <c r="AE86" s="54">
        <f>State!$B$8*(1-Answers!$C$16/100)*S86</f>
        <v/>
      </c>
      <c r="AF86" s="54">
        <f>State!$B$9*(1-Answers!$C$17/100)*T86</f>
        <v/>
      </c>
      <c r="AG86" s="54">
        <f>State!$B$10*(1-Answers!$C$18/100)*U86</f>
        <v/>
      </c>
      <c r="AH86" s="54">
        <f>State!$B$11*(1-Answers!$C$19/100)*V86</f>
        <v/>
      </c>
      <c r="AI86" s="54">
        <f>State!$B$12*(1-Answers!$C$20/100)*W86</f>
        <v/>
      </c>
      <c r="AJ86" s="54">
        <f>X86</f>
        <v/>
      </c>
      <c r="AK86" s="54">
        <f>X86+Y86</f>
        <v/>
      </c>
      <c r="AL86" s="54">
        <f>AK86+Z86</f>
        <v/>
      </c>
      <c r="AM86" s="54">
        <f>AL86+AA86</f>
        <v/>
      </c>
      <c r="AN86" s="54">
        <f>AM86+AB86</f>
        <v/>
      </c>
      <c r="AO86" s="54">
        <f>AL86+AE86+AF86+AG86+AH86+AI86+AB86</f>
        <v/>
      </c>
      <c r="AP86" s="54">
        <f>IF(State!$B$46=1,AO86,AN86)</f>
        <v/>
      </c>
      <c r="AQ86" s="54" t="n">
        <v>1035.3</v>
      </c>
      <c r="AR86" s="54" t="n">
        <v>-801.5</v>
      </c>
      <c r="AS86" s="54" t="n">
        <v>0</v>
      </c>
      <c r="AT86" s="54" t="n">
        <v>3029.6</v>
      </c>
      <c r="AU86" s="54" t="n">
        <v>375.4</v>
      </c>
      <c r="AX86" s="54" t="n">
        <v>665.6</v>
      </c>
      <c r="AY86" s="54" t="n">
        <v>257.1</v>
      </c>
      <c r="AZ86" s="54" t="n">
        <v>342.8</v>
      </c>
      <c r="BA86" s="54" t="n">
        <v>145.6</v>
      </c>
      <c r="BB86" s="54" t="n">
        <v>1618.6</v>
      </c>
      <c r="BC86" s="54">
        <f>AQ86+AR86+AS86+AT86+AU86</f>
        <v/>
      </c>
      <c r="BD86" s="54">
        <f>AQ86</f>
        <v/>
      </c>
      <c r="BE86" s="54">
        <f>AQ86+AR86</f>
        <v/>
      </c>
      <c r="BF86" s="54">
        <f>BE86+AS86</f>
        <v/>
      </c>
      <c r="BG86" s="54">
        <f>BF86+AT86</f>
        <v/>
      </c>
      <c r="BH86" s="54">
        <f>BG86+AU86</f>
        <v/>
      </c>
      <c r="BI86" s="54">
        <f>BC86</f>
        <v/>
      </c>
      <c r="BJ86" s="54">
        <f>IF(State!$B$14=1,CHOOSE(State!$B$43+1,D86,BD86,BE86,BF86,BG86,BH86,BI86),BK86)</f>
        <v/>
      </c>
      <c r="BK86" s="54">
        <f>CHOOSE(State!$B$43+1,D86,AJ86,AK86,AL86,AM86,AN86,AO86)</f>
        <v/>
      </c>
      <c r="BL86" s="54">
        <f>IF(State!$B$44=1,H86,0)</f>
        <v/>
      </c>
      <c r="BQ86" s="54">
        <f>D86-AP86</f>
        <v/>
      </c>
      <c r="BR86" s="54">
        <f>BQ86^2</f>
        <v/>
      </c>
      <c r="BS86" s="54">
        <f>(BQ86-BQ85)^2</f>
        <v/>
      </c>
      <c r="BT86" s="54">
        <f>IF(D86&gt;2000,ABS(BQ86)/D86,"")</f>
        <v/>
      </c>
      <c r="BU86" s="54" t="n">
        <v>109</v>
      </c>
      <c r="BV86" s="74" t="n">
        <v>0.5517</v>
      </c>
      <c r="BW86" s="54" t="n">
        <v>347.1</v>
      </c>
    </row>
    <row r="87">
      <c r="A87" s="73" t="n">
        <v>45501</v>
      </c>
      <c r="B87" s="53">
        <f>YEAR(A87)</f>
        <v/>
      </c>
      <c r="C87" s="53">
        <f>MONTH(A87)</f>
        <v/>
      </c>
      <c r="D87" s="54" t="n">
        <v>729</v>
      </c>
      <c r="E87" s="55" t="n">
        <v>1.1744</v>
      </c>
      <c r="F87" s="55" t="n">
        <v>1.0282</v>
      </c>
      <c r="G87" s="55" t="n">
        <v>0</v>
      </c>
      <c r="H87" s="54" t="n">
        <v>7.25</v>
      </c>
      <c r="I87" s="54">
        <f>H87+State!$B$6/100*I86</f>
        <v/>
      </c>
      <c r="J87" s="54" t="n">
        <v>71.45</v>
      </c>
      <c r="K87" s="54" t="n">
        <v>106.1</v>
      </c>
      <c r="N87" s="54" t="n">
        <v>0</v>
      </c>
      <c r="O87" s="54" t="n">
        <v>0</v>
      </c>
      <c r="P87" s="54" t="n">
        <v>0</v>
      </c>
      <c r="Q87" s="54" t="n">
        <v>0</v>
      </c>
      <c r="R87" s="54" t="n">
        <v>6.52</v>
      </c>
      <c r="S87" s="54">
        <f>N87+Answers!$C$16/100*S86</f>
        <v/>
      </c>
      <c r="T87" s="54">
        <f>O87+Answers!$C$17/100*T86</f>
        <v/>
      </c>
      <c r="U87" s="54">
        <f>P87+Answers!$C$18/100*U86</f>
        <v/>
      </c>
      <c r="V87" s="54">
        <f>Q87+Answers!$C$19/100*V86</f>
        <v/>
      </c>
      <c r="W87" s="54">
        <f>R87+Answers!$C$20/100*W86</f>
        <v/>
      </c>
      <c r="X87" s="54">
        <f>State!$B$2*E87</f>
        <v/>
      </c>
      <c r="Y87" s="54">
        <f>-State!$B$3*F87</f>
        <v/>
      </c>
      <c r="Z87" s="54">
        <f>State!$B$4*G87</f>
        <v/>
      </c>
      <c r="AA87" s="54">
        <f>State!$B$5*(1-State!$B$6/100)*I87</f>
        <v/>
      </c>
      <c r="AB87" s="54">
        <f>State!$B$7*K87</f>
        <v/>
      </c>
      <c r="AE87" s="54">
        <f>State!$B$8*(1-Answers!$C$16/100)*S87</f>
        <v/>
      </c>
      <c r="AF87" s="54">
        <f>State!$B$9*(1-Answers!$C$17/100)*T87</f>
        <v/>
      </c>
      <c r="AG87" s="54">
        <f>State!$B$10*(1-Answers!$C$18/100)*U87</f>
        <v/>
      </c>
      <c r="AH87" s="54">
        <f>State!$B$11*(1-Answers!$C$19/100)*V87</f>
        <v/>
      </c>
      <c r="AI87" s="54">
        <f>State!$B$12*(1-Answers!$C$20/100)*W87</f>
        <v/>
      </c>
      <c r="AJ87" s="54">
        <f>X87</f>
        <v/>
      </c>
      <c r="AK87" s="54">
        <f>X87+Y87</f>
        <v/>
      </c>
      <c r="AL87" s="54">
        <f>AK87+Z87</f>
        <v/>
      </c>
      <c r="AM87" s="54">
        <f>AL87+AA87</f>
        <v/>
      </c>
      <c r="AN87" s="54">
        <f>AM87+AB87</f>
        <v/>
      </c>
      <c r="AO87" s="54">
        <f>AL87+AE87+AF87+AG87+AH87+AI87+AB87</f>
        <v/>
      </c>
      <c r="AP87" s="54">
        <f>IF(State!$B$46=1,AO87,AN87)</f>
        <v/>
      </c>
      <c r="AQ87" s="54" t="n">
        <v>1028.4</v>
      </c>
      <c r="AR87" s="54" t="n">
        <v>-979.3</v>
      </c>
      <c r="AS87" s="54" t="n">
        <v>0</v>
      </c>
      <c r="AT87" s="54" t="n">
        <v>2601</v>
      </c>
      <c r="AU87" s="54" t="n">
        <v>360.5</v>
      </c>
      <c r="AX87" s="54" t="n">
        <v>565.7</v>
      </c>
      <c r="AY87" s="54" t="n">
        <v>218.5</v>
      </c>
      <c r="AZ87" s="54" t="n">
        <v>291.4</v>
      </c>
      <c r="BA87" s="54" t="n">
        <v>123.7</v>
      </c>
      <c r="BB87" s="54" t="n">
        <v>1401.7</v>
      </c>
      <c r="BC87" s="54">
        <f>AQ87+AR87+AS87+AT87+AU87</f>
        <v/>
      </c>
      <c r="BD87" s="54">
        <f>AQ87</f>
        <v/>
      </c>
      <c r="BE87" s="54">
        <f>AQ87+AR87</f>
        <v/>
      </c>
      <c r="BF87" s="54">
        <f>BE87+AS87</f>
        <v/>
      </c>
      <c r="BG87" s="54">
        <f>BF87+AT87</f>
        <v/>
      </c>
      <c r="BH87" s="54">
        <f>BG87+AU87</f>
        <v/>
      </c>
      <c r="BI87" s="54">
        <f>BC87</f>
        <v/>
      </c>
      <c r="BJ87" s="54">
        <f>IF(State!$B$14=1,CHOOSE(State!$B$43+1,D87,BD87,BE87,BF87,BG87,BH87,BI87),BK87)</f>
        <v/>
      </c>
      <c r="BK87" s="54">
        <f>CHOOSE(State!$B$43+1,D87,AJ87,AK87,AL87,AM87,AN87,AO87)</f>
        <v/>
      </c>
      <c r="BL87" s="54">
        <f>IF(State!$B$44=1,H87,0)</f>
        <v/>
      </c>
      <c r="BQ87" s="54">
        <f>D87-AP87</f>
        <v/>
      </c>
      <c r="BR87" s="54">
        <f>BQ87^2</f>
        <v/>
      </c>
      <c r="BS87" s="54">
        <f>(BQ87-BQ86)^2</f>
        <v/>
      </c>
      <c r="BT87" s="54">
        <f>IF(D87&gt;2000,ABS(BQ87)/D87,"")</f>
        <v/>
      </c>
      <c r="BU87" s="54" t="n">
        <v>108</v>
      </c>
      <c r="BV87" s="74" t="n">
        <v>0.5515</v>
      </c>
      <c r="BW87" s="54" t="n">
        <v>287.4</v>
      </c>
    </row>
    <row r="88">
      <c r="A88" s="73" t="n">
        <v>45508</v>
      </c>
      <c r="B88" s="53">
        <f>YEAR(A88)</f>
        <v/>
      </c>
      <c r="C88" s="53">
        <f>MONTH(A88)</f>
        <v/>
      </c>
      <c r="D88" s="54" t="n">
        <v>249</v>
      </c>
      <c r="E88" s="55" t="n">
        <v>1.1961</v>
      </c>
      <c r="F88" s="55" t="n">
        <v>2.5857</v>
      </c>
      <c r="G88" s="55" t="n">
        <v>0</v>
      </c>
      <c r="H88" s="54" t="n">
        <v>2.48</v>
      </c>
      <c r="I88" s="54">
        <f>H88+State!$B$6/100*I87</f>
        <v/>
      </c>
      <c r="J88" s="54" t="n">
        <v>43.18</v>
      </c>
      <c r="K88" s="54" t="n">
        <v>61.36</v>
      </c>
      <c r="N88" s="54" t="n">
        <v>0</v>
      </c>
      <c r="O88" s="54" t="n">
        <v>0</v>
      </c>
      <c r="P88" s="54" t="n">
        <v>0</v>
      </c>
      <c r="Q88" s="54" t="n">
        <v>0</v>
      </c>
      <c r="R88" s="54" t="n">
        <v>2.23</v>
      </c>
      <c r="S88" s="54">
        <f>N88+Answers!$C$16/100*S87</f>
        <v/>
      </c>
      <c r="T88" s="54">
        <f>O88+Answers!$C$17/100*T87</f>
        <v/>
      </c>
      <c r="U88" s="54">
        <f>P88+Answers!$C$18/100*U87</f>
        <v/>
      </c>
      <c r="V88" s="54">
        <f>Q88+Answers!$C$19/100*V87</f>
        <v/>
      </c>
      <c r="W88" s="54">
        <f>R88+Answers!$C$20/100*W87</f>
        <v/>
      </c>
      <c r="X88" s="54">
        <f>State!$B$2*E88</f>
        <v/>
      </c>
      <c r="Y88" s="54">
        <f>-State!$B$3*F88</f>
        <v/>
      </c>
      <c r="Z88" s="54">
        <f>State!$B$4*G88</f>
        <v/>
      </c>
      <c r="AA88" s="54">
        <f>State!$B$5*(1-State!$B$6/100)*I88</f>
        <v/>
      </c>
      <c r="AB88" s="54">
        <f>State!$B$7*K88</f>
        <v/>
      </c>
      <c r="AE88" s="54">
        <f>State!$B$8*(1-Answers!$C$16/100)*S88</f>
        <v/>
      </c>
      <c r="AF88" s="54">
        <f>State!$B$9*(1-Answers!$C$17/100)*T88</f>
        <v/>
      </c>
      <c r="AG88" s="54">
        <f>State!$B$10*(1-Answers!$C$18/100)*U88</f>
        <v/>
      </c>
      <c r="AH88" s="54">
        <f>State!$B$11*(1-Answers!$C$19/100)*V88</f>
        <v/>
      </c>
      <c r="AI88" s="54">
        <f>State!$B$12*(1-Answers!$C$20/100)*W88</f>
        <v/>
      </c>
      <c r="AJ88" s="54">
        <f>X88</f>
        <v/>
      </c>
      <c r="AK88" s="54">
        <f>X88+Y88</f>
        <v/>
      </c>
      <c r="AL88" s="54">
        <f>AK88+Z88</f>
        <v/>
      </c>
      <c r="AM88" s="54">
        <f>AL88+AA88</f>
        <v/>
      </c>
      <c r="AN88" s="54">
        <f>AM88+AB88</f>
        <v/>
      </c>
      <c r="AO88" s="54">
        <f>AL88+AE88+AF88+AG88+AH88+AI88+AB88</f>
        <v/>
      </c>
      <c r="AP88" s="54">
        <f>IF(State!$B$46=1,AO88,AN88)</f>
        <v/>
      </c>
      <c r="AQ88" s="54" t="n">
        <v>1047.4</v>
      </c>
      <c r="AR88" s="54" t="n">
        <v>-2462.7</v>
      </c>
      <c r="AS88" s="54" t="n">
        <v>0</v>
      </c>
      <c r="AT88" s="54" t="n">
        <v>2223.7</v>
      </c>
      <c r="AU88" s="54" t="n">
        <v>184.2</v>
      </c>
      <c r="AX88" s="54" t="n">
        <v>480.9</v>
      </c>
      <c r="AY88" s="54" t="n">
        <v>185.7</v>
      </c>
      <c r="AZ88" s="54" t="n">
        <v>247.7</v>
      </c>
      <c r="BA88" s="54" t="n">
        <v>105.2</v>
      </c>
      <c r="BB88" s="54" t="n">
        <v>1204.3</v>
      </c>
      <c r="BC88" s="54">
        <f>AQ88+AR88+AS88+AT88+AU88</f>
        <v/>
      </c>
      <c r="BD88" s="54">
        <f>AQ88</f>
        <v/>
      </c>
      <c r="BE88" s="54">
        <f>AQ88+AR88</f>
        <v/>
      </c>
      <c r="BF88" s="54">
        <f>BE88+AS88</f>
        <v/>
      </c>
      <c r="BG88" s="54">
        <f>BF88+AT88</f>
        <v/>
      </c>
      <c r="BH88" s="54">
        <f>BG88+AU88</f>
        <v/>
      </c>
      <c r="BI88" s="54">
        <f>BC88</f>
        <v/>
      </c>
      <c r="BJ88" s="54">
        <f>IF(State!$B$14=1,CHOOSE(State!$B$43+1,D88,BD88,BE88,BF88,BG88,BH88,BI88),BK88)</f>
        <v/>
      </c>
      <c r="BK88" s="54">
        <f>CHOOSE(State!$B$43+1,D88,AJ88,AK88,AL88,AM88,AN88,AO88)</f>
        <v/>
      </c>
      <c r="BL88" s="54">
        <f>IF(State!$B$44=1,H88,0)</f>
        <v/>
      </c>
      <c r="BQ88" s="54">
        <f>D88-AP88</f>
        <v/>
      </c>
      <c r="BR88" s="54">
        <f>BQ88^2</f>
        <v/>
      </c>
      <c r="BS88" s="54">
        <f>(BQ88-BQ87)^2</f>
        <v/>
      </c>
      <c r="BT88" s="54">
        <f>IF(D88&gt;2000,ABS(BQ88)/D88,"")</f>
        <v/>
      </c>
      <c r="BU88" s="54" t="n">
        <v>98</v>
      </c>
      <c r="BV88" s="74" t="n">
        <v>0.5513</v>
      </c>
      <c r="BW88" s="54" t="n">
        <v>145.7</v>
      </c>
    </row>
    <row r="89">
      <c r="A89" s="73" t="n">
        <v>45515</v>
      </c>
      <c r="B89" s="53">
        <f>YEAR(A89)</f>
        <v/>
      </c>
      <c r="C89" s="53">
        <f>MONTH(A89)</f>
        <v/>
      </c>
      <c r="D89" s="54" t="n">
        <v>175</v>
      </c>
      <c r="E89" s="55" t="n">
        <v>1.1538</v>
      </c>
      <c r="F89" s="55" t="n">
        <v>2.5857</v>
      </c>
      <c r="G89" s="55" t="n">
        <v>0</v>
      </c>
      <c r="H89" s="54" t="n">
        <v>2.34</v>
      </c>
      <c r="I89" s="54">
        <f>H89+State!$B$6/100*I88</f>
        <v/>
      </c>
      <c r="J89" s="54" t="n">
        <v>22.15</v>
      </c>
      <c r="K89" s="54" t="n">
        <v>35.42</v>
      </c>
      <c r="N89" s="54" t="n">
        <v>0</v>
      </c>
      <c r="O89" s="54" t="n">
        <v>0</v>
      </c>
      <c r="P89" s="54" t="n">
        <v>0</v>
      </c>
      <c r="Q89" s="54" t="n">
        <v>0</v>
      </c>
      <c r="R89" s="54" t="n">
        <v>2.16</v>
      </c>
      <c r="S89" s="54">
        <f>N89+Answers!$C$16/100*S88</f>
        <v/>
      </c>
      <c r="T89" s="54">
        <f>O89+Answers!$C$17/100*T88</f>
        <v/>
      </c>
      <c r="U89" s="54">
        <f>P89+Answers!$C$18/100*U88</f>
        <v/>
      </c>
      <c r="V89" s="54">
        <f>Q89+Answers!$C$19/100*V88</f>
        <v/>
      </c>
      <c r="W89" s="54">
        <f>R89+Answers!$C$20/100*W88</f>
        <v/>
      </c>
      <c r="X89" s="54">
        <f>State!$B$2*E89</f>
        <v/>
      </c>
      <c r="Y89" s="54">
        <f>-State!$B$3*F89</f>
        <v/>
      </c>
      <c r="Z89" s="54">
        <f>State!$B$4*G89</f>
        <v/>
      </c>
      <c r="AA89" s="54">
        <f>State!$B$5*(1-State!$B$6/100)*I89</f>
        <v/>
      </c>
      <c r="AB89" s="54">
        <f>State!$B$7*K89</f>
        <v/>
      </c>
      <c r="AE89" s="54">
        <f>State!$B$8*(1-Answers!$C$16/100)*S89</f>
        <v/>
      </c>
      <c r="AF89" s="54">
        <f>State!$B$9*(1-Answers!$C$17/100)*T89</f>
        <v/>
      </c>
      <c r="AG89" s="54">
        <f>State!$B$10*(1-Answers!$C$18/100)*U89</f>
        <v/>
      </c>
      <c r="AH89" s="54">
        <f>State!$B$11*(1-Answers!$C$19/100)*V89</f>
        <v/>
      </c>
      <c r="AI89" s="54">
        <f>State!$B$12*(1-Answers!$C$20/100)*W89</f>
        <v/>
      </c>
      <c r="AJ89" s="54">
        <f>X89</f>
        <v/>
      </c>
      <c r="AK89" s="54">
        <f>X89+Y89</f>
        <v/>
      </c>
      <c r="AL89" s="54">
        <f>AK89+Z89</f>
        <v/>
      </c>
      <c r="AM89" s="54">
        <f>AL89+AA89</f>
        <v/>
      </c>
      <c r="AN89" s="54">
        <f>AM89+AB89</f>
        <v/>
      </c>
      <c r="AO89" s="54">
        <f>AL89+AE89+AF89+AG89+AH89+AI89+AB89</f>
        <v/>
      </c>
      <c r="AP89" s="54">
        <f>IF(State!$B$46=1,AO89,AN89)</f>
        <v/>
      </c>
      <c r="AQ89" s="54" t="n">
        <v>1010.3</v>
      </c>
      <c r="AR89" s="54" t="n">
        <v>-2462.7</v>
      </c>
      <c r="AS89" s="54" t="n">
        <v>0</v>
      </c>
      <c r="AT89" s="54" t="n">
        <v>1908.2</v>
      </c>
      <c r="AU89" s="54" t="n">
        <v>81.40000000000001</v>
      </c>
      <c r="AX89" s="54" t="n">
        <v>408.7</v>
      </c>
      <c r="AY89" s="54" t="n">
        <v>157.9</v>
      </c>
      <c r="AZ89" s="54" t="n">
        <v>210.5</v>
      </c>
      <c r="BA89" s="54" t="n">
        <v>89.40000000000001</v>
      </c>
      <c r="BB89" s="54" t="n">
        <v>1041.7</v>
      </c>
      <c r="BC89" s="54">
        <f>AQ89+AR89+AS89+AT89+AU89</f>
        <v/>
      </c>
      <c r="BD89" s="54">
        <f>AQ89</f>
        <v/>
      </c>
      <c r="BE89" s="54">
        <f>AQ89+AR89</f>
        <v/>
      </c>
      <c r="BF89" s="54">
        <f>BE89+AS89</f>
        <v/>
      </c>
      <c r="BG89" s="54">
        <f>BF89+AT89</f>
        <v/>
      </c>
      <c r="BH89" s="54">
        <f>BG89+AU89</f>
        <v/>
      </c>
      <c r="BI89" s="54">
        <f>BC89</f>
        <v/>
      </c>
      <c r="BJ89" s="54">
        <f>IF(State!$B$14=1,CHOOSE(State!$B$43+1,D89,BD89,BE89,BF89,BG89,BH89,BI89),BK89)</f>
        <v/>
      </c>
      <c r="BK89" s="54">
        <f>CHOOSE(State!$B$43+1,D89,AJ89,AK89,AL89,AM89,AN89,AO89)</f>
        <v/>
      </c>
      <c r="BL89" s="54">
        <f>IF(State!$B$44=1,H89,0)</f>
        <v/>
      </c>
      <c r="BQ89" s="54">
        <f>D89-AP89</f>
        <v/>
      </c>
      <c r="BR89" s="54">
        <f>BQ89^2</f>
        <v/>
      </c>
      <c r="BS89" s="54">
        <f>(BQ89-BQ88)^2</f>
        <v/>
      </c>
      <c r="BT89" s="54">
        <f>IF(D89&gt;2000,ABS(BQ89)/D89,"")</f>
        <v/>
      </c>
      <c r="BU89" s="54" t="n">
        <v>63</v>
      </c>
      <c r="BV89" s="74" t="n">
        <v>0.5513</v>
      </c>
      <c r="BW89" s="54" t="n">
        <v>121</v>
      </c>
    </row>
    <row r="90">
      <c r="A90" s="73" t="n">
        <v>45522</v>
      </c>
      <c r="B90" s="53">
        <f>YEAR(A90)</f>
        <v/>
      </c>
      <c r="C90" s="53">
        <f>MONTH(A90)</f>
        <v/>
      </c>
      <c r="D90" s="54" t="n">
        <v>132</v>
      </c>
      <c r="E90" s="55" t="n">
        <v>1.063</v>
      </c>
      <c r="F90" s="55" t="n">
        <v>2.5857</v>
      </c>
      <c r="G90" s="55" t="n">
        <v>0</v>
      </c>
      <c r="H90" s="54" t="n">
        <v>2.34</v>
      </c>
      <c r="I90" s="54">
        <f>H90+State!$B$6/100*I89</f>
        <v/>
      </c>
      <c r="J90" s="54" t="n">
        <v>24.03</v>
      </c>
      <c r="K90" s="54" t="n">
        <v>37.92</v>
      </c>
      <c r="N90" s="54" t="n">
        <v>0</v>
      </c>
      <c r="O90" s="54" t="n">
        <v>0</v>
      </c>
      <c r="P90" s="54" t="n">
        <v>0</v>
      </c>
      <c r="Q90" s="54" t="n">
        <v>0</v>
      </c>
      <c r="R90" s="54" t="n">
        <v>2.21</v>
      </c>
      <c r="S90" s="54">
        <f>N90+Answers!$C$16/100*S89</f>
        <v/>
      </c>
      <c r="T90" s="54">
        <f>O90+Answers!$C$17/100*T89</f>
        <v/>
      </c>
      <c r="U90" s="54">
        <f>P90+Answers!$C$18/100*U89</f>
        <v/>
      </c>
      <c r="V90" s="54">
        <f>Q90+Answers!$C$19/100*V89</f>
        <v/>
      </c>
      <c r="W90" s="54">
        <f>R90+Answers!$C$20/100*W89</f>
        <v/>
      </c>
      <c r="X90" s="54">
        <f>State!$B$2*E90</f>
        <v/>
      </c>
      <c r="Y90" s="54">
        <f>-State!$B$3*F90</f>
        <v/>
      </c>
      <c r="Z90" s="54">
        <f>State!$B$4*G90</f>
        <v/>
      </c>
      <c r="AA90" s="54">
        <f>State!$B$5*(1-State!$B$6/100)*I90</f>
        <v/>
      </c>
      <c r="AB90" s="54">
        <f>State!$B$7*K90</f>
        <v/>
      </c>
      <c r="AE90" s="54">
        <f>State!$B$8*(1-Answers!$C$16/100)*S90</f>
        <v/>
      </c>
      <c r="AF90" s="54">
        <f>State!$B$9*(1-Answers!$C$17/100)*T90</f>
        <v/>
      </c>
      <c r="AG90" s="54">
        <f>State!$B$10*(1-Answers!$C$18/100)*U90</f>
        <v/>
      </c>
      <c r="AH90" s="54">
        <f>State!$B$11*(1-Answers!$C$19/100)*V90</f>
        <v/>
      </c>
      <c r="AI90" s="54">
        <f>State!$B$12*(1-Answers!$C$20/100)*W90</f>
        <v/>
      </c>
      <c r="AJ90" s="54">
        <f>X90</f>
        <v/>
      </c>
      <c r="AK90" s="54">
        <f>X90+Y90</f>
        <v/>
      </c>
      <c r="AL90" s="54">
        <f>AK90+Z90</f>
        <v/>
      </c>
      <c r="AM90" s="54">
        <f>AL90+AA90</f>
        <v/>
      </c>
      <c r="AN90" s="54">
        <f>AM90+AB90</f>
        <v/>
      </c>
      <c r="AO90" s="54">
        <f>AL90+AE90+AF90+AG90+AH90+AI90+AB90</f>
        <v/>
      </c>
      <c r="AP90" s="54">
        <f>IF(State!$B$46=1,AO90,AN90)</f>
        <v/>
      </c>
      <c r="AQ90" s="54" t="n">
        <v>930.8</v>
      </c>
      <c r="AR90" s="54" t="n">
        <v>-2462.7</v>
      </c>
      <c r="AS90" s="54" t="n">
        <v>0</v>
      </c>
      <c r="AT90" s="54" t="n">
        <v>1645.7</v>
      </c>
      <c r="AU90" s="54" t="n">
        <v>84.7</v>
      </c>
      <c r="AX90" s="54" t="n">
        <v>347.4</v>
      </c>
      <c r="AY90" s="54" t="n">
        <v>134.2</v>
      </c>
      <c r="AZ90" s="54" t="n">
        <v>178.9</v>
      </c>
      <c r="BA90" s="54" t="n">
        <v>76</v>
      </c>
      <c r="BB90" s="54" t="n">
        <v>909.2</v>
      </c>
      <c r="BC90" s="54">
        <f>AQ90+AR90+AS90+AT90+AU90</f>
        <v/>
      </c>
      <c r="BD90" s="54">
        <f>AQ90</f>
        <v/>
      </c>
      <c r="BE90" s="54">
        <f>AQ90+AR90</f>
        <v/>
      </c>
      <c r="BF90" s="54">
        <f>BE90+AS90</f>
        <v/>
      </c>
      <c r="BG90" s="54">
        <f>BF90+AT90</f>
        <v/>
      </c>
      <c r="BH90" s="54">
        <f>BG90+AU90</f>
        <v/>
      </c>
      <c r="BI90" s="54">
        <f>BC90</f>
        <v/>
      </c>
      <c r="BJ90" s="54">
        <f>IF(State!$B$14=1,CHOOSE(State!$B$43+1,D90,BD90,BE90,BF90,BG90,BH90,BI90),BK90)</f>
        <v/>
      </c>
      <c r="BK90" s="54">
        <f>CHOOSE(State!$B$43+1,D90,AJ90,AK90,AL90,AM90,AN90,AO90)</f>
        <v/>
      </c>
      <c r="BL90" s="54">
        <f>IF(State!$B$44=1,H90,0)</f>
        <v/>
      </c>
      <c r="BQ90" s="54">
        <f>D90-AP90</f>
        <v/>
      </c>
      <c r="BR90" s="54">
        <f>BQ90^2</f>
        <v/>
      </c>
      <c r="BS90" s="54">
        <f>(BQ90-BQ89)^2</f>
        <v/>
      </c>
      <c r="BT90" s="54">
        <f>IF(D90&gt;2000,ABS(BQ90)/D90,"")</f>
        <v/>
      </c>
      <c r="BU90" s="54" t="n">
        <v>95</v>
      </c>
      <c r="BV90" s="74" t="n">
        <v>0.5513</v>
      </c>
      <c r="BW90" s="54" t="n">
        <v>174.2</v>
      </c>
    </row>
    <row r="91">
      <c r="A91" s="73" t="n">
        <v>45529</v>
      </c>
      <c r="B91" s="53">
        <f>YEAR(A91)</f>
        <v/>
      </c>
      <c r="C91" s="53">
        <f>MONTH(A91)</f>
        <v/>
      </c>
      <c r="D91" s="54" t="n">
        <v>161</v>
      </c>
      <c r="E91" s="55" t="n">
        <v>0.9194</v>
      </c>
      <c r="F91" s="55" t="n">
        <v>2.5857</v>
      </c>
      <c r="G91" s="55" t="n">
        <v>0</v>
      </c>
      <c r="H91" s="54" t="n">
        <v>2.88</v>
      </c>
      <c r="I91" s="54">
        <f>H91+State!$B$6/100*I90</f>
        <v/>
      </c>
      <c r="J91" s="54" t="n">
        <v>22.95</v>
      </c>
      <c r="K91" s="54" t="n">
        <v>39.04</v>
      </c>
      <c r="N91" s="54" t="n">
        <v>0</v>
      </c>
      <c r="O91" s="54" t="n">
        <v>0</v>
      </c>
      <c r="P91" s="54" t="n">
        <v>0</v>
      </c>
      <c r="Q91" s="54" t="n">
        <v>0</v>
      </c>
      <c r="R91" s="54" t="n">
        <v>2.72</v>
      </c>
      <c r="S91" s="54">
        <f>N91+Answers!$C$16/100*S90</f>
        <v/>
      </c>
      <c r="T91" s="54">
        <f>O91+Answers!$C$17/100*T90</f>
        <v/>
      </c>
      <c r="U91" s="54">
        <f>P91+Answers!$C$18/100*U90</f>
        <v/>
      </c>
      <c r="V91" s="54">
        <f>Q91+Answers!$C$19/100*V90</f>
        <v/>
      </c>
      <c r="W91" s="54">
        <f>R91+Answers!$C$20/100*W90</f>
        <v/>
      </c>
      <c r="X91" s="54">
        <f>State!$B$2*E91</f>
        <v/>
      </c>
      <c r="Y91" s="54">
        <f>-State!$B$3*F91</f>
        <v/>
      </c>
      <c r="Z91" s="54">
        <f>State!$B$4*G91</f>
        <v/>
      </c>
      <c r="AA91" s="54">
        <f>State!$B$5*(1-State!$B$6/100)*I91</f>
        <v/>
      </c>
      <c r="AB91" s="54">
        <f>State!$B$7*K91</f>
        <v/>
      </c>
      <c r="AE91" s="54">
        <f>State!$B$8*(1-Answers!$C$16/100)*S91</f>
        <v/>
      </c>
      <c r="AF91" s="54">
        <f>State!$B$9*(1-Answers!$C$17/100)*T91</f>
        <v/>
      </c>
      <c r="AG91" s="54">
        <f>State!$B$10*(1-Answers!$C$18/100)*U91</f>
        <v/>
      </c>
      <c r="AH91" s="54">
        <f>State!$B$11*(1-Answers!$C$19/100)*V91</f>
        <v/>
      </c>
      <c r="AI91" s="54">
        <f>State!$B$12*(1-Answers!$C$20/100)*W91</f>
        <v/>
      </c>
      <c r="AJ91" s="54">
        <f>X91</f>
        <v/>
      </c>
      <c r="AK91" s="54">
        <f>X91+Y91</f>
        <v/>
      </c>
      <c r="AL91" s="54">
        <f>AK91+Z91</f>
        <v/>
      </c>
      <c r="AM91" s="54">
        <f>AL91+AA91</f>
        <v/>
      </c>
      <c r="AN91" s="54">
        <f>AM91+AB91</f>
        <v/>
      </c>
      <c r="AO91" s="54">
        <f>AL91+AE91+AF91+AG91+AH91+AI91+AB91</f>
        <v/>
      </c>
      <c r="AP91" s="54">
        <f>IF(State!$B$46=1,AO91,AN91)</f>
        <v/>
      </c>
      <c r="AQ91" s="54" t="n">
        <v>805</v>
      </c>
      <c r="AR91" s="54" t="n">
        <v>-2462.7</v>
      </c>
      <c r="AS91" s="54" t="n">
        <v>0</v>
      </c>
      <c r="AT91" s="54" t="n">
        <v>1425.6</v>
      </c>
      <c r="AU91" s="54" t="n">
        <v>92.40000000000001</v>
      </c>
      <c r="AX91" s="54" t="n">
        <v>295.3</v>
      </c>
      <c r="AY91" s="54" t="n">
        <v>114.1</v>
      </c>
      <c r="AZ91" s="54" t="n">
        <v>152.1</v>
      </c>
      <c r="BA91" s="54" t="n">
        <v>64.59999999999999</v>
      </c>
      <c r="BB91" s="54" t="n">
        <v>799.5</v>
      </c>
      <c r="BC91" s="54">
        <f>AQ91+AR91+AS91+AT91+AU91</f>
        <v/>
      </c>
      <c r="BD91" s="54">
        <f>AQ91</f>
        <v/>
      </c>
      <c r="BE91" s="54">
        <f>AQ91+AR91</f>
        <v/>
      </c>
      <c r="BF91" s="54">
        <f>BE91+AS91</f>
        <v/>
      </c>
      <c r="BG91" s="54">
        <f>BF91+AT91</f>
        <v/>
      </c>
      <c r="BH91" s="54">
        <f>BG91+AU91</f>
        <v/>
      </c>
      <c r="BI91" s="54">
        <f>BC91</f>
        <v/>
      </c>
      <c r="BJ91" s="54">
        <f>IF(State!$B$14=1,CHOOSE(State!$B$43+1,D91,BD91,BE91,BF91,BG91,BH91,BI91),BK91)</f>
        <v/>
      </c>
      <c r="BK91" s="54">
        <f>CHOOSE(State!$B$43+1,D91,AJ91,AK91,AL91,AM91,AN91,AO91)</f>
        <v/>
      </c>
      <c r="BL91" s="54">
        <f>IF(State!$B$44=1,H91,0)</f>
        <v/>
      </c>
      <c r="BQ91" s="54">
        <f>D91-AP91</f>
        <v/>
      </c>
      <c r="BR91" s="54">
        <f>BQ91^2</f>
        <v/>
      </c>
      <c r="BS91" s="54">
        <f>(BQ91-BQ90)^2</f>
        <v/>
      </c>
      <c r="BT91" s="54">
        <f>IF(D91&gt;2000,ABS(BQ91)/D91,"")</f>
        <v/>
      </c>
      <c r="BU91" s="54" t="n">
        <v>76</v>
      </c>
      <c r="BV91" s="74" t="n">
        <v>0.5506</v>
      </c>
      <c r="BW91" s="54" t="n">
        <v>234</v>
      </c>
    </row>
    <row r="92">
      <c r="A92" s="73" t="n">
        <v>45536</v>
      </c>
      <c r="B92" s="53">
        <f>YEAR(A92)</f>
        <v/>
      </c>
      <c r="C92" s="53">
        <f>MONTH(A92)</f>
        <v/>
      </c>
      <c r="D92" s="54" t="n">
        <v>198</v>
      </c>
      <c r="E92" s="55" t="n">
        <v>1.0937</v>
      </c>
      <c r="F92" s="55" t="n">
        <v>2.5857</v>
      </c>
      <c r="G92" s="55" t="n">
        <v>0</v>
      </c>
      <c r="H92" s="54" t="n">
        <v>3.02</v>
      </c>
      <c r="I92" s="54">
        <f>H92+State!$B$6/100*I91</f>
        <v/>
      </c>
      <c r="J92" s="54" t="n">
        <v>36.86</v>
      </c>
      <c r="K92" s="54" t="n">
        <v>75.31</v>
      </c>
      <c r="N92" s="54" t="n">
        <v>0</v>
      </c>
      <c r="O92" s="54" t="n">
        <v>0</v>
      </c>
      <c r="P92" s="54" t="n">
        <v>0</v>
      </c>
      <c r="Q92" s="54" t="n">
        <v>0</v>
      </c>
      <c r="R92" s="54" t="n">
        <v>2.83</v>
      </c>
      <c r="S92" s="54">
        <f>N92+Answers!$C$16/100*S91</f>
        <v/>
      </c>
      <c r="T92" s="54">
        <f>O92+Answers!$C$17/100*T91</f>
        <v/>
      </c>
      <c r="U92" s="54">
        <f>P92+Answers!$C$18/100*U91</f>
        <v/>
      </c>
      <c r="V92" s="54">
        <f>Q92+Answers!$C$19/100*V91</f>
        <v/>
      </c>
      <c r="W92" s="54">
        <f>R92+Answers!$C$20/100*W91</f>
        <v/>
      </c>
      <c r="X92" s="54">
        <f>State!$B$2*E92</f>
        <v/>
      </c>
      <c r="Y92" s="54">
        <f>-State!$B$3*F92</f>
        <v/>
      </c>
      <c r="Z92" s="54">
        <f>State!$B$4*G92</f>
        <v/>
      </c>
      <c r="AA92" s="54">
        <f>State!$B$5*(1-State!$B$6/100)*I92</f>
        <v/>
      </c>
      <c r="AB92" s="54">
        <f>State!$B$7*K92</f>
        <v/>
      </c>
      <c r="AE92" s="54">
        <f>State!$B$8*(1-Answers!$C$16/100)*S92</f>
        <v/>
      </c>
      <c r="AF92" s="54">
        <f>State!$B$9*(1-Answers!$C$17/100)*T92</f>
        <v/>
      </c>
      <c r="AG92" s="54">
        <f>State!$B$10*(1-Answers!$C$18/100)*U92</f>
        <v/>
      </c>
      <c r="AH92" s="54">
        <f>State!$B$11*(1-Answers!$C$19/100)*V92</f>
        <v/>
      </c>
      <c r="AI92" s="54">
        <f>State!$B$12*(1-Answers!$C$20/100)*W92</f>
        <v/>
      </c>
      <c r="AJ92" s="54">
        <f>X92</f>
        <v/>
      </c>
      <c r="AK92" s="54">
        <f>X92+Y92</f>
        <v/>
      </c>
      <c r="AL92" s="54">
        <f>AK92+Z92</f>
        <v/>
      </c>
      <c r="AM92" s="54">
        <f>AL92+AA92</f>
        <v/>
      </c>
      <c r="AN92" s="54">
        <f>AM92+AB92</f>
        <v/>
      </c>
      <c r="AO92" s="54">
        <f>AL92+AE92+AF92+AG92+AH92+AI92+AB92</f>
        <v/>
      </c>
      <c r="AP92" s="54">
        <f>IF(State!$B$46=1,AO92,AN92)</f>
        <v/>
      </c>
      <c r="AQ92" s="54" t="n">
        <v>957.7</v>
      </c>
      <c r="AR92" s="54" t="n">
        <v>-2462.7</v>
      </c>
      <c r="AS92" s="54" t="n">
        <v>0</v>
      </c>
      <c r="AT92" s="54" t="n">
        <v>1233.6</v>
      </c>
      <c r="AU92" s="54" t="n">
        <v>230</v>
      </c>
      <c r="AX92" s="54" t="n">
        <v>251</v>
      </c>
      <c r="AY92" s="54" t="n">
        <v>97</v>
      </c>
      <c r="AZ92" s="54" t="n">
        <v>129.3</v>
      </c>
      <c r="BA92" s="54" t="n">
        <v>54.9</v>
      </c>
      <c r="BB92" s="54" t="n">
        <v>701.4</v>
      </c>
      <c r="BC92" s="54">
        <f>AQ92+AR92+AS92+AT92+AU92</f>
        <v/>
      </c>
      <c r="BD92" s="54">
        <f>AQ92</f>
        <v/>
      </c>
      <c r="BE92" s="54">
        <f>AQ92+AR92</f>
        <v/>
      </c>
      <c r="BF92" s="54">
        <f>BE92+AS92</f>
        <v/>
      </c>
      <c r="BG92" s="54">
        <f>BF92+AT92</f>
        <v/>
      </c>
      <c r="BH92" s="54">
        <f>BG92+AU92</f>
        <v/>
      </c>
      <c r="BI92" s="54">
        <f>BC92</f>
        <v/>
      </c>
      <c r="BJ92" s="54">
        <f>IF(State!$B$14=1,CHOOSE(State!$B$43+1,D92,BD92,BE92,BF92,BG92,BH92,BI92),BK92)</f>
        <v/>
      </c>
      <c r="BK92" s="54">
        <f>CHOOSE(State!$B$43+1,D92,AJ92,AK92,AL92,AM92,AN92,AO92)</f>
        <v/>
      </c>
      <c r="BL92" s="54">
        <f>IF(State!$B$44=1,H92,0)</f>
        <v/>
      </c>
      <c r="BQ92" s="54">
        <f>D92-AP92</f>
        <v/>
      </c>
      <c r="BR92" s="54">
        <f>BQ92^2</f>
        <v/>
      </c>
      <c r="BS92" s="54">
        <f>(BQ92-BQ91)^2</f>
        <v/>
      </c>
      <c r="BT92" s="54">
        <f>IF(D92&gt;2000,ABS(BQ92)/D92,"")</f>
        <v/>
      </c>
      <c r="BU92" s="54" t="n">
        <v>95</v>
      </c>
      <c r="BV92" s="74" t="n">
        <v>0.546</v>
      </c>
      <c r="BW92" s="54" t="n">
        <v>260.1</v>
      </c>
    </row>
    <row r="93">
      <c r="A93" s="73" t="n">
        <v>45543</v>
      </c>
      <c r="B93" s="53">
        <f>YEAR(A93)</f>
        <v/>
      </c>
      <c r="C93" s="53">
        <f>MONTH(A93)</f>
        <v/>
      </c>
      <c r="D93" s="54" t="n">
        <v>243</v>
      </c>
      <c r="E93" s="55" t="n">
        <v>0.6938</v>
      </c>
      <c r="F93" s="55" t="n">
        <v>1.0282</v>
      </c>
      <c r="G93" s="55" t="n">
        <v>0</v>
      </c>
      <c r="H93" s="54" t="n">
        <v>1.78</v>
      </c>
      <c r="I93" s="54">
        <f>H93+State!$B$6/100*I92</f>
        <v/>
      </c>
      <c r="J93" s="54" t="n">
        <v>107.28</v>
      </c>
      <c r="K93" s="54" t="n">
        <v>492.65</v>
      </c>
      <c r="N93" s="54" t="n">
        <v>0</v>
      </c>
      <c r="O93" s="54" t="n">
        <v>0</v>
      </c>
      <c r="P93" s="54" t="n">
        <v>0</v>
      </c>
      <c r="Q93" s="54" t="n">
        <v>0</v>
      </c>
      <c r="R93" s="54" t="n">
        <v>1.54</v>
      </c>
      <c r="S93" s="54">
        <f>N93+Answers!$C$16/100*S92</f>
        <v/>
      </c>
      <c r="T93" s="54">
        <f>O93+Answers!$C$17/100*T92</f>
        <v/>
      </c>
      <c r="U93" s="54">
        <f>P93+Answers!$C$18/100*U92</f>
        <v/>
      </c>
      <c r="V93" s="54">
        <f>Q93+Answers!$C$19/100*V92</f>
        <v/>
      </c>
      <c r="W93" s="54">
        <f>R93+Answers!$C$20/100*W92</f>
        <v/>
      </c>
      <c r="X93" s="54">
        <f>State!$B$2*E93</f>
        <v/>
      </c>
      <c r="Y93" s="54">
        <f>-State!$B$3*F93</f>
        <v/>
      </c>
      <c r="Z93" s="54">
        <f>State!$B$4*G93</f>
        <v/>
      </c>
      <c r="AA93" s="54">
        <f>State!$B$5*(1-State!$B$6/100)*I93</f>
        <v/>
      </c>
      <c r="AB93" s="54">
        <f>State!$B$7*K93</f>
        <v/>
      </c>
      <c r="AE93" s="54">
        <f>State!$B$8*(1-Answers!$C$16/100)*S93</f>
        <v/>
      </c>
      <c r="AF93" s="54">
        <f>State!$B$9*(1-Answers!$C$17/100)*T93</f>
        <v/>
      </c>
      <c r="AG93" s="54">
        <f>State!$B$10*(1-Answers!$C$18/100)*U93</f>
        <v/>
      </c>
      <c r="AH93" s="54">
        <f>State!$B$11*(1-Answers!$C$19/100)*V93</f>
        <v/>
      </c>
      <c r="AI93" s="54">
        <f>State!$B$12*(1-Answers!$C$20/100)*W93</f>
        <v/>
      </c>
      <c r="AJ93" s="54">
        <f>X93</f>
        <v/>
      </c>
      <c r="AK93" s="54">
        <f>X93+Y93</f>
        <v/>
      </c>
      <c r="AL93" s="54">
        <f>AK93+Z93</f>
        <v/>
      </c>
      <c r="AM93" s="54">
        <f>AL93+AA93</f>
        <v/>
      </c>
      <c r="AN93" s="54">
        <f>AM93+AB93</f>
        <v/>
      </c>
      <c r="AO93" s="54">
        <f>AL93+AE93+AF93+AG93+AH93+AI93+AB93</f>
        <v/>
      </c>
      <c r="AP93" s="54">
        <f>IF(State!$B$46=1,AO93,AN93)</f>
        <v/>
      </c>
      <c r="AQ93" s="54" t="n">
        <v>607.5</v>
      </c>
      <c r="AR93" s="54" t="n">
        <v>-979.3</v>
      </c>
      <c r="AS93" s="54" t="n">
        <v>0</v>
      </c>
      <c r="AT93" s="54" t="n">
        <v>1066.9</v>
      </c>
      <c r="AU93" s="54" t="n">
        <v>1768.7</v>
      </c>
      <c r="AX93" s="54" t="n">
        <v>213.4</v>
      </c>
      <c r="AY93" s="54" t="n">
        <v>82.40000000000001</v>
      </c>
      <c r="AZ93" s="54" t="n">
        <v>109.9</v>
      </c>
      <c r="BA93" s="54" t="n">
        <v>46.7</v>
      </c>
      <c r="BB93" s="54" t="n">
        <v>614.6</v>
      </c>
      <c r="BC93" s="54">
        <f>AQ93+AR93+AS93+AT93+AU93</f>
        <v/>
      </c>
      <c r="BD93" s="54">
        <f>AQ93</f>
        <v/>
      </c>
      <c r="BE93" s="54">
        <f>AQ93+AR93</f>
        <v/>
      </c>
      <c r="BF93" s="54">
        <f>BE93+AS93</f>
        <v/>
      </c>
      <c r="BG93" s="54">
        <f>BF93+AT93</f>
        <v/>
      </c>
      <c r="BH93" s="54">
        <f>BG93+AU93</f>
        <v/>
      </c>
      <c r="BI93" s="54">
        <f>BC93</f>
        <v/>
      </c>
      <c r="BJ93" s="54">
        <f>IF(State!$B$14=1,CHOOSE(State!$B$43+1,D93,BD93,BE93,BF93,BG93,BH93,BI93),BK93)</f>
        <v/>
      </c>
      <c r="BK93" s="54">
        <f>CHOOSE(State!$B$43+1,D93,AJ93,AK93,AL93,AM93,AN93,AO93)</f>
        <v/>
      </c>
      <c r="BL93" s="54">
        <f>IF(State!$B$44=1,H93,0)</f>
        <v/>
      </c>
      <c r="BQ93" s="54">
        <f>D93-AP93</f>
        <v/>
      </c>
      <c r="BR93" s="54">
        <f>BQ93^2</f>
        <v/>
      </c>
      <c r="BS93" s="54">
        <f>(BQ93-BQ92)^2</f>
        <v/>
      </c>
      <c r="BT93" s="54">
        <f>IF(D93&gt;2000,ABS(BQ93)/D93,"")</f>
        <v/>
      </c>
      <c r="BU93" s="54" t="n">
        <v>91</v>
      </c>
      <c r="BV93" s="74" t="n">
        <v>0.546</v>
      </c>
      <c r="BW93" s="54" t="n">
        <v>771.6</v>
      </c>
    </row>
    <row r="94">
      <c r="A94" s="73" t="n">
        <v>45550</v>
      </c>
      <c r="B94" s="53">
        <f>YEAR(A94)</f>
        <v/>
      </c>
      <c r="C94" s="53">
        <f>MONTH(A94)</f>
        <v/>
      </c>
      <c r="D94" s="54" t="n">
        <v>274</v>
      </c>
      <c r="E94" s="55" t="n">
        <v>0.6597</v>
      </c>
      <c r="F94" s="55" t="n">
        <v>1.0282</v>
      </c>
      <c r="G94" s="55" t="n">
        <v>0</v>
      </c>
      <c r="H94" s="54" t="n">
        <v>1.83</v>
      </c>
      <c r="I94" s="54">
        <f>H94+State!$B$6/100*I93</f>
        <v/>
      </c>
      <c r="J94" s="54" t="n">
        <v>94.22</v>
      </c>
      <c r="K94" s="54" t="n">
        <v>435.2</v>
      </c>
      <c r="N94" s="54" t="n">
        <v>0</v>
      </c>
      <c r="O94" s="54" t="n">
        <v>0</v>
      </c>
      <c r="P94" s="54" t="n">
        <v>0</v>
      </c>
      <c r="Q94" s="54" t="n">
        <v>0</v>
      </c>
      <c r="R94" s="54" t="n">
        <v>1.56</v>
      </c>
      <c r="S94" s="54">
        <f>N94+Answers!$C$16/100*S93</f>
        <v/>
      </c>
      <c r="T94" s="54">
        <f>O94+Answers!$C$17/100*T93</f>
        <v/>
      </c>
      <c r="U94" s="54">
        <f>P94+Answers!$C$18/100*U93</f>
        <v/>
      </c>
      <c r="V94" s="54">
        <f>Q94+Answers!$C$19/100*V93</f>
        <v/>
      </c>
      <c r="W94" s="54">
        <f>R94+Answers!$C$20/100*W93</f>
        <v/>
      </c>
      <c r="X94" s="54">
        <f>State!$B$2*E94</f>
        <v/>
      </c>
      <c r="Y94" s="54">
        <f>-State!$B$3*F94</f>
        <v/>
      </c>
      <c r="Z94" s="54">
        <f>State!$B$4*G94</f>
        <v/>
      </c>
      <c r="AA94" s="54">
        <f>State!$B$5*(1-State!$B$6/100)*I94</f>
        <v/>
      </c>
      <c r="AB94" s="54">
        <f>State!$B$7*K94</f>
        <v/>
      </c>
      <c r="AE94" s="54">
        <f>State!$B$8*(1-Answers!$C$16/100)*S94</f>
        <v/>
      </c>
      <c r="AF94" s="54">
        <f>State!$B$9*(1-Answers!$C$17/100)*T94</f>
        <v/>
      </c>
      <c r="AG94" s="54">
        <f>State!$B$10*(1-Answers!$C$18/100)*U94</f>
        <v/>
      </c>
      <c r="AH94" s="54">
        <f>State!$B$11*(1-Answers!$C$19/100)*V94</f>
        <v/>
      </c>
      <c r="AI94" s="54">
        <f>State!$B$12*(1-Answers!$C$20/100)*W94</f>
        <v/>
      </c>
      <c r="AJ94" s="54">
        <f>X94</f>
        <v/>
      </c>
      <c r="AK94" s="54">
        <f>X94+Y94</f>
        <v/>
      </c>
      <c r="AL94" s="54">
        <f>AK94+Z94</f>
        <v/>
      </c>
      <c r="AM94" s="54">
        <f>AL94+AA94</f>
        <v/>
      </c>
      <c r="AN94" s="54">
        <f>AM94+AB94</f>
        <v/>
      </c>
      <c r="AO94" s="54">
        <f>AL94+AE94+AF94+AG94+AH94+AI94+AB94</f>
        <v/>
      </c>
      <c r="AP94" s="54">
        <f>IF(State!$B$46=1,AO94,AN94)</f>
        <v/>
      </c>
      <c r="AQ94" s="54" t="n">
        <v>577.6</v>
      </c>
      <c r="AR94" s="54" t="n">
        <v>-979.3</v>
      </c>
      <c r="AS94" s="54" t="n">
        <v>0</v>
      </c>
      <c r="AT94" s="54" t="n">
        <v>939.4</v>
      </c>
      <c r="AU94" s="54" t="n">
        <v>1553.7</v>
      </c>
      <c r="AX94" s="54" t="n">
        <v>181.4</v>
      </c>
      <c r="AY94" s="54" t="n">
        <v>70.09999999999999</v>
      </c>
      <c r="AZ94" s="54" t="n">
        <v>93.40000000000001</v>
      </c>
      <c r="BA94" s="54" t="n">
        <v>39.7</v>
      </c>
      <c r="BB94" s="54" t="n">
        <v>554.9</v>
      </c>
      <c r="BC94" s="54">
        <f>AQ94+AR94+AS94+AT94+AU94</f>
        <v/>
      </c>
      <c r="BD94" s="54">
        <f>AQ94</f>
        <v/>
      </c>
      <c r="BE94" s="54">
        <f>AQ94+AR94</f>
        <v/>
      </c>
      <c r="BF94" s="54">
        <f>BE94+AS94</f>
        <v/>
      </c>
      <c r="BG94" s="54">
        <f>BF94+AT94</f>
        <v/>
      </c>
      <c r="BH94" s="54">
        <f>BG94+AU94</f>
        <v/>
      </c>
      <c r="BI94" s="54">
        <f>BC94</f>
        <v/>
      </c>
      <c r="BJ94" s="54">
        <f>IF(State!$B$14=1,CHOOSE(State!$B$43+1,D94,BD94,BE94,BF94,BG94,BH94,BI94),BK94)</f>
        <v/>
      </c>
      <c r="BK94" s="54">
        <f>CHOOSE(State!$B$43+1,D94,AJ94,AK94,AL94,AM94,AN94,AO94)</f>
        <v/>
      </c>
      <c r="BL94" s="54">
        <f>IF(State!$B$44=1,H94,0)</f>
        <v/>
      </c>
      <c r="BQ94" s="54">
        <f>D94-AP94</f>
        <v/>
      </c>
      <c r="BR94" s="54">
        <f>BQ94^2</f>
        <v/>
      </c>
      <c r="BS94" s="54">
        <f>(BQ94-BQ93)^2</f>
        <v/>
      </c>
      <c r="BT94" s="54">
        <f>IF(D94&gt;2000,ABS(BQ94)/D94,"")</f>
        <v/>
      </c>
      <c r="BU94" s="54" t="n">
        <v>94</v>
      </c>
      <c r="BV94" s="74" t="n">
        <v>0.546</v>
      </c>
      <c r="BW94" s="54" t="n">
        <v>565.7</v>
      </c>
    </row>
    <row r="95">
      <c r="A95" s="73" t="n">
        <v>45557</v>
      </c>
      <c r="B95" s="53">
        <f>YEAR(A95)</f>
        <v/>
      </c>
      <c r="C95" s="53">
        <f>MONTH(A95)</f>
        <v/>
      </c>
      <c r="D95" s="54" t="n">
        <v>329</v>
      </c>
      <c r="E95" s="55" t="n">
        <v>0.6584</v>
      </c>
      <c r="F95" s="55" t="n">
        <v>1.0282</v>
      </c>
      <c r="G95" s="55" t="n">
        <v>0</v>
      </c>
      <c r="H95" s="54" t="n">
        <v>1.8</v>
      </c>
      <c r="I95" s="54">
        <f>H95+State!$B$6/100*I94</f>
        <v/>
      </c>
      <c r="J95" s="54" t="n">
        <v>66.63</v>
      </c>
      <c r="K95" s="54" t="n">
        <v>442.72</v>
      </c>
      <c r="N95" s="54" t="n">
        <v>0</v>
      </c>
      <c r="O95" s="54" t="n">
        <v>0</v>
      </c>
      <c r="P95" s="54" t="n">
        <v>0</v>
      </c>
      <c r="Q95" s="54" t="n">
        <v>0</v>
      </c>
      <c r="R95" s="54" t="n">
        <v>1.47</v>
      </c>
      <c r="S95" s="54">
        <f>N95+Answers!$C$16/100*S94</f>
        <v/>
      </c>
      <c r="T95" s="54">
        <f>O95+Answers!$C$17/100*T94</f>
        <v/>
      </c>
      <c r="U95" s="54">
        <f>P95+Answers!$C$18/100*U94</f>
        <v/>
      </c>
      <c r="V95" s="54">
        <f>Q95+Answers!$C$19/100*V94</f>
        <v/>
      </c>
      <c r="W95" s="54">
        <f>R95+Answers!$C$20/100*W94</f>
        <v/>
      </c>
      <c r="X95" s="54">
        <f>State!$B$2*E95</f>
        <v/>
      </c>
      <c r="Y95" s="54">
        <f>-State!$B$3*F95</f>
        <v/>
      </c>
      <c r="Z95" s="54">
        <f>State!$B$4*G95</f>
        <v/>
      </c>
      <c r="AA95" s="54">
        <f>State!$B$5*(1-State!$B$6/100)*I95</f>
        <v/>
      </c>
      <c r="AB95" s="54">
        <f>State!$B$7*K95</f>
        <v/>
      </c>
      <c r="AE95" s="54">
        <f>State!$B$8*(1-Answers!$C$16/100)*S95</f>
        <v/>
      </c>
      <c r="AF95" s="54">
        <f>State!$B$9*(1-Answers!$C$17/100)*T95</f>
        <v/>
      </c>
      <c r="AG95" s="54">
        <f>State!$B$10*(1-Answers!$C$18/100)*U95</f>
        <v/>
      </c>
      <c r="AH95" s="54">
        <f>State!$B$11*(1-Answers!$C$19/100)*V95</f>
        <v/>
      </c>
      <c r="AI95" s="54">
        <f>State!$B$12*(1-Answers!$C$20/100)*W95</f>
        <v/>
      </c>
      <c r="AJ95" s="54">
        <f>X95</f>
        <v/>
      </c>
      <c r="AK95" s="54">
        <f>X95+Y95</f>
        <v/>
      </c>
      <c r="AL95" s="54">
        <f>AK95+Z95</f>
        <v/>
      </c>
      <c r="AM95" s="54">
        <f>AL95+AA95</f>
        <v/>
      </c>
      <c r="AN95" s="54">
        <f>AM95+AB95</f>
        <v/>
      </c>
      <c r="AO95" s="54">
        <f>AL95+AE95+AF95+AG95+AH95+AI95+AB95</f>
        <v/>
      </c>
      <c r="AP95" s="54">
        <f>IF(State!$B$46=1,AO95,AN95)</f>
        <v/>
      </c>
      <c r="AQ95" s="54" t="n">
        <v>576.5</v>
      </c>
      <c r="AR95" s="54" t="n">
        <v>-979.3</v>
      </c>
      <c r="AS95" s="54" t="n">
        <v>0</v>
      </c>
      <c r="AT95" s="54" t="n">
        <v>836.9</v>
      </c>
      <c r="AU95" s="54" t="n">
        <v>1573.5</v>
      </c>
      <c r="AX95" s="54" t="n">
        <v>154.2</v>
      </c>
      <c r="AY95" s="54" t="n">
        <v>59.5</v>
      </c>
      <c r="AZ95" s="54" t="n">
        <v>79.40000000000001</v>
      </c>
      <c r="BA95" s="54" t="n">
        <v>33.7</v>
      </c>
      <c r="BB95" s="54" t="n">
        <v>510.1</v>
      </c>
      <c r="BC95" s="54">
        <f>AQ95+AR95+AS95+AT95+AU95</f>
        <v/>
      </c>
      <c r="BD95" s="54">
        <f>AQ95</f>
        <v/>
      </c>
      <c r="BE95" s="54">
        <f>AQ95+AR95</f>
        <v/>
      </c>
      <c r="BF95" s="54">
        <f>BE95+AS95</f>
        <v/>
      </c>
      <c r="BG95" s="54">
        <f>BF95+AT95</f>
        <v/>
      </c>
      <c r="BH95" s="54">
        <f>BG95+AU95</f>
        <v/>
      </c>
      <c r="BI95" s="54">
        <f>BC95</f>
        <v/>
      </c>
      <c r="BJ95" s="54">
        <f>IF(State!$B$14=1,CHOOSE(State!$B$43+1,D95,BD95,BE95,BF95,BG95,BH95,BI95),BK95)</f>
        <v/>
      </c>
      <c r="BK95" s="54">
        <f>CHOOSE(State!$B$43+1,D95,AJ95,AK95,AL95,AM95,AN95,AO95)</f>
        <v/>
      </c>
      <c r="BL95" s="54">
        <f>IF(State!$B$44=1,H95,0)</f>
        <v/>
      </c>
      <c r="BQ95" s="54">
        <f>D95-AP95</f>
        <v/>
      </c>
      <c r="BR95" s="54">
        <f>BQ95^2</f>
        <v/>
      </c>
      <c r="BS95" s="54">
        <f>(BQ95-BQ94)^2</f>
        <v/>
      </c>
      <c r="BT95" s="54">
        <f>IF(D95&gt;2000,ABS(BQ95)/D95,"")</f>
        <v/>
      </c>
      <c r="BU95" s="54" t="n">
        <v>85</v>
      </c>
      <c r="BV95" s="74" t="n">
        <v>0.546</v>
      </c>
      <c r="BW95" s="54" t="n">
        <v>585.9</v>
      </c>
    </row>
    <row r="96">
      <c r="A96" s="73" t="n">
        <v>45564</v>
      </c>
      <c r="B96" s="53">
        <f>YEAR(A96)</f>
        <v/>
      </c>
      <c r="C96" s="53">
        <f>MONTH(A96)</f>
        <v/>
      </c>
      <c r="D96" s="54" t="n">
        <v>220</v>
      </c>
      <c r="E96" s="55" t="n">
        <v>0.6611</v>
      </c>
      <c r="F96" s="55" t="n">
        <v>1.0282</v>
      </c>
      <c r="G96" s="55" t="n">
        <v>0</v>
      </c>
      <c r="H96" s="54" t="n">
        <v>1.62</v>
      </c>
      <c r="I96" s="54">
        <f>H96+State!$B$6/100*I95</f>
        <v/>
      </c>
      <c r="J96" s="54" t="n">
        <v>63.4</v>
      </c>
      <c r="K96" s="54" t="n">
        <v>148.4</v>
      </c>
      <c r="N96" s="54" t="n">
        <v>0</v>
      </c>
      <c r="O96" s="54" t="n">
        <v>0</v>
      </c>
      <c r="P96" s="54" t="n">
        <v>0</v>
      </c>
      <c r="Q96" s="54" t="n">
        <v>0</v>
      </c>
      <c r="R96" s="54" t="n">
        <v>1.4</v>
      </c>
      <c r="S96" s="54">
        <f>N96+Answers!$C$16/100*S95</f>
        <v/>
      </c>
      <c r="T96" s="54">
        <f>O96+Answers!$C$17/100*T95</f>
        <v/>
      </c>
      <c r="U96" s="54">
        <f>P96+Answers!$C$18/100*U95</f>
        <v/>
      </c>
      <c r="V96" s="54">
        <f>Q96+Answers!$C$19/100*V95</f>
        <v/>
      </c>
      <c r="W96" s="54">
        <f>R96+Answers!$C$20/100*W95</f>
        <v/>
      </c>
      <c r="X96" s="54">
        <f>State!$B$2*E96</f>
        <v/>
      </c>
      <c r="Y96" s="54">
        <f>-State!$B$3*F96</f>
        <v/>
      </c>
      <c r="Z96" s="54">
        <f>State!$B$4*G96</f>
        <v/>
      </c>
      <c r="AA96" s="54">
        <f>State!$B$5*(1-State!$B$6/100)*I96</f>
        <v/>
      </c>
      <c r="AB96" s="54">
        <f>State!$B$7*K96</f>
        <v/>
      </c>
      <c r="AE96" s="54">
        <f>State!$B$8*(1-Answers!$C$16/100)*S96</f>
        <v/>
      </c>
      <c r="AF96" s="54">
        <f>State!$B$9*(1-Answers!$C$17/100)*T96</f>
        <v/>
      </c>
      <c r="AG96" s="54">
        <f>State!$B$10*(1-Answers!$C$18/100)*U96</f>
        <v/>
      </c>
      <c r="AH96" s="54">
        <f>State!$B$11*(1-Answers!$C$19/100)*V96</f>
        <v/>
      </c>
      <c r="AI96" s="54">
        <f>State!$B$12*(1-Answers!$C$20/100)*W96</f>
        <v/>
      </c>
      <c r="AJ96" s="54">
        <f>X96</f>
        <v/>
      </c>
      <c r="AK96" s="54">
        <f>X96+Y96</f>
        <v/>
      </c>
      <c r="AL96" s="54">
        <f>AK96+Z96</f>
        <v/>
      </c>
      <c r="AM96" s="54">
        <f>AL96+AA96</f>
        <v/>
      </c>
      <c r="AN96" s="54">
        <f>AM96+AB96</f>
        <v/>
      </c>
      <c r="AO96" s="54">
        <f>AL96+AE96+AF96+AG96+AH96+AI96+AB96</f>
        <v/>
      </c>
      <c r="AP96" s="54">
        <f>IF(State!$B$46=1,AO96,AN96)</f>
        <v/>
      </c>
      <c r="AQ96" s="54" t="n">
        <v>578.8</v>
      </c>
      <c r="AR96" s="54" t="n">
        <v>-979.3</v>
      </c>
      <c r="AS96" s="54" t="n">
        <v>0</v>
      </c>
      <c r="AT96" s="54" t="n">
        <v>739.6</v>
      </c>
      <c r="AU96" s="54" t="n">
        <v>487.6</v>
      </c>
      <c r="AX96" s="54" t="n">
        <v>131</v>
      </c>
      <c r="AY96" s="54" t="n">
        <v>50.6</v>
      </c>
      <c r="AZ96" s="54" t="n">
        <v>67.5</v>
      </c>
      <c r="BA96" s="54" t="n">
        <v>28.7</v>
      </c>
      <c r="BB96" s="54" t="n">
        <v>461.8</v>
      </c>
      <c r="BC96" s="54">
        <f>AQ96+AR96+AS96+AT96+AU96</f>
        <v/>
      </c>
      <c r="BD96" s="54">
        <f>AQ96</f>
        <v/>
      </c>
      <c r="BE96" s="54">
        <f>AQ96+AR96</f>
        <v/>
      </c>
      <c r="BF96" s="54">
        <f>BE96+AS96</f>
        <v/>
      </c>
      <c r="BG96" s="54">
        <f>BF96+AT96</f>
        <v/>
      </c>
      <c r="BH96" s="54">
        <f>BG96+AU96</f>
        <v/>
      </c>
      <c r="BI96" s="54">
        <f>BC96</f>
        <v/>
      </c>
      <c r="BJ96" s="54">
        <f>IF(State!$B$14=1,CHOOSE(State!$B$43+1,D96,BD96,BE96,BF96,BG96,BH96,BI96),BK96)</f>
        <v/>
      </c>
      <c r="BK96" s="54">
        <f>CHOOSE(State!$B$43+1,D96,AJ96,AK96,AL96,AM96,AN96,AO96)</f>
        <v/>
      </c>
      <c r="BL96" s="54">
        <f>IF(State!$B$44=1,H96,0)</f>
        <v/>
      </c>
      <c r="BQ96" s="54">
        <f>D96-AP96</f>
        <v/>
      </c>
      <c r="BR96" s="54">
        <f>BQ96^2</f>
        <v/>
      </c>
      <c r="BS96" s="54">
        <f>(BQ96-BQ95)^2</f>
        <v/>
      </c>
      <c r="BT96" s="54">
        <f>IF(D96&gt;2000,ABS(BQ96)/D96,"")</f>
        <v/>
      </c>
      <c r="BU96" s="54" t="n">
        <v>99</v>
      </c>
      <c r="BV96" s="74" t="n">
        <v>0.5536</v>
      </c>
      <c r="BW96" s="54" t="n">
        <v>283.3</v>
      </c>
    </row>
    <row r="97">
      <c r="A97" s="73" t="n">
        <v>45571</v>
      </c>
      <c r="B97" s="53">
        <f>YEAR(A97)</f>
        <v/>
      </c>
      <c r="C97" s="53">
        <f>MONTH(A97)</f>
        <v/>
      </c>
      <c r="D97" s="54" t="n">
        <v>351</v>
      </c>
      <c r="E97" s="55" t="n">
        <v>0.6637</v>
      </c>
      <c r="F97" s="55" t="n">
        <v>1.0282</v>
      </c>
      <c r="G97" s="55" t="n">
        <v>0</v>
      </c>
      <c r="H97" s="54" t="n">
        <v>1.6</v>
      </c>
      <c r="I97" s="54">
        <f>H97+State!$B$6/100*I96</f>
        <v/>
      </c>
      <c r="J97" s="54" t="n">
        <v>110.88</v>
      </c>
      <c r="K97" s="54" t="n">
        <v>159.92</v>
      </c>
      <c r="N97" s="54" t="n">
        <v>0</v>
      </c>
      <c r="O97" s="54" t="n">
        <v>0</v>
      </c>
      <c r="P97" s="54" t="n">
        <v>0</v>
      </c>
      <c r="Q97" s="54" t="n">
        <v>0</v>
      </c>
      <c r="R97" s="54" t="n">
        <v>1.25</v>
      </c>
      <c r="S97" s="54">
        <f>N97+Answers!$C$16/100*S96</f>
        <v/>
      </c>
      <c r="T97" s="54">
        <f>O97+Answers!$C$17/100*T96</f>
        <v/>
      </c>
      <c r="U97" s="54">
        <f>P97+Answers!$C$18/100*U96</f>
        <v/>
      </c>
      <c r="V97" s="54">
        <f>Q97+Answers!$C$19/100*V96</f>
        <v/>
      </c>
      <c r="W97" s="54">
        <f>R97+Answers!$C$20/100*W96</f>
        <v/>
      </c>
      <c r="X97" s="54">
        <f>State!$B$2*E97</f>
        <v/>
      </c>
      <c r="Y97" s="54">
        <f>-State!$B$3*F97</f>
        <v/>
      </c>
      <c r="Z97" s="54">
        <f>State!$B$4*G97</f>
        <v/>
      </c>
      <c r="AA97" s="54">
        <f>State!$B$5*(1-State!$B$6/100)*I97</f>
        <v/>
      </c>
      <c r="AB97" s="54">
        <f>State!$B$7*K97</f>
        <v/>
      </c>
      <c r="AE97" s="54">
        <f>State!$B$8*(1-Answers!$C$16/100)*S97</f>
        <v/>
      </c>
      <c r="AF97" s="54">
        <f>State!$B$9*(1-Answers!$C$17/100)*T97</f>
        <v/>
      </c>
      <c r="AG97" s="54">
        <f>State!$B$10*(1-Answers!$C$18/100)*U97</f>
        <v/>
      </c>
      <c r="AH97" s="54">
        <f>State!$B$11*(1-Answers!$C$19/100)*V97</f>
        <v/>
      </c>
      <c r="AI97" s="54">
        <f>State!$B$12*(1-Answers!$C$20/100)*W97</f>
        <v/>
      </c>
      <c r="AJ97" s="54">
        <f>X97</f>
        <v/>
      </c>
      <c r="AK97" s="54">
        <f>X97+Y97</f>
        <v/>
      </c>
      <c r="AL97" s="54">
        <f>AK97+Z97</f>
        <v/>
      </c>
      <c r="AM97" s="54">
        <f>AL97+AA97</f>
        <v/>
      </c>
      <c r="AN97" s="54">
        <f>AM97+AB97</f>
        <v/>
      </c>
      <c r="AO97" s="54">
        <f>AL97+AE97+AF97+AG97+AH97+AI97+AB97</f>
        <v/>
      </c>
      <c r="AP97" s="54">
        <f>IF(State!$B$46=1,AO97,AN97)</f>
        <v/>
      </c>
      <c r="AQ97" s="54" t="n">
        <v>581.2</v>
      </c>
      <c r="AR97" s="54" t="n">
        <v>-979.3</v>
      </c>
      <c r="AS97" s="54" t="n">
        <v>0</v>
      </c>
      <c r="AT97" s="54" t="n">
        <v>645.3</v>
      </c>
      <c r="AU97" s="54" t="n">
        <v>548.2</v>
      </c>
      <c r="AX97" s="54" t="n">
        <v>111.4</v>
      </c>
      <c r="AY97" s="54" t="n">
        <v>43</v>
      </c>
      <c r="AZ97" s="54" t="n">
        <v>57.4</v>
      </c>
      <c r="BA97" s="54" t="n">
        <v>24.4</v>
      </c>
      <c r="BB97" s="54" t="n">
        <v>409.1</v>
      </c>
      <c r="BC97" s="54">
        <f>AQ97+AR97+AS97+AT97+AU97</f>
        <v/>
      </c>
      <c r="BD97" s="54">
        <f>AQ97</f>
        <v/>
      </c>
      <c r="BE97" s="54">
        <f>AQ97+AR97</f>
        <v/>
      </c>
      <c r="BF97" s="54">
        <f>BE97+AS97</f>
        <v/>
      </c>
      <c r="BG97" s="54">
        <f>BF97+AT97</f>
        <v/>
      </c>
      <c r="BH97" s="54">
        <f>BG97+AU97</f>
        <v/>
      </c>
      <c r="BI97" s="54">
        <f>BC97</f>
        <v/>
      </c>
      <c r="BJ97" s="54">
        <f>IF(State!$B$14=1,CHOOSE(State!$B$43+1,D97,BD97,BE97,BF97,BG97,BH97,BI97),BK97)</f>
        <v/>
      </c>
      <c r="BK97" s="54">
        <f>CHOOSE(State!$B$43+1,D97,AJ97,AK97,AL97,AM97,AN97,AO97)</f>
        <v/>
      </c>
      <c r="BL97" s="54">
        <f>IF(State!$B$44=1,H97,0)</f>
        <v/>
      </c>
      <c r="BQ97" s="54">
        <f>D97-AP97</f>
        <v/>
      </c>
      <c r="BR97" s="54">
        <f>BQ97^2</f>
        <v/>
      </c>
      <c r="BS97" s="54">
        <f>(BQ97-BQ96)^2</f>
        <v/>
      </c>
      <c r="BT97" s="54">
        <f>IF(D97&gt;2000,ABS(BQ97)/D97,"")</f>
        <v/>
      </c>
      <c r="BU97" s="54" t="n">
        <v>132</v>
      </c>
      <c r="BV97" s="74" t="n">
        <v>0.5548999999999999</v>
      </c>
      <c r="BW97" s="54" t="n">
        <v>245.1</v>
      </c>
    </row>
    <row r="98">
      <c r="A98" s="73" t="n">
        <v>45578</v>
      </c>
      <c r="B98" s="53">
        <f>YEAR(A98)</f>
        <v/>
      </c>
      <c r="C98" s="53">
        <f>MONTH(A98)</f>
        <v/>
      </c>
      <c r="D98" s="54" t="n">
        <v>420</v>
      </c>
      <c r="E98" s="55" t="n">
        <v>0.6664</v>
      </c>
      <c r="F98" s="55" t="n">
        <v>1.0282</v>
      </c>
      <c r="G98" s="55" t="n">
        <v>0</v>
      </c>
      <c r="H98" s="54" t="n">
        <v>1.56</v>
      </c>
      <c r="I98" s="54">
        <f>H98+State!$B$6/100*I97</f>
        <v/>
      </c>
      <c r="J98" s="54" t="n">
        <v>108.23</v>
      </c>
      <c r="K98" s="54" t="n">
        <v>586.09</v>
      </c>
      <c r="N98" s="54" t="n">
        <v>0</v>
      </c>
      <c r="O98" s="54" t="n">
        <v>0</v>
      </c>
      <c r="P98" s="54" t="n">
        <v>0</v>
      </c>
      <c r="Q98" s="54" t="n">
        <v>0</v>
      </c>
      <c r="R98" s="54" t="n">
        <v>1.14</v>
      </c>
      <c r="S98" s="54">
        <f>N98+Answers!$C$16/100*S97</f>
        <v/>
      </c>
      <c r="T98" s="54">
        <f>O98+Answers!$C$17/100*T97</f>
        <v/>
      </c>
      <c r="U98" s="54">
        <f>P98+Answers!$C$18/100*U97</f>
        <v/>
      </c>
      <c r="V98" s="54">
        <f>Q98+Answers!$C$19/100*V97</f>
        <v/>
      </c>
      <c r="W98" s="54">
        <f>R98+Answers!$C$20/100*W97</f>
        <v/>
      </c>
      <c r="X98" s="54">
        <f>State!$B$2*E98</f>
        <v/>
      </c>
      <c r="Y98" s="54">
        <f>-State!$B$3*F98</f>
        <v/>
      </c>
      <c r="Z98" s="54">
        <f>State!$B$4*G98</f>
        <v/>
      </c>
      <c r="AA98" s="54">
        <f>State!$B$5*(1-State!$B$6/100)*I98</f>
        <v/>
      </c>
      <c r="AB98" s="54">
        <f>State!$B$7*K98</f>
        <v/>
      </c>
      <c r="AE98" s="54">
        <f>State!$B$8*(1-Answers!$C$16/100)*S98</f>
        <v/>
      </c>
      <c r="AF98" s="54">
        <f>State!$B$9*(1-Answers!$C$17/100)*T98</f>
        <v/>
      </c>
      <c r="AG98" s="54">
        <f>State!$B$10*(1-Answers!$C$18/100)*U98</f>
        <v/>
      </c>
      <c r="AH98" s="54">
        <f>State!$B$11*(1-Answers!$C$19/100)*V98</f>
        <v/>
      </c>
      <c r="AI98" s="54">
        <f>State!$B$12*(1-Answers!$C$20/100)*W98</f>
        <v/>
      </c>
      <c r="AJ98" s="54">
        <f>X98</f>
        <v/>
      </c>
      <c r="AK98" s="54">
        <f>X98+Y98</f>
        <v/>
      </c>
      <c r="AL98" s="54">
        <f>AK98+Z98</f>
        <v/>
      </c>
      <c r="AM98" s="54">
        <f>AL98+AA98</f>
        <v/>
      </c>
      <c r="AN98" s="54">
        <f>AM98+AB98</f>
        <v/>
      </c>
      <c r="AO98" s="54">
        <f>AL98+AE98+AF98+AG98+AH98+AI98+AB98</f>
        <v/>
      </c>
      <c r="AP98" s="54">
        <f>IF(State!$B$46=1,AO98,AN98)</f>
        <v/>
      </c>
      <c r="AQ98" s="54" t="n">
        <v>583.5</v>
      </c>
      <c r="AR98" s="54" t="n">
        <v>-979.3</v>
      </c>
      <c r="AS98" s="54" t="n">
        <v>0</v>
      </c>
      <c r="AT98" s="54" t="n">
        <v>565.3</v>
      </c>
      <c r="AU98" s="54" t="n">
        <v>676.9</v>
      </c>
      <c r="AX98" s="54" t="n">
        <v>94.7</v>
      </c>
      <c r="AY98" s="54" t="n">
        <v>36.6</v>
      </c>
      <c r="AZ98" s="54" t="n">
        <v>48.8</v>
      </c>
      <c r="BA98" s="54" t="n">
        <v>20.7</v>
      </c>
      <c r="BB98" s="54" t="n">
        <v>364.6</v>
      </c>
      <c r="BC98" s="54">
        <f>AQ98+AR98+AS98+AT98+AU98</f>
        <v/>
      </c>
      <c r="BD98" s="54">
        <f>AQ98</f>
        <v/>
      </c>
      <c r="BE98" s="54">
        <f>AQ98+AR98</f>
        <v/>
      </c>
      <c r="BF98" s="54">
        <f>BE98+AS98</f>
        <v/>
      </c>
      <c r="BG98" s="54">
        <f>BF98+AT98</f>
        <v/>
      </c>
      <c r="BH98" s="54">
        <f>BG98+AU98</f>
        <v/>
      </c>
      <c r="BI98" s="54">
        <f>BC98</f>
        <v/>
      </c>
      <c r="BJ98" s="54">
        <f>IF(State!$B$14=1,CHOOSE(State!$B$43+1,D98,BD98,BE98,BF98,BG98,BH98,BI98),BK98)</f>
        <v/>
      </c>
      <c r="BK98" s="54">
        <f>CHOOSE(State!$B$43+1,D98,AJ98,AK98,AL98,AM98,AN98,AO98)</f>
        <v/>
      </c>
      <c r="BL98" s="54">
        <f>IF(State!$B$44=1,H98,0)</f>
        <v/>
      </c>
      <c r="BQ98" s="54">
        <f>D98-AP98</f>
        <v/>
      </c>
      <c r="BR98" s="54">
        <f>BQ98^2</f>
        <v/>
      </c>
      <c r="BS98" s="54">
        <f>(BQ98-BQ97)^2</f>
        <v/>
      </c>
      <c r="BT98" s="54">
        <f>IF(D98&gt;2000,ABS(BQ98)/D98,"")</f>
        <v/>
      </c>
      <c r="BU98" s="54" t="n">
        <v>146</v>
      </c>
      <c r="BV98" s="74" t="n">
        <v>0.5548999999999999</v>
      </c>
      <c r="BW98" s="54" t="n">
        <v>670.7</v>
      </c>
    </row>
    <row r="99">
      <c r="A99" s="73" t="n">
        <v>45585</v>
      </c>
      <c r="B99" s="53">
        <f>YEAR(A99)</f>
        <v/>
      </c>
      <c r="C99" s="53">
        <f>MONTH(A99)</f>
        <v/>
      </c>
      <c r="D99" s="54" t="n">
        <v>381</v>
      </c>
      <c r="E99" s="55" t="n">
        <v>0.6664</v>
      </c>
      <c r="F99" s="55" t="n">
        <v>1.0282</v>
      </c>
      <c r="G99" s="55" t="n">
        <v>0</v>
      </c>
      <c r="H99" s="54" t="n">
        <v>0.9399999999999999</v>
      </c>
      <c r="I99" s="54">
        <f>H99+State!$B$6/100*I98</f>
        <v/>
      </c>
      <c r="J99" s="54" t="n">
        <v>123.63</v>
      </c>
      <c r="K99" s="54" t="n">
        <v>510.11</v>
      </c>
      <c r="N99" s="54" t="n">
        <v>0</v>
      </c>
      <c r="O99" s="54" t="n">
        <v>0</v>
      </c>
      <c r="P99" s="54" t="n">
        <v>0</v>
      </c>
      <c r="Q99" s="54" t="n">
        <v>0</v>
      </c>
      <c r="R99" s="54" t="n">
        <v>0.5600000000000001</v>
      </c>
      <c r="S99" s="54">
        <f>N99+Answers!$C$16/100*S98</f>
        <v/>
      </c>
      <c r="T99" s="54">
        <f>O99+Answers!$C$17/100*T98</f>
        <v/>
      </c>
      <c r="U99" s="54">
        <f>P99+Answers!$C$18/100*U98</f>
        <v/>
      </c>
      <c r="V99" s="54">
        <f>Q99+Answers!$C$19/100*V98</f>
        <v/>
      </c>
      <c r="W99" s="54">
        <f>R99+Answers!$C$20/100*W98</f>
        <v/>
      </c>
      <c r="X99" s="54">
        <f>State!$B$2*E99</f>
        <v/>
      </c>
      <c r="Y99" s="54">
        <f>-State!$B$3*F99</f>
        <v/>
      </c>
      <c r="Z99" s="54">
        <f>State!$B$4*G99</f>
        <v/>
      </c>
      <c r="AA99" s="54">
        <f>State!$B$5*(1-State!$B$6/100)*I99</f>
        <v/>
      </c>
      <c r="AB99" s="54">
        <f>State!$B$7*K99</f>
        <v/>
      </c>
      <c r="AE99" s="54">
        <f>State!$B$8*(1-Answers!$C$16/100)*S99</f>
        <v/>
      </c>
      <c r="AF99" s="54">
        <f>State!$B$9*(1-Answers!$C$17/100)*T99</f>
        <v/>
      </c>
      <c r="AG99" s="54">
        <f>State!$B$10*(1-Answers!$C$18/100)*U99</f>
        <v/>
      </c>
      <c r="AH99" s="54">
        <f>State!$B$11*(1-Answers!$C$19/100)*V99</f>
        <v/>
      </c>
      <c r="AI99" s="54">
        <f>State!$B$12*(1-Answers!$C$20/100)*W99</f>
        <v/>
      </c>
      <c r="AJ99" s="54">
        <f>X99</f>
        <v/>
      </c>
      <c r="AK99" s="54">
        <f>X99+Y99</f>
        <v/>
      </c>
      <c r="AL99" s="54">
        <f>AK99+Z99</f>
        <v/>
      </c>
      <c r="AM99" s="54">
        <f>AL99+AA99</f>
        <v/>
      </c>
      <c r="AN99" s="54">
        <f>AM99+AB99</f>
        <v/>
      </c>
      <c r="AO99" s="54">
        <f>AL99+AE99+AF99+AG99+AH99+AI99+AB99</f>
        <v/>
      </c>
      <c r="AP99" s="54">
        <f>IF(State!$B$46=1,AO99,AN99)</f>
        <v/>
      </c>
      <c r="AQ99" s="54" t="n">
        <v>583.5</v>
      </c>
      <c r="AR99" s="54" t="n">
        <v>-979.3</v>
      </c>
      <c r="AS99" s="54" t="n">
        <v>0</v>
      </c>
      <c r="AT99" s="54" t="n">
        <v>515.4</v>
      </c>
      <c r="AU99" s="54" t="n">
        <v>524.7</v>
      </c>
      <c r="AX99" s="54" t="n">
        <v>80.5</v>
      </c>
      <c r="AY99" s="54" t="n">
        <v>31.1</v>
      </c>
      <c r="AZ99" s="54" t="n">
        <v>41.4</v>
      </c>
      <c r="BA99" s="54" t="n">
        <v>17.6</v>
      </c>
      <c r="BB99" s="54" t="n">
        <v>344.8</v>
      </c>
      <c r="BC99" s="54">
        <f>AQ99+AR99+AS99+AT99+AU99</f>
        <v/>
      </c>
      <c r="BD99" s="54">
        <f>AQ99</f>
        <v/>
      </c>
      <c r="BE99" s="54">
        <f>AQ99+AR99</f>
        <v/>
      </c>
      <c r="BF99" s="54">
        <f>BE99+AS99</f>
        <v/>
      </c>
      <c r="BG99" s="54">
        <f>BF99+AT99</f>
        <v/>
      </c>
      <c r="BH99" s="54">
        <f>BG99+AU99</f>
        <v/>
      </c>
      <c r="BI99" s="54">
        <f>BC99</f>
        <v/>
      </c>
      <c r="BJ99" s="54">
        <f>IF(State!$B$14=1,CHOOSE(State!$B$43+1,D99,BD99,BE99,BF99,BG99,BH99,BI99),BK99)</f>
        <v/>
      </c>
      <c r="BK99" s="54">
        <f>CHOOSE(State!$B$43+1,D99,AJ99,AK99,AL99,AM99,AN99,AO99)</f>
        <v/>
      </c>
      <c r="BL99" s="54">
        <f>IF(State!$B$44=1,H99,0)</f>
        <v/>
      </c>
      <c r="BQ99" s="54">
        <f>D99-AP99</f>
        <v/>
      </c>
      <c r="BR99" s="54">
        <f>BQ99^2</f>
        <v/>
      </c>
      <c r="BS99" s="54">
        <f>(BQ99-BQ98)^2</f>
        <v/>
      </c>
      <c r="BT99" s="54">
        <f>IF(D99&gt;2000,ABS(BQ99)/D99,"")</f>
        <v/>
      </c>
      <c r="BU99" s="54" t="n">
        <v>107</v>
      </c>
      <c r="BV99" s="74" t="n">
        <v>0.5548999999999999</v>
      </c>
      <c r="BW99" s="54" t="n">
        <v>637.6</v>
      </c>
    </row>
    <row r="100">
      <c r="A100" s="73" t="n">
        <v>45592</v>
      </c>
      <c r="B100" s="53">
        <f>YEAR(A100)</f>
        <v/>
      </c>
      <c r="C100" s="53">
        <f>MONTH(A100)</f>
        <v/>
      </c>
      <c r="D100" s="54" t="n">
        <v>375</v>
      </c>
      <c r="E100" s="55" t="n">
        <v>0.6654</v>
      </c>
      <c r="F100" s="55" t="n">
        <v>1.0282</v>
      </c>
      <c r="G100" s="55" t="n">
        <v>0</v>
      </c>
      <c r="H100" s="54" t="n">
        <v>0.77</v>
      </c>
      <c r="I100" s="54">
        <f>H100+State!$B$6/100*I99</f>
        <v/>
      </c>
      <c r="J100" s="54" t="n">
        <v>120.14</v>
      </c>
      <c r="K100" s="54" t="n">
        <v>550.8099999999999</v>
      </c>
      <c r="N100" s="54" t="n">
        <v>0</v>
      </c>
      <c r="O100" s="54" t="n">
        <v>0</v>
      </c>
      <c r="P100" s="54" t="n">
        <v>0</v>
      </c>
      <c r="Q100" s="54" t="n">
        <v>0</v>
      </c>
      <c r="R100" s="54" t="n">
        <v>0.39</v>
      </c>
      <c r="S100" s="54">
        <f>N100+Answers!$C$16/100*S99</f>
        <v/>
      </c>
      <c r="T100" s="54">
        <f>O100+Answers!$C$17/100*T99</f>
        <v/>
      </c>
      <c r="U100" s="54">
        <f>P100+Answers!$C$18/100*U99</f>
        <v/>
      </c>
      <c r="V100" s="54">
        <f>Q100+Answers!$C$19/100*V99</f>
        <v/>
      </c>
      <c r="W100" s="54">
        <f>R100+Answers!$C$20/100*W99</f>
        <v/>
      </c>
      <c r="X100" s="54">
        <f>State!$B$2*E100</f>
        <v/>
      </c>
      <c r="Y100" s="54">
        <f>-State!$B$3*F100</f>
        <v/>
      </c>
      <c r="Z100" s="54">
        <f>State!$B$4*G100</f>
        <v/>
      </c>
      <c r="AA100" s="54">
        <f>State!$B$5*(1-State!$B$6/100)*I100</f>
        <v/>
      </c>
      <c r="AB100" s="54">
        <f>State!$B$7*K100</f>
        <v/>
      </c>
      <c r="AE100" s="54">
        <f>State!$B$8*(1-Answers!$C$16/100)*S100</f>
        <v/>
      </c>
      <c r="AF100" s="54">
        <f>State!$B$9*(1-Answers!$C$17/100)*T100</f>
        <v/>
      </c>
      <c r="AG100" s="54">
        <f>State!$B$10*(1-Answers!$C$18/100)*U100</f>
        <v/>
      </c>
      <c r="AH100" s="54">
        <f>State!$B$11*(1-Answers!$C$19/100)*V100</f>
        <v/>
      </c>
      <c r="AI100" s="54">
        <f>State!$B$12*(1-Answers!$C$20/100)*W100</f>
        <v/>
      </c>
      <c r="AJ100" s="54">
        <f>X100</f>
        <v/>
      </c>
      <c r="AK100" s="54">
        <f>X100+Y100</f>
        <v/>
      </c>
      <c r="AL100" s="54">
        <f>AK100+Z100</f>
        <v/>
      </c>
      <c r="AM100" s="54">
        <f>AL100+AA100</f>
        <v/>
      </c>
      <c r="AN100" s="54">
        <f>AM100+AB100</f>
        <v/>
      </c>
      <c r="AO100" s="54">
        <f>AL100+AE100+AF100+AG100+AH100+AI100+AB100</f>
        <v/>
      </c>
      <c r="AP100" s="54">
        <f>IF(State!$B$46=1,AO100,AN100)</f>
        <v/>
      </c>
      <c r="AQ100" s="54" t="n">
        <v>582.6</v>
      </c>
      <c r="AR100" s="54" t="n">
        <v>-979.3</v>
      </c>
      <c r="AS100" s="54" t="n">
        <v>0</v>
      </c>
      <c r="AT100" s="54" t="n">
        <v>484</v>
      </c>
      <c r="AU100" s="54" t="n">
        <v>479.9</v>
      </c>
      <c r="AX100" s="54" t="n">
        <v>68.40000000000001</v>
      </c>
      <c r="AY100" s="54" t="n">
        <v>26.4</v>
      </c>
      <c r="AZ100" s="54" t="n">
        <v>35.2</v>
      </c>
      <c r="BA100" s="54" t="n">
        <v>15</v>
      </c>
      <c r="BB100" s="54" t="n">
        <v>338.9</v>
      </c>
      <c r="BC100" s="54">
        <f>AQ100+AR100+AS100+AT100+AU100</f>
        <v/>
      </c>
      <c r="BD100" s="54">
        <f>AQ100</f>
        <v/>
      </c>
      <c r="BE100" s="54">
        <f>AQ100+AR100</f>
        <v/>
      </c>
      <c r="BF100" s="54">
        <f>BE100+AS100</f>
        <v/>
      </c>
      <c r="BG100" s="54">
        <f>BF100+AT100</f>
        <v/>
      </c>
      <c r="BH100" s="54">
        <f>BG100+AU100</f>
        <v/>
      </c>
      <c r="BI100" s="54">
        <f>BC100</f>
        <v/>
      </c>
      <c r="BJ100" s="54">
        <f>IF(State!$B$14=1,CHOOSE(State!$B$43+1,D100,BD100,BE100,BF100,BG100,BH100,BI100),BK100)</f>
        <v/>
      </c>
      <c r="BK100" s="54">
        <f>CHOOSE(State!$B$43+1,D100,AJ100,AK100,AL100,AM100,AN100,AO100)</f>
        <v/>
      </c>
      <c r="BL100" s="54">
        <f>IF(State!$B$44=1,H100,0)</f>
        <v/>
      </c>
      <c r="BQ100" s="54">
        <f>D100-AP100</f>
        <v/>
      </c>
      <c r="BR100" s="54">
        <f>BQ100^2</f>
        <v/>
      </c>
      <c r="BS100" s="54">
        <f>(BQ100-BQ99)^2</f>
        <v/>
      </c>
      <c r="BT100" s="54">
        <f>IF(D100&gt;2000,ABS(BQ100)/D100,"")</f>
        <v/>
      </c>
      <c r="BU100" s="54" t="n">
        <v>160</v>
      </c>
      <c r="BV100" s="74" t="n">
        <v>0.5535</v>
      </c>
      <c r="BW100" s="54" t="n">
        <v>728</v>
      </c>
    </row>
    <row r="101">
      <c r="A101" s="73" t="n">
        <v>45599</v>
      </c>
      <c r="B101" s="53">
        <f>YEAR(A101)</f>
        <v/>
      </c>
      <c r="C101" s="53">
        <f>MONTH(A101)</f>
        <v/>
      </c>
      <c r="D101" s="54" t="n">
        <v>800</v>
      </c>
      <c r="E101" s="55" t="n">
        <v>0.6645</v>
      </c>
      <c r="F101" s="55" t="n">
        <v>1.0282</v>
      </c>
      <c r="G101" s="55" t="n">
        <v>0</v>
      </c>
      <c r="H101" s="54" t="n">
        <v>1.39</v>
      </c>
      <c r="I101" s="54">
        <f>H101+State!$B$6/100*I100</f>
        <v/>
      </c>
      <c r="J101" s="54" t="n">
        <v>141.18</v>
      </c>
      <c r="K101" s="54" t="n">
        <v>238.66</v>
      </c>
      <c r="N101" s="54" t="n">
        <v>0</v>
      </c>
      <c r="O101" s="54" t="n">
        <v>0</v>
      </c>
      <c r="P101" s="54" t="n">
        <v>0</v>
      </c>
      <c r="Q101" s="54" t="n">
        <v>0</v>
      </c>
      <c r="R101" s="54" t="n">
        <v>0.59</v>
      </c>
      <c r="S101" s="54">
        <f>N101+Answers!$C$16/100*S100</f>
        <v/>
      </c>
      <c r="T101" s="54">
        <f>O101+Answers!$C$17/100*T100</f>
        <v/>
      </c>
      <c r="U101" s="54">
        <f>P101+Answers!$C$18/100*U100</f>
        <v/>
      </c>
      <c r="V101" s="54">
        <f>Q101+Answers!$C$19/100*V100</f>
        <v/>
      </c>
      <c r="W101" s="54">
        <f>R101+Answers!$C$20/100*W100</f>
        <v/>
      </c>
      <c r="X101" s="54">
        <f>State!$B$2*E101</f>
        <v/>
      </c>
      <c r="Y101" s="54">
        <f>-State!$B$3*F101</f>
        <v/>
      </c>
      <c r="Z101" s="54">
        <f>State!$B$4*G101</f>
        <v/>
      </c>
      <c r="AA101" s="54">
        <f>State!$B$5*(1-State!$B$6/100)*I101</f>
        <v/>
      </c>
      <c r="AB101" s="54">
        <f>State!$B$7*K101</f>
        <v/>
      </c>
      <c r="AE101" s="54">
        <f>State!$B$8*(1-Answers!$C$16/100)*S101</f>
        <v/>
      </c>
      <c r="AF101" s="54">
        <f>State!$B$9*(1-Answers!$C$17/100)*T101</f>
        <v/>
      </c>
      <c r="AG101" s="54">
        <f>State!$B$10*(1-Answers!$C$18/100)*U101</f>
        <v/>
      </c>
      <c r="AH101" s="54">
        <f>State!$B$11*(1-Answers!$C$19/100)*V101</f>
        <v/>
      </c>
      <c r="AI101" s="54">
        <f>State!$B$12*(1-Answers!$C$20/100)*W101</f>
        <v/>
      </c>
      <c r="AJ101" s="54">
        <f>X101</f>
        <v/>
      </c>
      <c r="AK101" s="54">
        <f>X101+Y101</f>
        <v/>
      </c>
      <c r="AL101" s="54">
        <f>AK101+Z101</f>
        <v/>
      </c>
      <c r="AM101" s="54">
        <f>AL101+AA101</f>
        <v/>
      </c>
      <c r="AN101" s="54">
        <f>AM101+AB101</f>
        <v/>
      </c>
      <c r="AO101" s="54">
        <f>AL101+AE101+AF101+AG101+AH101+AI101+AB101</f>
        <v/>
      </c>
      <c r="AP101" s="54">
        <f>IF(State!$B$46=1,AO101,AN101)</f>
        <v/>
      </c>
      <c r="AQ101" s="54" t="n">
        <v>581.8</v>
      </c>
      <c r="AR101" s="54" t="n">
        <v>-979.3</v>
      </c>
      <c r="AS101" s="54" t="n">
        <v>0</v>
      </c>
      <c r="AT101" s="54" t="n">
        <v>428.6</v>
      </c>
      <c r="AU101" s="54" t="n">
        <v>557.3</v>
      </c>
      <c r="AX101" s="54" t="n">
        <v>58.1</v>
      </c>
      <c r="AY101" s="54" t="n">
        <v>22.5</v>
      </c>
      <c r="AZ101" s="54" t="n">
        <v>29.9</v>
      </c>
      <c r="BA101" s="54" t="n">
        <v>12.7</v>
      </c>
      <c r="BB101" s="54" t="n">
        <v>305.4</v>
      </c>
      <c r="BC101" s="54">
        <f>AQ101+AR101+AS101+AT101+AU101</f>
        <v/>
      </c>
      <c r="BD101" s="54">
        <f>AQ101</f>
        <v/>
      </c>
      <c r="BE101" s="54">
        <f>AQ101+AR101</f>
        <v/>
      </c>
      <c r="BF101" s="54">
        <f>BE101+AS101</f>
        <v/>
      </c>
      <c r="BG101" s="54">
        <f>BF101+AT101</f>
        <v/>
      </c>
      <c r="BH101" s="54">
        <f>BG101+AU101</f>
        <v/>
      </c>
      <c r="BI101" s="54">
        <f>BC101</f>
        <v/>
      </c>
      <c r="BJ101" s="54">
        <f>IF(State!$B$14=1,CHOOSE(State!$B$43+1,D101,BD101,BE101,BF101,BG101,BH101,BI101),BK101)</f>
        <v/>
      </c>
      <c r="BK101" s="54">
        <f>CHOOSE(State!$B$43+1,D101,AJ101,AK101,AL101,AM101,AN101,AO101)</f>
        <v/>
      </c>
      <c r="BL101" s="54">
        <f>IF(State!$B$44=1,H101,0)</f>
        <v/>
      </c>
      <c r="BQ101" s="54">
        <f>D101-AP101</f>
        <v/>
      </c>
      <c r="BR101" s="54">
        <f>BQ101^2</f>
        <v/>
      </c>
      <c r="BS101" s="54">
        <f>(BQ101-BQ100)^2</f>
        <v/>
      </c>
      <c r="BT101" s="54">
        <f>IF(D101&gt;2000,ABS(BQ101)/D101,"")</f>
        <v/>
      </c>
      <c r="BU101" s="54" t="n">
        <v>151</v>
      </c>
      <c r="BV101" s="74" t="n">
        <v>0.5517</v>
      </c>
      <c r="BW101" s="54" t="n">
        <v>321.3</v>
      </c>
    </row>
    <row r="102">
      <c r="A102" s="73" t="n">
        <v>45606</v>
      </c>
      <c r="B102" s="53">
        <f>YEAR(A102)</f>
        <v/>
      </c>
      <c r="C102" s="53">
        <f>MONTH(A102)</f>
        <v/>
      </c>
      <c r="D102" s="54" t="n">
        <v>217</v>
      </c>
      <c r="E102" s="55" t="n">
        <v>0.6635</v>
      </c>
      <c r="F102" s="55" t="n">
        <v>1.0282</v>
      </c>
      <c r="G102" s="55" t="n">
        <v>0</v>
      </c>
      <c r="H102" s="54" t="n">
        <v>1.01</v>
      </c>
      <c r="I102" s="54">
        <f>H102+State!$B$6/100*I101</f>
        <v/>
      </c>
      <c r="J102" s="54" t="n">
        <v>157.2</v>
      </c>
      <c r="K102" s="54" t="n">
        <v>197.4</v>
      </c>
      <c r="N102" s="54" t="n">
        <v>0</v>
      </c>
      <c r="O102" s="54" t="n">
        <v>0</v>
      </c>
      <c r="P102" s="54" t="n">
        <v>0</v>
      </c>
      <c r="Q102" s="54" t="n">
        <v>0</v>
      </c>
      <c r="R102" s="54" t="n">
        <v>0.79</v>
      </c>
      <c r="S102" s="54">
        <f>N102+Answers!$C$16/100*S101</f>
        <v/>
      </c>
      <c r="T102" s="54">
        <f>O102+Answers!$C$17/100*T101</f>
        <v/>
      </c>
      <c r="U102" s="54">
        <f>P102+Answers!$C$18/100*U101</f>
        <v/>
      </c>
      <c r="V102" s="54">
        <f>Q102+Answers!$C$19/100*V101</f>
        <v/>
      </c>
      <c r="W102" s="54">
        <f>R102+Answers!$C$20/100*W101</f>
        <v/>
      </c>
      <c r="X102" s="54">
        <f>State!$B$2*E102</f>
        <v/>
      </c>
      <c r="Y102" s="54">
        <f>-State!$B$3*F102</f>
        <v/>
      </c>
      <c r="Z102" s="54">
        <f>State!$B$4*G102</f>
        <v/>
      </c>
      <c r="AA102" s="54">
        <f>State!$B$5*(1-State!$B$6/100)*I102</f>
        <v/>
      </c>
      <c r="AB102" s="54">
        <f>State!$B$7*K102</f>
        <v/>
      </c>
      <c r="AE102" s="54">
        <f>State!$B$8*(1-Answers!$C$16/100)*S102</f>
        <v/>
      </c>
      <c r="AF102" s="54">
        <f>State!$B$9*(1-Answers!$C$17/100)*T102</f>
        <v/>
      </c>
      <c r="AG102" s="54">
        <f>State!$B$10*(1-Answers!$C$18/100)*U102</f>
        <v/>
      </c>
      <c r="AH102" s="54">
        <f>State!$B$11*(1-Answers!$C$19/100)*V102</f>
        <v/>
      </c>
      <c r="AI102" s="54">
        <f>State!$B$12*(1-Answers!$C$20/100)*W102</f>
        <v/>
      </c>
      <c r="AJ102" s="54">
        <f>X102</f>
        <v/>
      </c>
      <c r="AK102" s="54">
        <f>X102+Y102</f>
        <v/>
      </c>
      <c r="AL102" s="54">
        <f>AK102+Z102</f>
        <v/>
      </c>
      <c r="AM102" s="54">
        <f>AL102+AA102</f>
        <v/>
      </c>
      <c r="AN102" s="54">
        <f>AM102+AB102</f>
        <v/>
      </c>
      <c r="AO102" s="54">
        <f>AL102+AE102+AF102+AG102+AH102+AI102+AB102</f>
        <v/>
      </c>
      <c r="AP102" s="54">
        <f>IF(State!$B$46=1,AO102,AN102)</f>
        <v/>
      </c>
      <c r="AQ102" s="54" t="n">
        <v>581</v>
      </c>
      <c r="AR102" s="54" t="n">
        <v>-979.3</v>
      </c>
      <c r="AS102" s="54" t="n">
        <v>0</v>
      </c>
      <c r="AT102" s="54" t="n">
        <v>369.9</v>
      </c>
      <c r="AU102" s="54" t="n">
        <v>634.1</v>
      </c>
      <c r="AX102" s="54" t="n">
        <v>49.4</v>
      </c>
      <c r="AY102" s="54" t="n">
        <v>19.1</v>
      </c>
      <c r="AZ102" s="54" t="n">
        <v>25.5</v>
      </c>
      <c r="BA102" s="54" t="n">
        <v>10.8</v>
      </c>
      <c r="BB102" s="54" t="n">
        <v>265.1</v>
      </c>
      <c r="BC102" s="54">
        <f>AQ102+AR102+AS102+AT102+AU102</f>
        <v/>
      </c>
      <c r="BD102" s="54">
        <f>AQ102</f>
        <v/>
      </c>
      <c r="BE102" s="54">
        <f>AQ102+AR102</f>
        <v/>
      </c>
      <c r="BF102" s="54">
        <f>BE102+AS102</f>
        <v/>
      </c>
      <c r="BG102" s="54">
        <f>BF102+AT102</f>
        <v/>
      </c>
      <c r="BH102" s="54">
        <f>BG102+AU102</f>
        <v/>
      </c>
      <c r="BI102" s="54">
        <f>BC102</f>
        <v/>
      </c>
      <c r="BJ102" s="54">
        <f>IF(State!$B$14=1,CHOOSE(State!$B$43+1,D102,BD102,BE102,BF102,BG102,BH102,BI102),BK102)</f>
        <v/>
      </c>
      <c r="BK102" s="54">
        <f>CHOOSE(State!$B$43+1,D102,AJ102,AK102,AL102,AM102,AN102,AO102)</f>
        <v/>
      </c>
      <c r="BL102" s="54">
        <f>IF(State!$B$44=1,H102,0)</f>
        <v/>
      </c>
      <c r="BQ102" s="54">
        <f>D102-AP102</f>
        <v/>
      </c>
      <c r="BR102" s="54">
        <f>BQ102^2</f>
        <v/>
      </c>
      <c r="BS102" s="54">
        <f>(BQ102-BQ101)^2</f>
        <v/>
      </c>
      <c r="BT102" s="54">
        <f>IF(D102&gt;2000,ABS(BQ102)/D102,"")</f>
        <v/>
      </c>
      <c r="BU102" s="54" t="n">
        <v>121</v>
      </c>
      <c r="BV102" s="74" t="n">
        <v>0.5517</v>
      </c>
      <c r="BW102" s="54" t="n">
        <v>248.3</v>
      </c>
    </row>
    <row r="103">
      <c r="A103" s="73" t="n">
        <v>45613</v>
      </c>
      <c r="B103" s="53">
        <f>YEAR(A103)</f>
        <v/>
      </c>
      <c r="C103" s="53">
        <f>MONTH(A103)</f>
        <v/>
      </c>
      <c r="D103" s="54" t="n">
        <v>205</v>
      </c>
      <c r="E103" s="55" t="n">
        <v>0.663</v>
      </c>
      <c r="F103" s="55" t="n">
        <v>1.0282</v>
      </c>
      <c r="G103" s="55" t="n">
        <v>0</v>
      </c>
      <c r="H103" s="54" t="n">
        <v>0.64</v>
      </c>
      <c r="I103" s="54">
        <f>H103+State!$B$6/100*I102</f>
        <v/>
      </c>
      <c r="J103" s="54" t="n">
        <v>126.48</v>
      </c>
      <c r="K103" s="54" t="n">
        <v>181.71</v>
      </c>
      <c r="N103" s="54" t="n">
        <v>0</v>
      </c>
      <c r="O103" s="54" t="n">
        <v>0</v>
      </c>
      <c r="P103" s="54" t="n">
        <v>0</v>
      </c>
      <c r="Q103" s="54" t="n">
        <v>0</v>
      </c>
      <c r="R103" s="54" t="n">
        <v>0.43</v>
      </c>
      <c r="S103" s="54">
        <f>N103+Answers!$C$16/100*S102</f>
        <v/>
      </c>
      <c r="T103" s="54">
        <f>O103+Answers!$C$17/100*T102</f>
        <v/>
      </c>
      <c r="U103" s="54">
        <f>P103+Answers!$C$18/100*U102</f>
        <v/>
      </c>
      <c r="V103" s="54">
        <f>Q103+Answers!$C$19/100*V102</f>
        <v/>
      </c>
      <c r="W103" s="54">
        <f>R103+Answers!$C$20/100*W102</f>
        <v/>
      </c>
      <c r="X103" s="54">
        <f>State!$B$2*E103</f>
        <v/>
      </c>
      <c r="Y103" s="54">
        <f>-State!$B$3*F103</f>
        <v/>
      </c>
      <c r="Z103" s="54">
        <f>State!$B$4*G103</f>
        <v/>
      </c>
      <c r="AA103" s="54">
        <f>State!$B$5*(1-State!$B$6/100)*I103</f>
        <v/>
      </c>
      <c r="AB103" s="54">
        <f>State!$B$7*K103</f>
        <v/>
      </c>
      <c r="AE103" s="54">
        <f>State!$B$8*(1-Answers!$C$16/100)*S103</f>
        <v/>
      </c>
      <c r="AF103" s="54">
        <f>State!$B$9*(1-Answers!$C$17/100)*T103</f>
        <v/>
      </c>
      <c r="AG103" s="54">
        <f>State!$B$10*(1-Answers!$C$18/100)*U103</f>
        <v/>
      </c>
      <c r="AH103" s="54">
        <f>State!$B$11*(1-Answers!$C$19/100)*V103</f>
        <v/>
      </c>
      <c r="AI103" s="54">
        <f>State!$B$12*(1-Answers!$C$20/100)*W103</f>
        <v/>
      </c>
      <c r="AJ103" s="54">
        <f>X103</f>
        <v/>
      </c>
      <c r="AK103" s="54">
        <f>X103+Y103</f>
        <v/>
      </c>
      <c r="AL103" s="54">
        <f>AK103+Z103</f>
        <v/>
      </c>
      <c r="AM103" s="54">
        <f>AL103+AA103</f>
        <v/>
      </c>
      <c r="AN103" s="54">
        <f>AM103+AB103</f>
        <v/>
      </c>
      <c r="AO103" s="54">
        <f>AL103+AE103+AF103+AG103+AH103+AI103+AB103</f>
        <v/>
      </c>
      <c r="AP103" s="54">
        <f>IF(State!$B$46=1,AO103,AN103)</f>
        <v/>
      </c>
      <c r="AQ103" s="54" t="n">
        <v>580.5</v>
      </c>
      <c r="AR103" s="54" t="n">
        <v>-979.3</v>
      </c>
      <c r="AS103" s="54" t="n">
        <v>0</v>
      </c>
      <c r="AT103" s="54" t="n">
        <v>322.7</v>
      </c>
      <c r="AU103" s="54" t="n">
        <v>580.5</v>
      </c>
      <c r="AX103" s="54" t="n">
        <v>42</v>
      </c>
      <c r="AY103" s="54" t="n">
        <v>16.2</v>
      </c>
      <c r="AZ103" s="54" t="n">
        <v>21.6</v>
      </c>
      <c r="BA103" s="54" t="n">
        <v>9.199999999999999</v>
      </c>
      <c r="BB103" s="54" t="n">
        <v>233.7</v>
      </c>
      <c r="BC103" s="54">
        <f>AQ103+AR103+AS103+AT103+AU103</f>
        <v/>
      </c>
      <c r="BD103" s="54">
        <f>AQ103</f>
        <v/>
      </c>
      <c r="BE103" s="54">
        <f>AQ103+AR103</f>
        <v/>
      </c>
      <c r="BF103" s="54">
        <f>BE103+AS103</f>
        <v/>
      </c>
      <c r="BG103" s="54">
        <f>BF103+AT103</f>
        <v/>
      </c>
      <c r="BH103" s="54">
        <f>BG103+AU103</f>
        <v/>
      </c>
      <c r="BI103" s="54">
        <f>BC103</f>
        <v/>
      </c>
      <c r="BJ103" s="54">
        <f>IF(State!$B$14=1,CHOOSE(State!$B$43+1,D103,BD103,BE103,BF103,BG103,BH103,BI103),BK103)</f>
        <v/>
      </c>
      <c r="BK103" s="54">
        <f>CHOOSE(State!$B$43+1,D103,AJ103,AK103,AL103,AM103,AN103,AO103)</f>
        <v/>
      </c>
      <c r="BL103" s="54">
        <f>IF(State!$B$44=1,H103,0)</f>
        <v/>
      </c>
      <c r="BQ103" s="54">
        <f>D103-AP103</f>
        <v/>
      </c>
      <c r="BR103" s="54">
        <f>BQ103^2</f>
        <v/>
      </c>
      <c r="BS103" s="54">
        <f>(BQ103-BQ102)^2</f>
        <v/>
      </c>
      <c r="BT103" s="54">
        <f>IF(D103&gt;2000,ABS(BQ103)/D103,"")</f>
        <v/>
      </c>
      <c r="BU103" s="54" t="n">
        <v>119</v>
      </c>
      <c r="BV103" s="74" t="n">
        <v>0.5517</v>
      </c>
      <c r="BW103" s="54" t="n">
        <v>247.8</v>
      </c>
    </row>
    <row r="104">
      <c r="A104" s="73" t="n">
        <v>45620</v>
      </c>
      <c r="B104" s="53">
        <f>YEAR(A104)</f>
        <v/>
      </c>
      <c r="C104" s="53">
        <f>MONTH(A104)</f>
        <v/>
      </c>
      <c r="D104" s="54" t="n">
        <v>114</v>
      </c>
      <c r="E104" s="55" t="n">
        <v>0.6633</v>
      </c>
      <c r="F104" s="55" t="n">
        <v>1.0282</v>
      </c>
      <c r="G104" s="55" t="n">
        <v>0</v>
      </c>
      <c r="H104" s="54" t="n">
        <v>0.36</v>
      </c>
      <c r="I104" s="54">
        <f>H104+State!$B$6/100*I103</f>
        <v/>
      </c>
      <c r="J104" s="54" t="n">
        <v>126.53</v>
      </c>
      <c r="K104" s="54" t="n">
        <v>163.05</v>
      </c>
      <c r="N104" s="54" t="n">
        <v>0</v>
      </c>
      <c r="O104" s="54" t="n">
        <v>0</v>
      </c>
      <c r="P104" s="54" t="n">
        <v>0</v>
      </c>
      <c r="Q104" s="54" t="n">
        <v>0</v>
      </c>
      <c r="R104" s="54" t="n">
        <v>0.24</v>
      </c>
      <c r="S104" s="54">
        <f>N104+Answers!$C$16/100*S103</f>
        <v/>
      </c>
      <c r="T104" s="54">
        <f>O104+Answers!$C$17/100*T103</f>
        <v/>
      </c>
      <c r="U104" s="54">
        <f>P104+Answers!$C$18/100*U103</f>
        <v/>
      </c>
      <c r="V104" s="54">
        <f>Q104+Answers!$C$19/100*V103</f>
        <v/>
      </c>
      <c r="W104" s="54">
        <f>R104+Answers!$C$20/100*W103</f>
        <v/>
      </c>
      <c r="X104" s="54">
        <f>State!$B$2*E104</f>
        <v/>
      </c>
      <c r="Y104" s="54">
        <f>-State!$B$3*F104</f>
        <v/>
      </c>
      <c r="Z104" s="54">
        <f>State!$B$4*G104</f>
        <v/>
      </c>
      <c r="AA104" s="54">
        <f>State!$B$5*(1-State!$B$6/100)*I104</f>
        <v/>
      </c>
      <c r="AB104" s="54">
        <f>State!$B$7*K104</f>
        <v/>
      </c>
      <c r="AE104" s="54">
        <f>State!$B$8*(1-Answers!$C$16/100)*S104</f>
        <v/>
      </c>
      <c r="AF104" s="54">
        <f>State!$B$9*(1-Answers!$C$17/100)*T104</f>
        <v/>
      </c>
      <c r="AG104" s="54">
        <f>State!$B$10*(1-Answers!$C$18/100)*U104</f>
        <v/>
      </c>
      <c r="AH104" s="54">
        <f>State!$B$11*(1-Answers!$C$19/100)*V104</f>
        <v/>
      </c>
      <c r="AI104" s="54">
        <f>State!$B$12*(1-Answers!$C$20/100)*W104</f>
        <v/>
      </c>
      <c r="AJ104" s="54">
        <f>X104</f>
        <v/>
      </c>
      <c r="AK104" s="54">
        <f>X104+Y104</f>
        <v/>
      </c>
      <c r="AL104" s="54">
        <f>AK104+Z104</f>
        <v/>
      </c>
      <c r="AM104" s="54">
        <f>AL104+AA104</f>
        <v/>
      </c>
      <c r="AN104" s="54">
        <f>AM104+AB104</f>
        <v/>
      </c>
      <c r="AO104" s="54">
        <f>AL104+AE104+AF104+AG104+AH104+AI104+AB104</f>
        <v/>
      </c>
      <c r="AP104" s="54">
        <f>IF(State!$B$46=1,AO104,AN104)</f>
        <v/>
      </c>
      <c r="AQ104" s="54" t="n">
        <v>580.8</v>
      </c>
      <c r="AR104" s="54" t="n">
        <v>-979.3</v>
      </c>
      <c r="AS104" s="54" t="n">
        <v>0</v>
      </c>
      <c r="AT104" s="54" t="n">
        <v>286.5</v>
      </c>
      <c r="AU104" s="54" t="n">
        <v>499.4</v>
      </c>
      <c r="AX104" s="54" t="n">
        <v>35.7</v>
      </c>
      <c r="AY104" s="54" t="n">
        <v>13.8</v>
      </c>
      <c r="AZ104" s="54" t="n">
        <v>18.4</v>
      </c>
      <c r="BA104" s="54" t="n">
        <v>7.8</v>
      </c>
      <c r="BB104" s="54" t="n">
        <v>210.8</v>
      </c>
      <c r="BC104" s="54">
        <f>AQ104+AR104+AS104+AT104+AU104</f>
        <v/>
      </c>
      <c r="BD104" s="54">
        <f>AQ104</f>
        <v/>
      </c>
      <c r="BE104" s="54">
        <f>AQ104+AR104</f>
        <v/>
      </c>
      <c r="BF104" s="54">
        <f>BE104+AS104</f>
        <v/>
      </c>
      <c r="BG104" s="54">
        <f>BF104+AT104</f>
        <v/>
      </c>
      <c r="BH104" s="54">
        <f>BG104+AU104</f>
        <v/>
      </c>
      <c r="BI104" s="54">
        <f>BC104</f>
        <v/>
      </c>
      <c r="BJ104" s="54">
        <f>IF(State!$B$14=1,CHOOSE(State!$B$43+1,D104,BD104,BE104,BF104,BG104,BH104,BI104),BK104)</f>
        <v/>
      </c>
      <c r="BK104" s="54">
        <f>CHOOSE(State!$B$43+1,D104,AJ104,AK104,AL104,AM104,AN104,AO104)</f>
        <v/>
      </c>
      <c r="BL104" s="54">
        <f>IF(State!$B$44=1,H104,0)</f>
        <v/>
      </c>
      <c r="BQ104" s="54">
        <f>D104-AP104</f>
        <v/>
      </c>
      <c r="BR104" s="54">
        <f>BQ104^2</f>
        <v/>
      </c>
      <c r="BS104" s="54">
        <f>(BQ104-BQ103)^2</f>
        <v/>
      </c>
      <c r="BT104" s="54">
        <f>IF(D104&gt;2000,ABS(BQ104)/D104,"")</f>
        <v/>
      </c>
      <c r="BU104" s="54" t="n">
        <v>107</v>
      </c>
      <c r="BV104" s="74" t="n">
        <v>0.5518</v>
      </c>
      <c r="BW104" s="54" t="n">
        <v>238</v>
      </c>
    </row>
    <row r="105">
      <c r="A105" s="73" t="n">
        <v>45627</v>
      </c>
      <c r="B105" s="53">
        <f>YEAR(A105)</f>
        <v/>
      </c>
      <c r="C105" s="53">
        <f>MONTH(A105)</f>
        <v/>
      </c>
      <c r="D105" s="54" t="n">
        <v>182</v>
      </c>
      <c r="E105" s="55" t="n">
        <v>0.6637</v>
      </c>
      <c r="F105" s="55" t="n">
        <v>1.0282</v>
      </c>
      <c r="G105" s="55" t="n">
        <v>0</v>
      </c>
      <c r="H105" s="54" t="n">
        <v>0.42</v>
      </c>
      <c r="I105" s="54">
        <f>H105+State!$B$6/100*I104</f>
        <v/>
      </c>
      <c r="J105" s="54" t="n">
        <v>91.13</v>
      </c>
      <c r="K105" s="54" t="n">
        <v>113.63</v>
      </c>
      <c r="N105" s="54" t="n">
        <v>0</v>
      </c>
      <c r="O105" s="54" t="n">
        <v>0</v>
      </c>
      <c r="P105" s="54" t="n">
        <v>0</v>
      </c>
      <c r="Q105" s="54" t="n">
        <v>0</v>
      </c>
      <c r="R105" s="54" t="n">
        <v>0.24</v>
      </c>
      <c r="S105" s="54">
        <f>N105+Answers!$C$16/100*S104</f>
        <v/>
      </c>
      <c r="T105" s="54">
        <f>O105+Answers!$C$17/100*T104</f>
        <v/>
      </c>
      <c r="U105" s="54">
        <f>P105+Answers!$C$18/100*U104</f>
        <v/>
      </c>
      <c r="V105" s="54">
        <f>Q105+Answers!$C$19/100*V104</f>
        <v/>
      </c>
      <c r="W105" s="54">
        <f>R105+Answers!$C$20/100*W104</f>
        <v/>
      </c>
      <c r="X105" s="54">
        <f>State!$B$2*E105</f>
        <v/>
      </c>
      <c r="Y105" s="54">
        <f>-State!$B$3*F105</f>
        <v/>
      </c>
      <c r="Z105" s="54">
        <f>State!$B$4*G105</f>
        <v/>
      </c>
      <c r="AA105" s="54">
        <f>State!$B$5*(1-State!$B$6/100)*I105</f>
        <v/>
      </c>
      <c r="AB105" s="54">
        <f>State!$B$7*K105</f>
        <v/>
      </c>
      <c r="AE105" s="54">
        <f>State!$B$8*(1-Answers!$C$16/100)*S105</f>
        <v/>
      </c>
      <c r="AF105" s="54">
        <f>State!$B$9*(1-Answers!$C$17/100)*T105</f>
        <v/>
      </c>
      <c r="AG105" s="54">
        <f>State!$B$10*(1-Answers!$C$18/100)*U105</f>
        <v/>
      </c>
      <c r="AH105" s="54">
        <f>State!$B$11*(1-Answers!$C$19/100)*V105</f>
        <v/>
      </c>
      <c r="AI105" s="54">
        <f>State!$B$12*(1-Answers!$C$20/100)*W105</f>
        <v/>
      </c>
      <c r="AJ105" s="54">
        <f>X105</f>
        <v/>
      </c>
      <c r="AK105" s="54">
        <f>X105+Y105</f>
        <v/>
      </c>
      <c r="AL105" s="54">
        <f>AK105+Z105</f>
        <v/>
      </c>
      <c r="AM105" s="54">
        <f>AL105+AA105</f>
        <v/>
      </c>
      <c r="AN105" s="54">
        <f>AM105+AB105</f>
        <v/>
      </c>
      <c r="AO105" s="54">
        <f>AL105+AE105+AF105+AG105+AH105+AI105+AB105</f>
        <v/>
      </c>
      <c r="AP105" s="54">
        <f>IF(State!$B$46=1,AO105,AN105)</f>
        <v/>
      </c>
      <c r="AQ105" s="54" t="n">
        <v>581.1</v>
      </c>
      <c r="AR105" s="54" t="n">
        <v>-979.3</v>
      </c>
      <c r="AS105" s="54" t="n">
        <v>0</v>
      </c>
      <c r="AT105" s="54" t="n">
        <v>254.5</v>
      </c>
      <c r="AU105" s="54" t="n">
        <v>310.3</v>
      </c>
      <c r="AX105" s="54" t="n">
        <v>30.3</v>
      </c>
      <c r="AY105" s="54" t="n">
        <v>11.7</v>
      </c>
      <c r="AZ105" s="54" t="n">
        <v>15.6</v>
      </c>
      <c r="BA105" s="54" t="n">
        <v>6.6</v>
      </c>
      <c r="BB105" s="54" t="n">
        <v>190.2</v>
      </c>
      <c r="BC105" s="54">
        <f>AQ105+AR105+AS105+AT105+AU105</f>
        <v/>
      </c>
      <c r="BD105" s="54">
        <f>AQ105</f>
        <v/>
      </c>
      <c r="BE105" s="54">
        <f>AQ105+AR105</f>
        <v/>
      </c>
      <c r="BF105" s="54">
        <f>BE105+AS105</f>
        <v/>
      </c>
      <c r="BG105" s="54">
        <f>BF105+AT105</f>
        <v/>
      </c>
      <c r="BH105" s="54">
        <f>BG105+AU105</f>
        <v/>
      </c>
      <c r="BI105" s="54">
        <f>BC105</f>
        <v/>
      </c>
      <c r="BJ105" s="54">
        <f>IF(State!$B$14=1,CHOOSE(State!$B$43+1,D105,BD105,BE105,BF105,BG105,BH105,BI105),BK105)</f>
        <v/>
      </c>
      <c r="BK105" s="54">
        <f>CHOOSE(State!$B$43+1,D105,AJ105,AK105,AL105,AM105,AN105,AO105)</f>
        <v/>
      </c>
      <c r="BL105" s="54">
        <f>IF(State!$B$44=1,H105,0)</f>
        <v/>
      </c>
      <c r="BQ105" s="54">
        <f>D105-AP105</f>
        <v/>
      </c>
      <c r="BR105" s="54">
        <f>BQ105^2</f>
        <v/>
      </c>
      <c r="BS105" s="54">
        <f>(BQ105-BQ104)^2</f>
        <v/>
      </c>
      <c r="BT105" s="54">
        <f>IF(D105&gt;2000,ABS(BQ105)/D105,"")</f>
        <v/>
      </c>
      <c r="BU105" s="54" t="n">
        <v>88</v>
      </c>
      <c r="BV105" s="74" t="n">
        <v>0.5528</v>
      </c>
      <c r="BW105" s="54" t="n">
        <v>182.7</v>
      </c>
    </row>
    <row r="106">
      <c r="A106" s="73" t="n">
        <v>45634</v>
      </c>
      <c r="B106" s="53">
        <f>YEAR(A106)</f>
        <v/>
      </c>
      <c r="C106" s="53">
        <f>MONTH(A106)</f>
        <v/>
      </c>
      <c r="D106" s="54" t="n">
        <v>183</v>
      </c>
      <c r="E106" s="55" t="n">
        <v>0.664</v>
      </c>
      <c r="F106" s="55" t="n">
        <v>1.0282</v>
      </c>
      <c r="G106" s="55" t="n">
        <v>0</v>
      </c>
      <c r="H106" s="54" t="n">
        <v>0.36</v>
      </c>
      <c r="I106" s="54">
        <f>H106+State!$B$6/100*I105</f>
        <v/>
      </c>
      <c r="J106" s="54" t="n">
        <v>37.3</v>
      </c>
      <c r="K106" s="54" t="n">
        <v>45.77</v>
      </c>
      <c r="N106" s="54" t="n">
        <v>0</v>
      </c>
      <c r="O106" s="54" t="n">
        <v>0</v>
      </c>
      <c r="P106" s="54" t="n">
        <v>0</v>
      </c>
      <c r="Q106" s="54" t="n">
        <v>0</v>
      </c>
      <c r="R106" s="54" t="n">
        <v>0.18</v>
      </c>
      <c r="S106" s="54">
        <f>N106+Answers!$C$16/100*S105</f>
        <v/>
      </c>
      <c r="T106" s="54">
        <f>O106+Answers!$C$17/100*T105</f>
        <v/>
      </c>
      <c r="U106" s="54">
        <f>P106+Answers!$C$18/100*U105</f>
        <v/>
      </c>
      <c r="V106" s="54">
        <f>Q106+Answers!$C$19/100*V105</f>
        <v/>
      </c>
      <c r="W106" s="54">
        <f>R106+Answers!$C$20/100*W105</f>
        <v/>
      </c>
      <c r="X106" s="54">
        <f>State!$B$2*E106</f>
        <v/>
      </c>
      <c r="Y106" s="54">
        <f>-State!$B$3*F106</f>
        <v/>
      </c>
      <c r="Z106" s="54">
        <f>State!$B$4*G106</f>
        <v/>
      </c>
      <c r="AA106" s="54">
        <f>State!$B$5*(1-State!$B$6/100)*I106</f>
        <v/>
      </c>
      <c r="AB106" s="54">
        <f>State!$B$7*K106</f>
        <v/>
      </c>
      <c r="AE106" s="54">
        <f>State!$B$8*(1-Answers!$C$16/100)*S106</f>
        <v/>
      </c>
      <c r="AF106" s="54">
        <f>State!$B$9*(1-Answers!$C$17/100)*T106</f>
        <v/>
      </c>
      <c r="AG106" s="54">
        <f>State!$B$10*(1-Answers!$C$18/100)*U106</f>
        <v/>
      </c>
      <c r="AH106" s="54">
        <f>State!$B$11*(1-Answers!$C$19/100)*V106</f>
        <v/>
      </c>
      <c r="AI106" s="54">
        <f>State!$B$12*(1-Answers!$C$20/100)*W106</f>
        <v/>
      </c>
      <c r="AJ106" s="54">
        <f>X106</f>
        <v/>
      </c>
      <c r="AK106" s="54">
        <f>X106+Y106</f>
        <v/>
      </c>
      <c r="AL106" s="54">
        <f>AK106+Z106</f>
        <v/>
      </c>
      <c r="AM106" s="54">
        <f>AL106+AA106</f>
        <v/>
      </c>
      <c r="AN106" s="54">
        <f>AM106+AB106</f>
        <v/>
      </c>
      <c r="AO106" s="54">
        <f>AL106+AE106+AF106+AG106+AH106+AI106+AB106</f>
        <v/>
      </c>
      <c r="AP106" s="54">
        <f>IF(State!$B$46=1,AO106,AN106)</f>
        <v/>
      </c>
      <c r="AQ106" s="54" t="n">
        <v>581.4</v>
      </c>
      <c r="AR106" s="54" t="n">
        <v>-979.3</v>
      </c>
      <c r="AS106" s="54" t="n">
        <v>0</v>
      </c>
      <c r="AT106" s="54" t="n">
        <v>225</v>
      </c>
      <c r="AU106" s="54" t="n">
        <v>59.9</v>
      </c>
      <c r="AX106" s="54" t="n">
        <v>25.8</v>
      </c>
      <c r="AY106" s="54" t="n">
        <v>10</v>
      </c>
      <c r="AZ106" s="54" t="n">
        <v>13.3</v>
      </c>
      <c r="BA106" s="54" t="n">
        <v>5.6</v>
      </c>
      <c r="BB106" s="54" t="n">
        <v>170.3</v>
      </c>
      <c r="BC106" s="54">
        <f>AQ106+AR106+AS106+AT106+AU106</f>
        <v/>
      </c>
      <c r="BD106" s="54">
        <f>AQ106</f>
        <v/>
      </c>
      <c r="BE106" s="54">
        <f>AQ106+AR106</f>
        <v/>
      </c>
      <c r="BF106" s="54">
        <f>BE106+AS106</f>
        <v/>
      </c>
      <c r="BG106" s="54">
        <f>BF106+AT106</f>
        <v/>
      </c>
      <c r="BH106" s="54">
        <f>BG106+AU106</f>
        <v/>
      </c>
      <c r="BI106" s="54">
        <f>BC106</f>
        <v/>
      </c>
      <c r="BJ106" s="54">
        <f>IF(State!$B$14=1,CHOOSE(State!$B$43+1,D106,BD106,BE106,BF106,BG106,BH106,BI106),BK106)</f>
        <v/>
      </c>
      <c r="BK106" s="54">
        <f>CHOOSE(State!$B$43+1,D106,AJ106,AK106,AL106,AM106,AN106,AO106)</f>
        <v/>
      </c>
      <c r="BL106" s="54">
        <f>IF(State!$B$44=1,H106,0)</f>
        <v/>
      </c>
      <c r="BQ106" s="54">
        <f>D106-AP106</f>
        <v/>
      </c>
      <c r="BR106" s="54">
        <f>BQ106^2</f>
        <v/>
      </c>
      <c r="BS106" s="54">
        <f>(BQ106-BQ105)^2</f>
        <v/>
      </c>
      <c r="BT106" s="54">
        <f>IF(D106&gt;2000,ABS(BQ106)/D106,"")</f>
        <v/>
      </c>
      <c r="BU106" s="54" t="n">
        <v>123</v>
      </c>
      <c r="BV106" s="74" t="n">
        <v>0.5528</v>
      </c>
      <c r="BW106" s="54" t="n">
        <v>106.9</v>
      </c>
    </row>
    <row r="107">
      <c r="A107" s="73" t="n">
        <v>45641</v>
      </c>
      <c r="B107" s="53">
        <f>YEAR(A107)</f>
        <v/>
      </c>
      <c r="C107" s="53">
        <f>MONTH(A107)</f>
        <v/>
      </c>
      <c r="D107" s="54" t="n">
        <v>150</v>
      </c>
      <c r="E107" s="55" t="n">
        <v>0.6983</v>
      </c>
      <c r="F107" s="55" t="n">
        <v>1.0282</v>
      </c>
      <c r="G107" s="55" t="n">
        <v>0</v>
      </c>
      <c r="H107" s="54" t="n">
        <v>0.38</v>
      </c>
      <c r="I107" s="54">
        <f>H107+State!$B$6/100*I106</f>
        <v/>
      </c>
      <c r="J107" s="54" t="n">
        <v>46.83</v>
      </c>
      <c r="K107" s="54" t="n">
        <v>55.52</v>
      </c>
      <c r="N107" s="54" t="n">
        <v>0</v>
      </c>
      <c r="O107" s="54" t="n">
        <v>0</v>
      </c>
      <c r="P107" s="54" t="n">
        <v>0</v>
      </c>
      <c r="Q107" s="54" t="n">
        <v>0</v>
      </c>
      <c r="R107" s="54" t="n">
        <v>0.23</v>
      </c>
      <c r="S107" s="54">
        <f>N107+Answers!$C$16/100*S106</f>
        <v/>
      </c>
      <c r="T107" s="54">
        <f>O107+Answers!$C$17/100*T106</f>
        <v/>
      </c>
      <c r="U107" s="54">
        <f>P107+Answers!$C$18/100*U106</f>
        <v/>
      </c>
      <c r="V107" s="54">
        <f>Q107+Answers!$C$19/100*V106</f>
        <v/>
      </c>
      <c r="W107" s="54">
        <f>R107+Answers!$C$20/100*W106</f>
        <v/>
      </c>
      <c r="X107" s="54">
        <f>State!$B$2*E107</f>
        <v/>
      </c>
      <c r="Y107" s="54">
        <f>-State!$B$3*F107</f>
        <v/>
      </c>
      <c r="Z107" s="54">
        <f>State!$B$4*G107</f>
        <v/>
      </c>
      <c r="AA107" s="54">
        <f>State!$B$5*(1-State!$B$6/100)*I107</f>
        <v/>
      </c>
      <c r="AB107" s="54">
        <f>State!$B$7*K107</f>
        <v/>
      </c>
      <c r="AE107" s="54">
        <f>State!$B$8*(1-Answers!$C$16/100)*S107</f>
        <v/>
      </c>
      <c r="AF107" s="54">
        <f>State!$B$9*(1-Answers!$C$17/100)*T107</f>
        <v/>
      </c>
      <c r="AG107" s="54">
        <f>State!$B$10*(1-Answers!$C$18/100)*U107</f>
        <v/>
      </c>
      <c r="AH107" s="54">
        <f>State!$B$11*(1-Answers!$C$19/100)*V107</f>
        <v/>
      </c>
      <c r="AI107" s="54">
        <f>State!$B$12*(1-Answers!$C$20/100)*W107</f>
        <v/>
      </c>
      <c r="AJ107" s="54">
        <f>X107</f>
        <v/>
      </c>
      <c r="AK107" s="54">
        <f>X107+Y107</f>
        <v/>
      </c>
      <c r="AL107" s="54">
        <f>AK107+Z107</f>
        <v/>
      </c>
      <c r="AM107" s="54">
        <f>AL107+AA107</f>
        <v/>
      </c>
      <c r="AN107" s="54">
        <f>AM107+AB107</f>
        <v/>
      </c>
      <c r="AO107" s="54">
        <f>AL107+AE107+AF107+AG107+AH107+AI107+AB107</f>
        <v/>
      </c>
      <c r="AP107" s="54">
        <f>IF(State!$B$46=1,AO107,AN107)</f>
        <v/>
      </c>
      <c r="AQ107" s="54" t="n">
        <v>611.4</v>
      </c>
      <c r="AR107" s="54" t="n">
        <v>-979.3</v>
      </c>
      <c r="AS107" s="54" t="n">
        <v>0</v>
      </c>
      <c r="AT107" s="54" t="n">
        <v>200.8</v>
      </c>
      <c r="AU107" s="54" t="n">
        <v>91.7</v>
      </c>
      <c r="AX107" s="54" t="n">
        <v>21.9</v>
      </c>
      <c r="AY107" s="54" t="n">
        <v>8.5</v>
      </c>
      <c r="AZ107" s="54" t="n">
        <v>11.3</v>
      </c>
      <c r="BA107" s="54" t="n">
        <v>4.8</v>
      </c>
      <c r="BB107" s="54" t="n">
        <v>154.3</v>
      </c>
      <c r="BC107" s="54">
        <f>AQ107+AR107+AS107+AT107+AU107</f>
        <v/>
      </c>
      <c r="BD107" s="54">
        <f>AQ107</f>
        <v/>
      </c>
      <c r="BE107" s="54">
        <f>AQ107+AR107</f>
        <v/>
      </c>
      <c r="BF107" s="54">
        <f>BE107+AS107</f>
        <v/>
      </c>
      <c r="BG107" s="54">
        <f>BF107+AT107</f>
        <v/>
      </c>
      <c r="BH107" s="54">
        <f>BG107+AU107</f>
        <v/>
      </c>
      <c r="BI107" s="54">
        <f>BC107</f>
        <v/>
      </c>
      <c r="BJ107" s="54">
        <f>IF(State!$B$14=1,CHOOSE(State!$B$43+1,D107,BD107,BE107,BF107,BG107,BH107,BI107),BK107)</f>
        <v/>
      </c>
      <c r="BK107" s="54">
        <f>CHOOSE(State!$B$43+1,D107,AJ107,AK107,AL107,AM107,AN107,AO107)</f>
        <v/>
      </c>
      <c r="BL107" s="54">
        <f>IF(State!$B$44=1,H107,0)</f>
        <v/>
      </c>
      <c r="BQ107" s="54">
        <f>D107-AP107</f>
        <v/>
      </c>
      <c r="BR107" s="54">
        <f>BQ107^2</f>
        <v/>
      </c>
      <c r="BS107" s="54">
        <f>(BQ107-BQ106)^2</f>
        <v/>
      </c>
      <c r="BT107" s="54">
        <f>IF(D107&gt;2000,ABS(BQ107)/D107,"")</f>
        <v/>
      </c>
      <c r="BU107" s="54" t="n">
        <v>129</v>
      </c>
      <c r="BV107" s="74" t="n">
        <v>0.5528</v>
      </c>
      <c r="BW107" s="54" t="n">
        <v>120.4</v>
      </c>
    </row>
    <row r="108">
      <c r="A108" s="73" t="n">
        <v>45648</v>
      </c>
      <c r="B108" s="53">
        <f>YEAR(A108)</f>
        <v/>
      </c>
      <c r="C108" s="53">
        <f>MONTH(A108)</f>
        <v/>
      </c>
      <c r="D108" s="54" t="n">
        <v>360</v>
      </c>
      <c r="E108" s="55" t="n">
        <v>0.6587</v>
      </c>
      <c r="F108" s="55" t="n">
        <v>1.0282</v>
      </c>
      <c r="G108" s="55" t="n">
        <v>0</v>
      </c>
      <c r="H108" s="54" t="n">
        <v>2.1</v>
      </c>
      <c r="I108" s="54">
        <f>H108+State!$B$6/100*I107</f>
        <v/>
      </c>
      <c r="J108" s="54" t="n">
        <v>44.86</v>
      </c>
      <c r="K108" s="54" t="n">
        <v>53.85</v>
      </c>
      <c r="N108" s="54" t="n">
        <v>0</v>
      </c>
      <c r="O108" s="54" t="n">
        <v>0</v>
      </c>
      <c r="P108" s="54" t="n">
        <v>0</v>
      </c>
      <c r="Q108" s="54" t="n">
        <v>0</v>
      </c>
      <c r="R108" s="54" t="n">
        <v>1.74</v>
      </c>
      <c r="S108" s="54">
        <f>N108+Answers!$C$16/100*S107</f>
        <v/>
      </c>
      <c r="T108" s="54">
        <f>O108+Answers!$C$17/100*T107</f>
        <v/>
      </c>
      <c r="U108" s="54">
        <f>P108+Answers!$C$18/100*U107</f>
        <v/>
      </c>
      <c r="V108" s="54">
        <f>Q108+Answers!$C$19/100*V107</f>
        <v/>
      </c>
      <c r="W108" s="54">
        <f>R108+Answers!$C$20/100*W107</f>
        <v/>
      </c>
      <c r="X108" s="54">
        <f>State!$B$2*E108</f>
        <v/>
      </c>
      <c r="Y108" s="54">
        <f>-State!$B$3*F108</f>
        <v/>
      </c>
      <c r="Z108" s="54">
        <f>State!$B$4*G108</f>
        <v/>
      </c>
      <c r="AA108" s="54">
        <f>State!$B$5*(1-State!$B$6/100)*I108</f>
        <v/>
      </c>
      <c r="AB108" s="54">
        <f>State!$B$7*K108</f>
        <v/>
      </c>
      <c r="AE108" s="54">
        <f>State!$B$8*(1-Answers!$C$16/100)*S108</f>
        <v/>
      </c>
      <c r="AF108" s="54">
        <f>State!$B$9*(1-Answers!$C$17/100)*T108</f>
        <v/>
      </c>
      <c r="AG108" s="54">
        <f>State!$B$10*(1-Answers!$C$18/100)*U108</f>
        <v/>
      </c>
      <c r="AH108" s="54">
        <f>State!$B$11*(1-Answers!$C$19/100)*V108</f>
        <v/>
      </c>
      <c r="AI108" s="54">
        <f>State!$B$12*(1-Answers!$C$20/100)*W108</f>
        <v/>
      </c>
      <c r="AJ108" s="54">
        <f>X108</f>
        <v/>
      </c>
      <c r="AK108" s="54">
        <f>X108+Y108</f>
        <v/>
      </c>
      <c r="AL108" s="54">
        <f>AK108+Z108</f>
        <v/>
      </c>
      <c r="AM108" s="54">
        <f>AL108+AA108</f>
        <v/>
      </c>
      <c r="AN108" s="54">
        <f>AM108+AB108</f>
        <v/>
      </c>
      <c r="AO108" s="54">
        <f>AL108+AE108+AF108+AG108+AH108+AI108+AB108</f>
        <v/>
      </c>
      <c r="AP108" s="54">
        <f>IF(State!$B$46=1,AO108,AN108)</f>
        <v/>
      </c>
      <c r="AQ108" s="54" t="n">
        <v>576.7</v>
      </c>
      <c r="AR108" s="54" t="n">
        <v>-979.3</v>
      </c>
      <c r="AS108" s="54" t="n">
        <v>0</v>
      </c>
      <c r="AT108" s="54" t="n">
        <v>188</v>
      </c>
      <c r="AU108" s="54" t="n">
        <v>89.7</v>
      </c>
      <c r="AX108" s="54" t="n">
        <v>18.6</v>
      </c>
      <c r="AY108" s="54" t="n">
        <v>7.2</v>
      </c>
      <c r="AZ108" s="54" t="n">
        <v>9.6</v>
      </c>
      <c r="BA108" s="54" t="n">
        <v>4.1</v>
      </c>
      <c r="BB108" s="54" t="n">
        <v>148.5</v>
      </c>
      <c r="BC108" s="54">
        <f>AQ108+AR108+AS108+AT108+AU108</f>
        <v/>
      </c>
      <c r="BD108" s="54">
        <f>AQ108</f>
        <v/>
      </c>
      <c r="BE108" s="54">
        <f>AQ108+AR108</f>
        <v/>
      </c>
      <c r="BF108" s="54">
        <f>BE108+AS108</f>
        <v/>
      </c>
      <c r="BG108" s="54">
        <f>BF108+AT108</f>
        <v/>
      </c>
      <c r="BH108" s="54">
        <f>BG108+AU108</f>
        <v/>
      </c>
      <c r="BI108" s="54">
        <f>BC108</f>
        <v/>
      </c>
      <c r="BJ108" s="54">
        <f>IF(State!$B$14=1,CHOOSE(State!$B$43+1,D108,BD108,BE108,BF108,BG108,BH108,BI108),BK108)</f>
        <v/>
      </c>
      <c r="BK108" s="54">
        <f>CHOOSE(State!$B$43+1,D108,AJ108,AK108,AL108,AM108,AN108,AO108)</f>
        <v/>
      </c>
      <c r="BL108" s="54">
        <f>IF(State!$B$44=1,H108,0)</f>
        <v/>
      </c>
      <c r="BQ108" s="54">
        <f>D108-AP108</f>
        <v/>
      </c>
      <c r="BR108" s="54">
        <f>BQ108^2</f>
        <v/>
      </c>
      <c r="BS108" s="54">
        <f>(BQ108-BQ107)^2</f>
        <v/>
      </c>
      <c r="BT108" s="54">
        <f>IF(D108&gt;2000,ABS(BQ108)/D108,"")</f>
        <v/>
      </c>
      <c r="BU108" s="54" t="n">
        <v>126</v>
      </c>
      <c r="BV108" s="74" t="n">
        <v>0.5528</v>
      </c>
      <c r="BW108" s="54" t="n">
        <v>222.1</v>
      </c>
    </row>
    <row r="109">
      <c r="A109" s="73" t="n">
        <v>45655</v>
      </c>
      <c r="B109" s="53">
        <f>YEAR(A109)</f>
        <v/>
      </c>
      <c r="C109" s="53">
        <f>MONTH(A109)</f>
        <v/>
      </c>
      <c r="D109" s="54" t="n">
        <v>1570</v>
      </c>
      <c r="E109" s="55" t="n">
        <v>0.6508</v>
      </c>
      <c r="F109" s="55" t="n">
        <v>0.1198</v>
      </c>
      <c r="G109" s="55" t="n">
        <v>0.7291</v>
      </c>
      <c r="H109" s="54" t="n">
        <v>9.789999999999999</v>
      </c>
      <c r="I109" s="54">
        <f>H109+State!$B$6/100*I108</f>
        <v/>
      </c>
      <c r="J109" s="54" t="n">
        <v>38.09</v>
      </c>
      <c r="K109" s="54" t="n">
        <v>42.47</v>
      </c>
      <c r="N109" s="54" t="n">
        <v>0</v>
      </c>
      <c r="O109" s="54" t="n">
        <v>0</v>
      </c>
      <c r="P109" s="54" t="n">
        <v>0</v>
      </c>
      <c r="Q109" s="54" t="n">
        <v>0</v>
      </c>
      <c r="R109" s="54" t="n">
        <v>8.220000000000001</v>
      </c>
      <c r="S109" s="54">
        <f>N109+Answers!$C$16/100*S108</f>
        <v/>
      </c>
      <c r="T109" s="54">
        <f>O109+Answers!$C$17/100*T108</f>
        <v/>
      </c>
      <c r="U109" s="54">
        <f>P109+Answers!$C$18/100*U108</f>
        <v/>
      </c>
      <c r="V109" s="54">
        <f>Q109+Answers!$C$19/100*V108</f>
        <v/>
      </c>
      <c r="W109" s="54">
        <f>R109+Answers!$C$20/100*W108</f>
        <v/>
      </c>
      <c r="X109" s="54">
        <f>State!$B$2*E109</f>
        <v/>
      </c>
      <c r="Y109" s="54">
        <f>-State!$B$3*F109</f>
        <v/>
      </c>
      <c r="Z109" s="54">
        <f>State!$B$4*G109</f>
        <v/>
      </c>
      <c r="AA109" s="54">
        <f>State!$B$5*(1-State!$B$6/100)*I109</f>
        <v/>
      </c>
      <c r="AB109" s="54">
        <f>State!$B$7*K109</f>
        <v/>
      </c>
      <c r="AE109" s="54">
        <f>State!$B$8*(1-Answers!$C$16/100)*S109</f>
        <v/>
      </c>
      <c r="AF109" s="54">
        <f>State!$B$9*(1-Answers!$C$17/100)*T109</f>
        <v/>
      </c>
      <c r="AG109" s="54">
        <f>State!$B$10*(1-Answers!$C$18/100)*U109</f>
        <v/>
      </c>
      <c r="AH109" s="54">
        <f>State!$B$11*(1-Answers!$C$19/100)*V109</f>
        <v/>
      </c>
      <c r="AI109" s="54">
        <f>State!$B$12*(1-Answers!$C$20/100)*W109</f>
        <v/>
      </c>
      <c r="AJ109" s="54">
        <f>X109</f>
        <v/>
      </c>
      <c r="AK109" s="54">
        <f>X109+Y109</f>
        <v/>
      </c>
      <c r="AL109" s="54">
        <f>AK109+Z109</f>
        <v/>
      </c>
      <c r="AM109" s="54">
        <f>AL109+AA109</f>
        <v/>
      </c>
      <c r="AN109" s="54">
        <f>AM109+AB109</f>
        <v/>
      </c>
      <c r="AO109" s="54">
        <f>AL109+AE109+AF109+AG109+AH109+AI109+AB109</f>
        <v/>
      </c>
      <c r="AP109" s="54">
        <f>IF(State!$B$46=1,AO109,AN109)</f>
        <v/>
      </c>
      <c r="AQ109" s="54" t="n">
        <v>569.9</v>
      </c>
      <c r="AR109" s="54" t="n">
        <v>-114.1</v>
      </c>
      <c r="AS109" s="54" t="n">
        <v>5539.2</v>
      </c>
      <c r="AT109" s="54" t="n">
        <v>197.5</v>
      </c>
      <c r="AU109" s="54" t="n">
        <v>56.3</v>
      </c>
      <c r="AX109" s="54" t="n">
        <v>15.8</v>
      </c>
      <c r="AY109" s="54" t="n">
        <v>6.1</v>
      </c>
      <c r="AZ109" s="54" t="n">
        <v>8.199999999999999</v>
      </c>
      <c r="BA109" s="54" t="n">
        <v>3.5</v>
      </c>
      <c r="BB109" s="54" t="n">
        <v>163.9</v>
      </c>
      <c r="BC109" s="54">
        <f>AQ109+AR109+AS109+AT109+AU109</f>
        <v/>
      </c>
      <c r="BD109" s="54">
        <f>AQ109</f>
        <v/>
      </c>
      <c r="BE109" s="54">
        <f>AQ109+AR109</f>
        <v/>
      </c>
      <c r="BF109" s="54">
        <f>BE109+AS109</f>
        <v/>
      </c>
      <c r="BG109" s="54">
        <f>BF109+AT109</f>
        <v/>
      </c>
      <c r="BH109" s="54">
        <f>BG109+AU109</f>
        <v/>
      </c>
      <c r="BI109" s="54">
        <f>BC109</f>
        <v/>
      </c>
      <c r="BJ109" s="54">
        <f>IF(State!$B$14=1,CHOOSE(State!$B$43+1,D109,BD109,BE109,BF109,BG109,BH109,BI109),BK109)</f>
        <v/>
      </c>
      <c r="BK109" s="54">
        <f>CHOOSE(State!$B$43+1,D109,AJ109,AK109,AL109,AM109,AN109,AO109)</f>
        <v/>
      </c>
      <c r="BL109" s="54">
        <f>IF(State!$B$44=1,H109,0)</f>
        <v/>
      </c>
      <c r="BQ109" s="54">
        <f>D109-AP109</f>
        <v/>
      </c>
      <c r="BR109" s="54">
        <f>BQ109^2</f>
        <v/>
      </c>
      <c r="BS109" s="54">
        <f>(BQ109-BQ108)^2</f>
        <v/>
      </c>
      <c r="BT109" s="54">
        <f>IF(D109&gt;2000,ABS(BQ109)/D109,"")</f>
        <v/>
      </c>
      <c r="BU109" s="54" t="n">
        <v>79</v>
      </c>
      <c r="BV109" s="74" t="n">
        <v>0.5341</v>
      </c>
      <c r="BW109" s="54" t="n">
        <v>131.7</v>
      </c>
    </row>
    <row r="110">
      <c r="A110" s="73" t="n">
        <v>45662</v>
      </c>
      <c r="B110" s="53">
        <f>YEAR(A110)</f>
        <v/>
      </c>
      <c r="C110" s="53">
        <f>MONTH(A110)</f>
        <v/>
      </c>
      <c r="D110" s="54" t="n">
        <v>12614</v>
      </c>
      <c r="E110" s="55" t="n">
        <v>0.643</v>
      </c>
      <c r="F110" s="55" t="n">
        <v>-0.0164</v>
      </c>
      <c r="G110" s="55" t="n">
        <v>0.7291</v>
      </c>
      <c r="H110" s="54" t="n">
        <v>219.09</v>
      </c>
      <c r="I110" s="54">
        <f>H110+State!$B$6/100*I109</f>
        <v/>
      </c>
      <c r="J110" s="54" t="n">
        <v>96.56</v>
      </c>
      <c r="K110" s="54" t="n">
        <v>121.08</v>
      </c>
      <c r="N110" s="54" t="n">
        <v>45.96</v>
      </c>
      <c r="O110" s="54" t="n">
        <v>60.34</v>
      </c>
      <c r="P110" s="54" t="n">
        <v>0</v>
      </c>
      <c r="Q110" s="54" t="n">
        <v>3.38</v>
      </c>
      <c r="R110" s="54" t="n">
        <v>96.79000000000001</v>
      </c>
      <c r="S110" s="54">
        <f>N110+Answers!$C$16/100*S109</f>
        <v/>
      </c>
      <c r="T110" s="54">
        <f>O110+Answers!$C$17/100*T109</f>
        <v/>
      </c>
      <c r="U110" s="54">
        <f>P110+Answers!$C$18/100*U109</f>
        <v/>
      </c>
      <c r="V110" s="54">
        <f>Q110+Answers!$C$19/100*V109</f>
        <v/>
      </c>
      <c r="W110" s="54">
        <f>R110+Answers!$C$20/100*W109</f>
        <v/>
      </c>
      <c r="X110" s="54">
        <f>State!$B$2*E110</f>
        <v/>
      </c>
      <c r="Y110" s="54">
        <f>-State!$B$3*F110</f>
        <v/>
      </c>
      <c r="Z110" s="54">
        <f>State!$B$4*G110</f>
        <v/>
      </c>
      <c r="AA110" s="54">
        <f>State!$B$5*(1-State!$B$6/100)*I110</f>
        <v/>
      </c>
      <c r="AB110" s="54">
        <f>State!$B$7*K110</f>
        <v/>
      </c>
      <c r="AE110" s="54">
        <f>State!$B$8*(1-Answers!$C$16/100)*S110</f>
        <v/>
      </c>
      <c r="AF110" s="54">
        <f>State!$B$9*(1-Answers!$C$17/100)*T110</f>
        <v/>
      </c>
      <c r="AG110" s="54">
        <f>State!$B$10*(1-Answers!$C$18/100)*U110</f>
        <v/>
      </c>
      <c r="AH110" s="54">
        <f>State!$B$11*(1-Answers!$C$19/100)*V110</f>
        <v/>
      </c>
      <c r="AI110" s="54">
        <f>State!$B$12*(1-Answers!$C$20/100)*W110</f>
        <v/>
      </c>
      <c r="AJ110" s="54">
        <f>X110</f>
        <v/>
      </c>
      <c r="AK110" s="54">
        <f>X110+Y110</f>
        <v/>
      </c>
      <c r="AL110" s="54">
        <f>AK110+Z110</f>
        <v/>
      </c>
      <c r="AM110" s="54">
        <f>AL110+AA110</f>
        <v/>
      </c>
      <c r="AN110" s="54">
        <f>AM110+AB110</f>
        <v/>
      </c>
      <c r="AO110" s="54">
        <f>AL110+AE110+AF110+AG110+AH110+AI110+AB110</f>
        <v/>
      </c>
      <c r="AP110" s="54">
        <f>IF(State!$B$46=1,AO110,AN110)</f>
        <v/>
      </c>
      <c r="AQ110" s="54" t="n">
        <v>563</v>
      </c>
      <c r="AR110" s="54" t="n">
        <v>15.6</v>
      </c>
      <c r="AS110" s="54" t="n">
        <v>5539.2</v>
      </c>
      <c r="AT110" s="54" t="n">
        <v>714.8</v>
      </c>
      <c r="AU110" s="54" t="n">
        <v>366.8</v>
      </c>
      <c r="AX110" s="54" t="n">
        <v>134</v>
      </c>
      <c r="AY110" s="54" t="n">
        <v>162.9</v>
      </c>
      <c r="AZ110" s="54" t="n">
        <v>6.9</v>
      </c>
      <c r="BA110" s="54" t="n">
        <v>5.8</v>
      </c>
      <c r="BB110" s="54" t="n">
        <v>405.2</v>
      </c>
      <c r="BC110" s="54">
        <f>AQ110+AR110+AS110+AT110+AU110</f>
        <v/>
      </c>
      <c r="BD110" s="54">
        <f>AQ110</f>
        <v/>
      </c>
      <c r="BE110" s="54">
        <f>AQ110+AR110</f>
        <v/>
      </c>
      <c r="BF110" s="54">
        <f>BE110+AS110</f>
        <v/>
      </c>
      <c r="BG110" s="54">
        <f>BF110+AT110</f>
        <v/>
      </c>
      <c r="BH110" s="54">
        <f>BG110+AU110</f>
        <v/>
      </c>
      <c r="BI110" s="54">
        <f>BC110</f>
        <v/>
      </c>
      <c r="BJ110" s="54">
        <f>IF(State!$B$14=1,CHOOSE(State!$B$43+1,D110,BD110,BE110,BF110,BG110,BH110,BI110),BK110)</f>
        <v/>
      </c>
      <c r="BK110" s="54">
        <f>CHOOSE(State!$B$43+1,D110,AJ110,AK110,AL110,AM110,AN110,AO110)</f>
        <v/>
      </c>
      <c r="BL110" s="54">
        <f>IF(State!$B$44=1,H110,0)</f>
        <v/>
      </c>
      <c r="BQ110" s="54">
        <f>D110-AP110</f>
        <v/>
      </c>
      <c r="BR110" s="54">
        <f>BQ110^2</f>
        <v/>
      </c>
      <c r="BS110" s="54">
        <f>(BQ110-BQ109)^2</f>
        <v/>
      </c>
      <c r="BT110" s="54">
        <f>IF(D110&gt;2000,ABS(BQ110)/D110,"")</f>
        <v/>
      </c>
      <c r="BU110" s="54" t="n">
        <v>133</v>
      </c>
      <c r="BV110" s="74" t="n">
        <v>0.5266</v>
      </c>
      <c r="BW110" s="54" t="n">
        <v>416.5</v>
      </c>
    </row>
    <row r="111">
      <c r="A111" s="73" t="n">
        <v>45669</v>
      </c>
      <c r="B111" s="53">
        <f>YEAR(A111)</f>
        <v/>
      </c>
      <c r="C111" s="53">
        <f>MONTH(A111)</f>
        <v/>
      </c>
      <c r="D111" s="54" t="n">
        <v>12029</v>
      </c>
      <c r="E111" s="55" t="n">
        <v>0.6351</v>
      </c>
      <c r="F111" s="55" t="n">
        <v>-0.0514</v>
      </c>
      <c r="G111" s="55" t="n">
        <v>0.7291</v>
      </c>
      <c r="H111" s="54" t="n">
        <v>398</v>
      </c>
      <c r="I111" s="54">
        <f>H111+State!$B$6/100*I110</f>
        <v/>
      </c>
      <c r="J111" s="54" t="n">
        <v>96.59999999999999</v>
      </c>
      <c r="K111" s="54" t="n">
        <v>696.3200000000001</v>
      </c>
      <c r="N111" s="54" t="n">
        <v>58.74</v>
      </c>
      <c r="O111" s="54" t="n">
        <v>71.33</v>
      </c>
      <c r="P111" s="54" t="n">
        <v>76.06</v>
      </c>
      <c r="Q111" s="54" t="n">
        <v>4.74</v>
      </c>
      <c r="R111" s="54" t="n">
        <v>175.09</v>
      </c>
      <c r="S111" s="54">
        <f>N111+Answers!$C$16/100*S110</f>
        <v/>
      </c>
      <c r="T111" s="54">
        <f>O111+Answers!$C$17/100*T110</f>
        <v/>
      </c>
      <c r="U111" s="54">
        <f>P111+Answers!$C$18/100*U110</f>
        <v/>
      </c>
      <c r="V111" s="54">
        <f>Q111+Answers!$C$19/100*V110</f>
        <v/>
      </c>
      <c r="W111" s="54">
        <f>R111+Answers!$C$20/100*W110</f>
        <v/>
      </c>
      <c r="X111" s="54">
        <f>State!$B$2*E111</f>
        <v/>
      </c>
      <c r="Y111" s="54">
        <f>-State!$B$3*F111</f>
        <v/>
      </c>
      <c r="Z111" s="54">
        <f>State!$B$4*G111</f>
        <v/>
      </c>
      <c r="AA111" s="54">
        <f>State!$B$5*(1-State!$B$6/100)*I111</f>
        <v/>
      </c>
      <c r="AB111" s="54">
        <f>State!$B$7*K111</f>
        <v/>
      </c>
      <c r="AE111" s="54">
        <f>State!$B$8*(1-Answers!$C$16/100)*S111</f>
        <v/>
      </c>
      <c r="AF111" s="54">
        <f>State!$B$9*(1-Answers!$C$17/100)*T111</f>
        <v/>
      </c>
      <c r="AG111" s="54">
        <f>State!$B$10*(1-Answers!$C$18/100)*U111</f>
        <v/>
      </c>
      <c r="AH111" s="54">
        <f>State!$B$11*(1-Answers!$C$19/100)*V111</f>
        <v/>
      </c>
      <c r="AI111" s="54">
        <f>State!$B$12*(1-Answers!$C$20/100)*W111</f>
        <v/>
      </c>
      <c r="AJ111" s="54">
        <f>X111</f>
        <v/>
      </c>
      <c r="AK111" s="54">
        <f>X111+Y111</f>
        <v/>
      </c>
      <c r="AL111" s="54">
        <f>AK111+Z111</f>
        <v/>
      </c>
      <c r="AM111" s="54">
        <f>AL111+AA111</f>
        <v/>
      </c>
      <c r="AN111" s="54">
        <f>AM111+AB111</f>
        <v/>
      </c>
      <c r="AO111" s="54">
        <f>AL111+AE111+AF111+AG111+AH111+AI111+AB111</f>
        <v/>
      </c>
      <c r="AP111" s="54">
        <f>IF(State!$B$46=1,AO111,AN111)</f>
        <v/>
      </c>
      <c r="AQ111" s="54" t="n">
        <v>556.1</v>
      </c>
      <c r="AR111" s="54" t="n">
        <v>49</v>
      </c>
      <c r="AS111" s="54" t="n">
        <v>5539.2</v>
      </c>
      <c r="AT111" s="54" t="n">
        <v>1616.8</v>
      </c>
      <c r="AU111" s="54" t="n">
        <v>1434.4</v>
      </c>
      <c r="AX111" s="54" t="n">
        <v>267.9</v>
      </c>
      <c r="AY111" s="54" t="n">
        <v>324.9</v>
      </c>
      <c r="AZ111" s="54" t="n">
        <v>204.5</v>
      </c>
      <c r="BA111" s="54" t="n">
        <v>8.9</v>
      </c>
      <c r="BB111" s="54" t="n">
        <v>810.7</v>
      </c>
      <c r="BC111" s="54">
        <f>AQ111+AR111+AS111+AT111+AU111</f>
        <v/>
      </c>
      <c r="BD111" s="54">
        <f>AQ111</f>
        <v/>
      </c>
      <c r="BE111" s="54">
        <f>AQ111+AR111</f>
        <v/>
      </c>
      <c r="BF111" s="54">
        <f>BE111+AS111</f>
        <v/>
      </c>
      <c r="BG111" s="54">
        <f>BF111+AT111</f>
        <v/>
      </c>
      <c r="BH111" s="54">
        <f>BG111+AU111</f>
        <v/>
      </c>
      <c r="BI111" s="54">
        <f>BC111</f>
        <v/>
      </c>
      <c r="BJ111" s="54">
        <f>IF(State!$B$14=1,CHOOSE(State!$B$43+1,D111,BD111,BE111,BF111,BG111,BH111,BI111),BK111)</f>
        <v/>
      </c>
      <c r="BK111" s="54">
        <f>CHOOSE(State!$B$43+1,D111,AJ111,AK111,AL111,AM111,AN111,AO111)</f>
        <v/>
      </c>
      <c r="BL111" s="54">
        <f>IF(State!$B$44=1,H111,0)</f>
        <v/>
      </c>
      <c r="BQ111" s="54">
        <f>D111-AP111</f>
        <v/>
      </c>
      <c r="BR111" s="54">
        <f>BQ111^2</f>
        <v/>
      </c>
      <c r="BS111" s="54">
        <f>(BQ111-BQ110)^2</f>
        <v/>
      </c>
      <c r="BT111" s="54">
        <f>IF(D111&gt;2000,ABS(BQ111)/D111,"")</f>
        <v/>
      </c>
      <c r="BU111" s="54" t="n">
        <v>181</v>
      </c>
      <c r="BV111" s="74" t="n">
        <v>0.5266</v>
      </c>
      <c r="BW111" s="54" t="n">
        <v>1548.1</v>
      </c>
    </row>
    <row r="112">
      <c r="A112" s="73" t="n">
        <v>45676</v>
      </c>
      <c r="B112" s="53">
        <f>YEAR(A112)</f>
        <v/>
      </c>
      <c r="C112" s="53">
        <f>MONTH(A112)</f>
        <v/>
      </c>
      <c r="D112" s="54" t="n">
        <v>11971</v>
      </c>
      <c r="E112" s="55" t="n">
        <v>0.631</v>
      </c>
      <c r="F112" s="55" t="n">
        <v>0.0086</v>
      </c>
      <c r="G112" s="55" t="n">
        <v>0.7291</v>
      </c>
      <c r="H112" s="54" t="n">
        <v>427.63</v>
      </c>
      <c r="I112" s="54">
        <f>H112+State!$B$6/100*I111</f>
        <v/>
      </c>
      <c r="J112" s="54" t="n">
        <v>112.31</v>
      </c>
      <c r="K112" s="54" t="n">
        <v>1062.74</v>
      </c>
      <c r="N112" s="54" t="n">
        <v>71.77</v>
      </c>
      <c r="O112" s="54" t="n">
        <v>52.5</v>
      </c>
      <c r="P112" s="54" t="n">
        <v>70.87</v>
      </c>
      <c r="Q112" s="54" t="n">
        <v>4.74</v>
      </c>
      <c r="R112" s="54" t="n">
        <v>215.78</v>
      </c>
      <c r="S112" s="54">
        <f>N112+Answers!$C$16/100*S111</f>
        <v/>
      </c>
      <c r="T112" s="54">
        <f>O112+Answers!$C$17/100*T111</f>
        <v/>
      </c>
      <c r="U112" s="54">
        <f>P112+Answers!$C$18/100*U111</f>
        <v/>
      </c>
      <c r="V112" s="54">
        <f>Q112+Answers!$C$19/100*V111</f>
        <v/>
      </c>
      <c r="W112" s="54">
        <f>R112+Answers!$C$20/100*W111</f>
        <v/>
      </c>
      <c r="X112" s="54">
        <f>State!$B$2*E112</f>
        <v/>
      </c>
      <c r="Y112" s="54">
        <f>-State!$B$3*F112</f>
        <v/>
      </c>
      <c r="Z112" s="54">
        <f>State!$B$4*G112</f>
        <v/>
      </c>
      <c r="AA112" s="54">
        <f>State!$B$5*(1-State!$B$6/100)*I112</f>
        <v/>
      </c>
      <c r="AB112" s="54">
        <f>State!$B$7*K112</f>
        <v/>
      </c>
      <c r="AE112" s="54">
        <f>State!$B$8*(1-Answers!$C$16/100)*S112</f>
        <v/>
      </c>
      <c r="AF112" s="54">
        <f>State!$B$9*(1-Answers!$C$17/100)*T112</f>
        <v/>
      </c>
      <c r="AG112" s="54">
        <f>State!$B$10*(1-Answers!$C$18/100)*U112</f>
        <v/>
      </c>
      <c r="AH112" s="54">
        <f>State!$B$11*(1-Answers!$C$19/100)*V112</f>
        <v/>
      </c>
      <c r="AI112" s="54">
        <f>State!$B$12*(1-Answers!$C$20/100)*W112</f>
        <v/>
      </c>
      <c r="AJ112" s="54">
        <f>X112</f>
        <v/>
      </c>
      <c r="AK112" s="54">
        <f>X112+Y112</f>
        <v/>
      </c>
      <c r="AL112" s="54">
        <f>AK112+Z112</f>
        <v/>
      </c>
      <c r="AM112" s="54">
        <f>AL112+AA112</f>
        <v/>
      </c>
      <c r="AN112" s="54">
        <f>AM112+AB112</f>
        <v/>
      </c>
      <c r="AO112" s="54">
        <f>AL112+AE112+AF112+AG112+AH112+AI112+AB112</f>
        <v/>
      </c>
      <c r="AP112" s="54">
        <f>IF(State!$B$46=1,AO112,AN112)</f>
        <v/>
      </c>
      <c r="AQ112" s="54" t="n">
        <v>552.6</v>
      </c>
      <c r="AR112" s="54" t="n">
        <v>-8.199999999999999</v>
      </c>
      <c r="AS112" s="54" t="n">
        <v>5539.2</v>
      </c>
      <c r="AT112" s="54" t="n">
        <v>2456.8</v>
      </c>
      <c r="AU112" s="54" t="n">
        <v>2864.9</v>
      </c>
      <c r="AX112" s="54" t="n">
        <v>415.8</v>
      </c>
      <c r="AY112" s="54" t="n">
        <v>413.3</v>
      </c>
      <c r="AZ112" s="54" t="n">
        <v>358.9</v>
      </c>
      <c r="BA112" s="54" t="n">
        <v>11.6</v>
      </c>
      <c r="BB112" s="54" t="n">
        <v>1257.2</v>
      </c>
      <c r="BC112" s="54">
        <f>AQ112+AR112+AS112+AT112+AU112</f>
        <v/>
      </c>
      <c r="BD112" s="54">
        <f>AQ112</f>
        <v/>
      </c>
      <c r="BE112" s="54">
        <f>AQ112+AR112</f>
        <v/>
      </c>
      <c r="BF112" s="54">
        <f>BE112+AS112</f>
        <v/>
      </c>
      <c r="BG112" s="54">
        <f>BF112+AT112</f>
        <v/>
      </c>
      <c r="BH112" s="54">
        <f>BG112+AU112</f>
        <v/>
      </c>
      <c r="BI112" s="54">
        <f>BC112</f>
        <v/>
      </c>
      <c r="BJ112" s="54">
        <f>IF(State!$B$14=1,CHOOSE(State!$B$43+1,D112,BD112,BE112,BF112,BG112,BH112,BI112),BK112)</f>
        <v/>
      </c>
      <c r="BK112" s="54">
        <f>CHOOSE(State!$B$43+1,D112,AJ112,AK112,AL112,AM112,AN112,AO112)</f>
        <v/>
      </c>
      <c r="BL112" s="54">
        <f>IF(State!$B$44=1,H112,0)</f>
        <v/>
      </c>
      <c r="BQ112" s="54">
        <f>D112-AP112</f>
        <v/>
      </c>
      <c r="BR112" s="54">
        <f>BQ112^2</f>
        <v/>
      </c>
      <c r="BS112" s="54">
        <f>(BQ112-BQ111)^2</f>
        <v/>
      </c>
      <c r="BT112" s="54">
        <f>IF(D112&gt;2000,ABS(BQ112)/D112,"")</f>
        <v/>
      </c>
      <c r="BU112" s="54" t="n">
        <v>204</v>
      </c>
      <c r="BV112" s="74" t="n">
        <v>0.5266</v>
      </c>
      <c r="BW112" s="54" t="n">
        <v>1563.5</v>
      </c>
    </row>
    <row r="113">
      <c r="A113" s="73" t="n">
        <v>45683</v>
      </c>
      <c r="B113" s="53">
        <f>YEAR(A113)</f>
        <v/>
      </c>
      <c r="C113" s="53">
        <f>MONTH(A113)</f>
        <v/>
      </c>
      <c r="D113" s="54" t="n">
        <v>14384</v>
      </c>
      <c r="E113" s="55" t="n">
        <v>0.6247</v>
      </c>
      <c r="F113" s="55" t="n">
        <v>0.0386</v>
      </c>
      <c r="G113" s="55" t="n">
        <v>0.7291</v>
      </c>
      <c r="H113" s="54" t="n">
        <v>390.14</v>
      </c>
      <c r="I113" s="54">
        <f>H113+State!$B$6/100*I112</f>
        <v/>
      </c>
      <c r="J113" s="54" t="n">
        <v>90.16</v>
      </c>
      <c r="K113" s="54" t="n">
        <v>880.89</v>
      </c>
      <c r="N113" s="54" t="n">
        <v>45.24</v>
      </c>
      <c r="O113" s="54" t="n">
        <v>34.56</v>
      </c>
      <c r="P113" s="54" t="n">
        <v>56.88</v>
      </c>
      <c r="Q113" s="54" t="n">
        <v>4.74</v>
      </c>
      <c r="R113" s="54" t="n">
        <v>234.33</v>
      </c>
      <c r="S113" s="54">
        <f>N113+Answers!$C$16/100*S112</f>
        <v/>
      </c>
      <c r="T113" s="54">
        <f>O113+Answers!$C$17/100*T112</f>
        <v/>
      </c>
      <c r="U113" s="54">
        <f>P113+Answers!$C$18/100*U112</f>
        <v/>
      </c>
      <c r="V113" s="54">
        <f>Q113+Answers!$C$19/100*V112</f>
        <v/>
      </c>
      <c r="W113" s="54">
        <f>R113+Answers!$C$20/100*W112</f>
        <v/>
      </c>
      <c r="X113" s="54">
        <f>State!$B$2*E113</f>
        <v/>
      </c>
      <c r="Y113" s="54">
        <f>-State!$B$3*F113</f>
        <v/>
      </c>
      <c r="Z113" s="54">
        <f>State!$B$4*G113</f>
        <v/>
      </c>
      <c r="AA113" s="54">
        <f>State!$B$5*(1-State!$B$6/100)*I113</f>
        <v/>
      </c>
      <c r="AB113" s="54">
        <f>State!$B$7*K113</f>
        <v/>
      </c>
      <c r="AE113" s="54">
        <f>State!$B$8*(1-Answers!$C$16/100)*S113</f>
        <v/>
      </c>
      <c r="AF113" s="54">
        <f>State!$B$9*(1-Answers!$C$17/100)*T113</f>
        <v/>
      </c>
      <c r="AG113" s="54">
        <f>State!$B$10*(1-Answers!$C$18/100)*U113</f>
        <v/>
      </c>
      <c r="AH113" s="54">
        <f>State!$B$11*(1-Answers!$C$19/100)*V113</f>
        <v/>
      </c>
      <c r="AI113" s="54">
        <f>State!$B$12*(1-Answers!$C$20/100)*W113</f>
        <v/>
      </c>
      <c r="AJ113" s="54">
        <f>X113</f>
        <v/>
      </c>
      <c r="AK113" s="54">
        <f>X113+Y113</f>
        <v/>
      </c>
      <c r="AL113" s="54">
        <f>AK113+Z113</f>
        <v/>
      </c>
      <c r="AM113" s="54">
        <f>AL113+AA113</f>
        <v/>
      </c>
      <c r="AN113" s="54">
        <f>AM113+AB113</f>
        <v/>
      </c>
      <c r="AO113" s="54">
        <f>AL113+AE113+AF113+AG113+AH113+AI113+AB113</f>
        <v/>
      </c>
      <c r="AP113" s="54">
        <f>IF(State!$B$46=1,AO113,AN113)</f>
        <v/>
      </c>
      <c r="AQ113" s="54" t="n">
        <v>547</v>
      </c>
      <c r="AR113" s="54" t="n">
        <v>-36.8</v>
      </c>
      <c r="AS113" s="54" t="n">
        <v>5539.2</v>
      </c>
      <c r="AT113" s="54" t="n">
        <v>3066.2</v>
      </c>
      <c r="AU113" s="54" t="n">
        <v>3646.8</v>
      </c>
      <c r="AX113" s="54" t="n">
        <v>472.1</v>
      </c>
      <c r="AY113" s="54" t="n">
        <v>441.6</v>
      </c>
      <c r="AZ113" s="54" t="n">
        <v>453.5</v>
      </c>
      <c r="BA113" s="54" t="n">
        <v>13.8</v>
      </c>
      <c r="BB113" s="54" t="n">
        <v>1685.1</v>
      </c>
      <c r="BC113" s="54">
        <f>AQ113+AR113+AS113+AT113+AU113</f>
        <v/>
      </c>
      <c r="BD113" s="54">
        <f>AQ113</f>
        <v/>
      </c>
      <c r="BE113" s="54">
        <f>AQ113+AR113</f>
        <v/>
      </c>
      <c r="BF113" s="54">
        <f>BE113+AS113</f>
        <v/>
      </c>
      <c r="BG113" s="54">
        <f>BF113+AT113</f>
        <v/>
      </c>
      <c r="BH113" s="54">
        <f>BG113+AU113</f>
        <v/>
      </c>
      <c r="BI113" s="54">
        <f>BC113</f>
        <v/>
      </c>
      <c r="BJ113" s="54">
        <f>IF(State!$B$14=1,CHOOSE(State!$B$43+1,D113,BD113,BE113,BF113,BG113,BH113,BI113),BK113)</f>
        <v/>
      </c>
      <c r="BK113" s="54">
        <f>CHOOSE(State!$B$43+1,D113,AJ113,AK113,AL113,AM113,AN113,AO113)</f>
        <v/>
      </c>
      <c r="BL113" s="54">
        <f>IF(State!$B$44=1,H113,0)</f>
        <v/>
      </c>
      <c r="BQ113" s="54">
        <f>D113-AP113</f>
        <v/>
      </c>
      <c r="BR113" s="54">
        <f>BQ113^2</f>
        <v/>
      </c>
      <c r="BS113" s="54">
        <f>(BQ113-BQ112)^2</f>
        <v/>
      </c>
      <c r="BT113" s="54">
        <f>IF(D113&gt;2000,ABS(BQ113)/D113,"")</f>
        <v/>
      </c>
      <c r="BU113" s="54" t="n">
        <v>147</v>
      </c>
      <c r="BV113" s="74" t="n">
        <v>0.5206</v>
      </c>
      <c r="BW113" s="54" t="n">
        <v>1319</v>
      </c>
    </row>
    <row r="114">
      <c r="A114" s="73" t="n">
        <v>45690</v>
      </c>
      <c r="B114" s="53">
        <f>YEAR(A114)</f>
        <v/>
      </c>
      <c r="C114" s="53">
        <f>MONTH(A114)</f>
        <v/>
      </c>
      <c r="D114" s="54" t="n">
        <v>37351</v>
      </c>
      <c r="E114" s="55" t="n">
        <v>1.6094</v>
      </c>
      <c r="F114" s="55" t="n">
        <v>0.1026</v>
      </c>
      <c r="G114" s="55" t="n">
        <v>3.6665</v>
      </c>
      <c r="H114" s="54" t="n">
        <v>283.87</v>
      </c>
      <c r="I114" s="54">
        <f>H114+State!$B$6/100*I113</f>
        <v/>
      </c>
      <c r="J114" s="54" t="n">
        <v>84.06999999999999</v>
      </c>
      <c r="K114" s="54" t="n">
        <v>631.79</v>
      </c>
      <c r="N114" s="54" t="n">
        <v>43.67</v>
      </c>
      <c r="O114" s="54" t="n">
        <v>24.18</v>
      </c>
      <c r="P114" s="54" t="n">
        <v>46.65</v>
      </c>
      <c r="Q114" s="54" t="n">
        <v>4.38</v>
      </c>
      <c r="R114" s="54" t="n">
        <v>127.65</v>
      </c>
      <c r="S114" s="54">
        <f>N114+Answers!$C$16/100*S113</f>
        <v/>
      </c>
      <c r="T114" s="54">
        <f>O114+Answers!$C$17/100*T113</f>
        <v/>
      </c>
      <c r="U114" s="54">
        <f>P114+Answers!$C$18/100*U113</f>
        <v/>
      </c>
      <c r="V114" s="54">
        <f>Q114+Answers!$C$19/100*V113</f>
        <v/>
      </c>
      <c r="W114" s="54">
        <f>R114+Answers!$C$20/100*W113</f>
        <v/>
      </c>
      <c r="X114" s="54">
        <f>State!$B$2*E114</f>
        <v/>
      </c>
      <c r="Y114" s="54">
        <f>-State!$B$3*F114</f>
        <v/>
      </c>
      <c r="Z114" s="54">
        <f>State!$B$4*G114</f>
        <v/>
      </c>
      <c r="AA114" s="54">
        <f>State!$B$5*(1-State!$B$6/100)*I114</f>
        <v/>
      </c>
      <c r="AB114" s="54">
        <f>State!$B$7*K114</f>
        <v/>
      </c>
      <c r="AE114" s="54">
        <f>State!$B$8*(1-Answers!$C$16/100)*S114</f>
        <v/>
      </c>
      <c r="AF114" s="54">
        <f>State!$B$9*(1-Answers!$C$17/100)*T114</f>
        <v/>
      </c>
      <c r="AG114" s="54">
        <f>State!$B$10*(1-Answers!$C$18/100)*U114</f>
        <v/>
      </c>
      <c r="AH114" s="54">
        <f>State!$B$11*(1-Answers!$C$19/100)*V114</f>
        <v/>
      </c>
      <c r="AI114" s="54">
        <f>State!$B$12*(1-Answers!$C$20/100)*W114</f>
        <v/>
      </c>
      <c r="AJ114" s="54">
        <f>X114</f>
        <v/>
      </c>
      <c r="AK114" s="54">
        <f>X114+Y114</f>
        <v/>
      </c>
      <c r="AL114" s="54">
        <f>AK114+Z114</f>
        <v/>
      </c>
      <c r="AM114" s="54">
        <f>AL114+AA114</f>
        <v/>
      </c>
      <c r="AN114" s="54">
        <f>AM114+AB114</f>
        <v/>
      </c>
      <c r="AO114" s="54">
        <f>AL114+AE114+AF114+AG114+AH114+AI114+AB114</f>
        <v/>
      </c>
      <c r="AP114" s="54">
        <f>IF(State!$B$46=1,AO114,AN114)</f>
        <v/>
      </c>
      <c r="AQ114" s="54" t="n">
        <v>1409.2</v>
      </c>
      <c r="AR114" s="54" t="n">
        <v>-97.7</v>
      </c>
      <c r="AS114" s="54" t="n">
        <v>27856.1</v>
      </c>
      <c r="AT114" s="54" t="n">
        <v>3248.2</v>
      </c>
      <c r="AU114" s="54" t="n">
        <v>2962.2</v>
      </c>
      <c r="AX114" s="54" t="n">
        <v>515.7</v>
      </c>
      <c r="AY114" s="54" t="n">
        <v>438.6</v>
      </c>
      <c r="AZ114" s="54" t="n">
        <v>507.3</v>
      </c>
      <c r="BA114" s="54" t="n">
        <v>15.4</v>
      </c>
      <c r="BB114" s="54" t="n">
        <v>1771.2</v>
      </c>
      <c r="BC114" s="54">
        <f>AQ114+AR114+AS114+AT114+AU114</f>
        <v/>
      </c>
      <c r="BD114" s="54">
        <f>AQ114</f>
        <v/>
      </c>
      <c r="BE114" s="54">
        <f>AQ114+AR114</f>
        <v/>
      </c>
      <c r="BF114" s="54">
        <f>BE114+AS114</f>
        <v/>
      </c>
      <c r="BG114" s="54">
        <f>BF114+AT114</f>
        <v/>
      </c>
      <c r="BH114" s="54">
        <f>BG114+AU114</f>
        <v/>
      </c>
      <c r="BI114" s="54">
        <f>BC114</f>
        <v/>
      </c>
      <c r="BJ114" s="54">
        <f>IF(State!$B$14=1,CHOOSE(State!$B$43+1,D114,BD114,BE114,BF114,BG114,BH114,BI114),BK114)</f>
        <v/>
      </c>
      <c r="BK114" s="54">
        <f>CHOOSE(State!$B$43+1,D114,AJ114,AK114,AL114,AM114,AN114,AO114)</f>
        <v/>
      </c>
      <c r="BL114" s="54">
        <f>IF(State!$B$44=1,H114,0)</f>
        <v/>
      </c>
      <c r="BQ114" s="54">
        <f>D114-AP114</f>
        <v/>
      </c>
      <c r="BR114" s="54">
        <f>BQ114^2</f>
        <v/>
      </c>
      <c r="BS114" s="54">
        <f>(BQ114-BQ113)^2</f>
        <v/>
      </c>
      <c r="BT114" s="54">
        <f>IF(D114&gt;2000,ABS(BQ114)/D114,"")</f>
        <v/>
      </c>
      <c r="BU114" s="54" t="n">
        <v>129</v>
      </c>
      <c r="BV114" s="74" t="n">
        <v>0.5056</v>
      </c>
      <c r="BW114" s="54" t="n">
        <v>962.7</v>
      </c>
    </row>
    <row r="115">
      <c r="A115" s="73" t="n">
        <v>45697</v>
      </c>
      <c r="B115" s="53">
        <f>YEAR(A115)</f>
        <v/>
      </c>
      <c r="C115" s="53">
        <f>MONTH(A115)</f>
        <v/>
      </c>
      <c r="D115" s="54" t="n">
        <v>3292</v>
      </c>
      <c r="E115" s="55" t="n">
        <v>0.7426</v>
      </c>
      <c r="F115" s="55" t="n">
        <v>1.1819</v>
      </c>
      <c r="G115" s="55" t="n">
        <v>-0.1072</v>
      </c>
      <c r="H115" s="54" t="n">
        <v>115.08</v>
      </c>
      <c r="I115" s="54">
        <f>H115+State!$B$6/100*I114</f>
        <v/>
      </c>
      <c r="J115" s="54" t="n">
        <v>103.24</v>
      </c>
      <c r="K115" s="54" t="n">
        <v>578.63</v>
      </c>
      <c r="N115" s="54" t="n">
        <v>47.71</v>
      </c>
      <c r="O115" s="54" t="n">
        <v>23.85</v>
      </c>
      <c r="P115" s="54" t="n">
        <v>0</v>
      </c>
      <c r="Q115" s="54" t="n">
        <v>3.5</v>
      </c>
      <c r="R115" s="54" t="n">
        <v>36.73</v>
      </c>
      <c r="S115" s="54">
        <f>N115+Answers!$C$16/100*S114</f>
        <v/>
      </c>
      <c r="T115" s="54">
        <f>O115+Answers!$C$17/100*T114</f>
        <v/>
      </c>
      <c r="U115" s="54">
        <f>P115+Answers!$C$18/100*U114</f>
        <v/>
      </c>
      <c r="V115" s="54">
        <f>Q115+Answers!$C$19/100*V114</f>
        <v/>
      </c>
      <c r="W115" s="54">
        <f>R115+Answers!$C$20/100*W114</f>
        <v/>
      </c>
      <c r="X115" s="54">
        <f>State!$B$2*E115</f>
        <v/>
      </c>
      <c r="Y115" s="54">
        <f>-State!$B$3*F115</f>
        <v/>
      </c>
      <c r="Z115" s="54">
        <f>State!$B$4*G115</f>
        <v/>
      </c>
      <c r="AA115" s="54">
        <f>State!$B$5*(1-State!$B$6/100)*I115</f>
        <v/>
      </c>
      <c r="AB115" s="54">
        <f>State!$B$7*K115</f>
        <v/>
      </c>
      <c r="AE115" s="54">
        <f>State!$B$8*(1-Answers!$C$16/100)*S115</f>
        <v/>
      </c>
      <c r="AF115" s="54">
        <f>State!$B$9*(1-Answers!$C$17/100)*T115</f>
        <v/>
      </c>
      <c r="AG115" s="54">
        <f>State!$B$10*(1-Answers!$C$18/100)*U115</f>
        <v/>
      </c>
      <c r="AH115" s="54">
        <f>State!$B$11*(1-Answers!$C$19/100)*V115</f>
        <v/>
      </c>
      <c r="AI115" s="54">
        <f>State!$B$12*(1-Answers!$C$20/100)*W115</f>
        <v/>
      </c>
      <c r="AJ115" s="54">
        <f>X115</f>
        <v/>
      </c>
      <c r="AK115" s="54">
        <f>X115+Y115</f>
        <v/>
      </c>
      <c r="AL115" s="54">
        <f>AK115+Z115</f>
        <v/>
      </c>
      <c r="AM115" s="54">
        <f>AL115+AA115</f>
        <v/>
      </c>
      <c r="AN115" s="54">
        <f>AM115+AB115</f>
        <v/>
      </c>
      <c r="AO115" s="54">
        <f>AL115+AE115+AF115+AG115+AH115+AI115+AB115</f>
        <v/>
      </c>
      <c r="AP115" s="54">
        <f>IF(State!$B$46=1,AO115,AN115)</f>
        <v/>
      </c>
      <c r="AQ115" s="54" t="n">
        <v>650.2</v>
      </c>
      <c r="AR115" s="54" t="n">
        <v>-1125.6</v>
      </c>
      <c r="AS115" s="54" t="n">
        <v>-814.8</v>
      </c>
      <c r="AT115" s="54" t="n">
        <v>3053.8</v>
      </c>
      <c r="AU115" s="54" t="n">
        <v>2555.2</v>
      </c>
      <c r="AX115" s="54" t="n">
        <v>563.4</v>
      </c>
      <c r="AY115" s="54" t="n">
        <v>435.1</v>
      </c>
      <c r="AZ115" s="54" t="n">
        <v>431.2</v>
      </c>
      <c r="BA115" s="54" t="n">
        <v>16.1</v>
      </c>
      <c r="BB115" s="54" t="n">
        <v>1608</v>
      </c>
      <c r="BC115" s="54">
        <f>AQ115+AR115+AS115+AT115+AU115</f>
        <v/>
      </c>
      <c r="BD115" s="54">
        <f>AQ115</f>
        <v/>
      </c>
      <c r="BE115" s="54">
        <f>AQ115+AR115</f>
        <v/>
      </c>
      <c r="BF115" s="54">
        <f>BE115+AS115</f>
        <v/>
      </c>
      <c r="BG115" s="54">
        <f>BF115+AT115</f>
        <v/>
      </c>
      <c r="BH115" s="54">
        <f>BG115+AU115</f>
        <v/>
      </c>
      <c r="BI115" s="54">
        <f>BC115</f>
        <v/>
      </c>
      <c r="BJ115" s="54">
        <f>IF(State!$B$14=1,CHOOSE(State!$B$43+1,D115,BD115,BE115,BF115,BG115,BH115,BI115),BK115)</f>
        <v/>
      </c>
      <c r="BK115" s="54">
        <f>CHOOSE(State!$B$43+1,D115,AJ115,AK115,AL115,AM115,AN115,AO115)</f>
        <v/>
      </c>
      <c r="BL115" s="54">
        <f>IF(State!$B$44=1,H115,0)</f>
        <v/>
      </c>
      <c r="BQ115" s="54">
        <f>D115-AP115</f>
        <v/>
      </c>
      <c r="BR115" s="54">
        <f>BQ115^2</f>
        <v/>
      </c>
      <c r="BS115" s="54">
        <f>(BQ115-BQ114)^2</f>
        <v/>
      </c>
      <c r="BT115" s="54">
        <f>IF(D115&gt;2000,ABS(BQ115)/D115,"")</f>
        <v/>
      </c>
      <c r="BU115" s="54" t="n">
        <v>208</v>
      </c>
      <c r="BV115" s="74" t="n">
        <v>0.5056</v>
      </c>
      <c r="BW115" s="54" t="n">
        <v>824.1</v>
      </c>
    </row>
    <row r="116">
      <c r="A116" s="73" t="n">
        <v>45704</v>
      </c>
      <c r="B116" s="53">
        <f>YEAR(A116)</f>
        <v/>
      </c>
      <c r="C116" s="53">
        <f>MONTH(A116)</f>
        <v/>
      </c>
      <c r="D116" s="54" t="n">
        <v>2354</v>
      </c>
      <c r="E116" s="55" t="n">
        <v>1.3513</v>
      </c>
      <c r="F116" s="55" t="n">
        <v>1.4427</v>
      </c>
      <c r="G116" s="55" t="n">
        <v>-0.1072</v>
      </c>
      <c r="H116" s="54" t="n">
        <v>127.37</v>
      </c>
      <c r="I116" s="54">
        <f>H116+State!$B$6/100*I115</f>
        <v/>
      </c>
      <c r="J116" s="54" t="n">
        <v>366.88</v>
      </c>
      <c r="K116" s="54" t="n">
        <v>539.38</v>
      </c>
      <c r="N116" s="54" t="n">
        <v>58.96</v>
      </c>
      <c r="O116" s="54" t="n">
        <v>26.81</v>
      </c>
      <c r="P116" s="54" t="n">
        <v>0</v>
      </c>
      <c r="Q116" s="54" t="n">
        <v>3.5</v>
      </c>
      <c r="R116" s="54" t="n">
        <v>35.76</v>
      </c>
      <c r="S116" s="54">
        <f>N116+Answers!$C$16/100*S115</f>
        <v/>
      </c>
      <c r="T116" s="54">
        <f>O116+Answers!$C$17/100*T115</f>
        <v/>
      </c>
      <c r="U116" s="54">
        <f>P116+Answers!$C$18/100*U115</f>
        <v/>
      </c>
      <c r="V116" s="54">
        <f>Q116+Answers!$C$19/100*V115</f>
        <v/>
      </c>
      <c r="W116" s="54">
        <f>R116+Answers!$C$20/100*W115</f>
        <v/>
      </c>
      <c r="X116" s="54">
        <f>State!$B$2*E116</f>
        <v/>
      </c>
      <c r="Y116" s="54">
        <f>-State!$B$3*F116</f>
        <v/>
      </c>
      <c r="Z116" s="54">
        <f>State!$B$4*G116</f>
        <v/>
      </c>
      <c r="AA116" s="54">
        <f>State!$B$5*(1-State!$B$6/100)*I116</f>
        <v/>
      </c>
      <c r="AB116" s="54">
        <f>State!$B$7*K116</f>
        <v/>
      </c>
      <c r="AE116" s="54">
        <f>State!$B$8*(1-Answers!$C$16/100)*S116</f>
        <v/>
      </c>
      <c r="AF116" s="54">
        <f>State!$B$9*(1-Answers!$C$17/100)*T116</f>
        <v/>
      </c>
      <c r="AG116" s="54">
        <f>State!$B$10*(1-Answers!$C$18/100)*U116</f>
        <v/>
      </c>
      <c r="AH116" s="54">
        <f>State!$B$11*(1-Answers!$C$19/100)*V116</f>
        <v/>
      </c>
      <c r="AI116" s="54">
        <f>State!$B$12*(1-Answers!$C$20/100)*W116</f>
        <v/>
      </c>
      <c r="AJ116" s="54">
        <f>X116</f>
        <v/>
      </c>
      <c r="AK116" s="54">
        <f>X116+Y116</f>
        <v/>
      </c>
      <c r="AL116" s="54">
        <f>AK116+Z116</f>
        <v/>
      </c>
      <c r="AM116" s="54">
        <f>AL116+AA116</f>
        <v/>
      </c>
      <c r="AN116" s="54">
        <f>AM116+AB116</f>
        <v/>
      </c>
      <c r="AO116" s="54">
        <f>AL116+AE116+AF116+AG116+AH116+AI116+AB116</f>
        <v/>
      </c>
      <c r="AP116" s="54">
        <f>IF(State!$B$46=1,AO116,AN116)</f>
        <v/>
      </c>
      <c r="AQ116" s="54" t="n">
        <v>1183.3</v>
      </c>
      <c r="AR116" s="54" t="n">
        <v>-1374.1</v>
      </c>
      <c r="AS116" s="54" t="n">
        <v>-814.8</v>
      </c>
      <c r="AT116" s="54" t="n">
        <v>2930.8</v>
      </c>
      <c r="AU116" s="54" t="n">
        <v>2458.1</v>
      </c>
      <c r="AX116" s="54" t="n">
        <v>633.5</v>
      </c>
      <c r="AY116" s="54" t="n">
        <v>439.9</v>
      </c>
      <c r="AZ116" s="54" t="n">
        <v>366.5</v>
      </c>
      <c r="BA116" s="54" t="n">
        <v>16.6</v>
      </c>
      <c r="BB116" s="54" t="n">
        <v>1474.3</v>
      </c>
      <c r="BC116" s="54">
        <f>AQ116+AR116+AS116+AT116+AU116</f>
        <v/>
      </c>
      <c r="BD116" s="54">
        <f>AQ116</f>
        <v/>
      </c>
      <c r="BE116" s="54">
        <f>AQ116+AR116</f>
        <v/>
      </c>
      <c r="BF116" s="54">
        <f>BE116+AS116</f>
        <v/>
      </c>
      <c r="BG116" s="54">
        <f>BF116+AT116</f>
        <v/>
      </c>
      <c r="BH116" s="54">
        <f>BG116+AU116</f>
        <v/>
      </c>
      <c r="BI116" s="54">
        <f>BC116</f>
        <v/>
      </c>
      <c r="BJ116" s="54">
        <f>IF(State!$B$14=1,CHOOSE(State!$B$43+1,D116,BD116,BE116,BF116,BG116,BH116,BI116),BK116)</f>
        <v/>
      </c>
      <c r="BK116" s="54">
        <f>CHOOSE(State!$B$43+1,D116,AJ116,AK116,AL116,AM116,AN116,AO116)</f>
        <v/>
      </c>
      <c r="BL116" s="54">
        <f>IF(State!$B$44=1,H116,0)</f>
        <v/>
      </c>
      <c r="BQ116" s="54">
        <f>D116-AP116</f>
        <v/>
      </c>
      <c r="BR116" s="54">
        <f>BQ116^2</f>
        <v/>
      </c>
      <c r="BS116" s="54">
        <f>(BQ116-BQ115)^2</f>
        <v/>
      </c>
      <c r="BT116" s="54">
        <f>IF(D116&gt;2000,ABS(BQ116)/D116,"")</f>
        <v/>
      </c>
      <c r="BU116" s="54" t="n">
        <v>183</v>
      </c>
      <c r="BV116" s="74" t="n">
        <v>0.5056</v>
      </c>
      <c r="BW116" s="54" t="n">
        <v>888</v>
      </c>
    </row>
    <row r="117">
      <c r="A117" s="73" t="n">
        <v>45711</v>
      </c>
      <c r="B117" s="53">
        <f>YEAR(A117)</f>
        <v/>
      </c>
      <c r="C117" s="53">
        <f>MONTH(A117)</f>
        <v/>
      </c>
      <c r="D117" s="54" t="n">
        <v>2331</v>
      </c>
      <c r="E117" s="55" t="n">
        <v>0.6778999999999999</v>
      </c>
      <c r="F117" s="55" t="n">
        <v>1.1849</v>
      </c>
      <c r="G117" s="55" t="n">
        <v>-0.1072</v>
      </c>
      <c r="H117" s="54" t="n">
        <v>124.99</v>
      </c>
      <c r="I117" s="54">
        <f>H117+State!$B$6/100*I116</f>
        <v/>
      </c>
      <c r="J117" s="54" t="n">
        <v>166.98</v>
      </c>
      <c r="K117" s="54" t="n">
        <v>308.11</v>
      </c>
      <c r="N117" s="54" t="n">
        <v>57.2</v>
      </c>
      <c r="O117" s="54" t="n">
        <v>22.78</v>
      </c>
      <c r="P117" s="54" t="n">
        <v>0</v>
      </c>
      <c r="Q117" s="54" t="n">
        <v>3.5</v>
      </c>
      <c r="R117" s="54" t="n">
        <v>39.18</v>
      </c>
      <c r="S117" s="54">
        <f>N117+Answers!$C$16/100*S116</f>
        <v/>
      </c>
      <c r="T117" s="54">
        <f>O117+Answers!$C$17/100*T116</f>
        <v/>
      </c>
      <c r="U117" s="54">
        <f>P117+Answers!$C$18/100*U116</f>
        <v/>
      </c>
      <c r="V117" s="54">
        <f>Q117+Answers!$C$19/100*V116</f>
        <v/>
      </c>
      <c r="W117" s="54">
        <f>R117+Answers!$C$20/100*W116</f>
        <v/>
      </c>
      <c r="X117" s="54">
        <f>State!$B$2*E117</f>
        <v/>
      </c>
      <c r="Y117" s="54">
        <f>-State!$B$3*F117</f>
        <v/>
      </c>
      <c r="Z117" s="54">
        <f>State!$B$4*G117</f>
        <v/>
      </c>
      <c r="AA117" s="54">
        <f>State!$B$5*(1-State!$B$6/100)*I117</f>
        <v/>
      </c>
      <c r="AB117" s="54">
        <f>State!$B$7*K117</f>
        <v/>
      </c>
      <c r="AE117" s="54">
        <f>State!$B$8*(1-Answers!$C$16/100)*S117</f>
        <v/>
      </c>
      <c r="AF117" s="54">
        <f>State!$B$9*(1-Answers!$C$17/100)*T117</f>
        <v/>
      </c>
      <c r="AG117" s="54">
        <f>State!$B$10*(1-Answers!$C$18/100)*U117</f>
        <v/>
      </c>
      <c r="AH117" s="54">
        <f>State!$B$11*(1-Answers!$C$19/100)*V117</f>
        <v/>
      </c>
      <c r="AI117" s="54">
        <f>State!$B$12*(1-Answers!$C$20/100)*W117</f>
        <v/>
      </c>
      <c r="AJ117" s="54">
        <f>X117</f>
        <v/>
      </c>
      <c r="AK117" s="54">
        <f>X117+Y117</f>
        <v/>
      </c>
      <c r="AL117" s="54">
        <f>AK117+Z117</f>
        <v/>
      </c>
      <c r="AM117" s="54">
        <f>AL117+AA117</f>
        <v/>
      </c>
      <c r="AN117" s="54">
        <f>AM117+AB117</f>
        <v/>
      </c>
      <c r="AO117" s="54">
        <f>AL117+AE117+AF117+AG117+AH117+AI117+AB117</f>
        <v/>
      </c>
      <c r="AP117" s="54">
        <f>IF(State!$B$46=1,AO117,AN117)</f>
        <v/>
      </c>
      <c r="AQ117" s="54" t="n">
        <v>593.6</v>
      </c>
      <c r="AR117" s="54" t="n">
        <v>-1128.5</v>
      </c>
      <c r="AS117" s="54" t="n">
        <v>-814.8</v>
      </c>
      <c r="AT117" s="54" t="n">
        <v>2827.5</v>
      </c>
      <c r="AU117" s="54" t="n">
        <v>1394.8</v>
      </c>
      <c r="AX117" s="54" t="n">
        <v>688.4</v>
      </c>
      <c r="AY117" s="54" t="n">
        <v>433.4</v>
      </c>
      <c r="AZ117" s="54" t="n">
        <v>311.5</v>
      </c>
      <c r="BA117" s="54" t="n">
        <v>17</v>
      </c>
      <c r="BB117" s="54" t="n">
        <v>1377.1</v>
      </c>
      <c r="BC117" s="54">
        <f>AQ117+AR117+AS117+AT117+AU117</f>
        <v/>
      </c>
      <c r="BD117" s="54">
        <f>AQ117</f>
        <v/>
      </c>
      <c r="BE117" s="54">
        <f>AQ117+AR117</f>
        <v/>
      </c>
      <c r="BF117" s="54">
        <f>BE117+AS117</f>
        <v/>
      </c>
      <c r="BG117" s="54">
        <f>BF117+AT117</f>
        <v/>
      </c>
      <c r="BH117" s="54">
        <f>BG117+AU117</f>
        <v/>
      </c>
      <c r="BI117" s="54">
        <f>BC117</f>
        <v/>
      </c>
      <c r="BJ117" s="54">
        <f>IF(State!$B$14=1,CHOOSE(State!$B$43+1,D117,BD117,BE117,BF117,BG117,BH117,BI117),BK117)</f>
        <v/>
      </c>
      <c r="BK117" s="54">
        <f>CHOOSE(State!$B$43+1,D117,AJ117,AK117,AL117,AM117,AN117,AO117)</f>
        <v/>
      </c>
      <c r="BL117" s="54">
        <f>IF(State!$B$44=1,H117,0)</f>
        <v/>
      </c>
      <c r="BQ117" s="54">
        <f>D117-AP117</f>
        <v/>
      </c>
      <c r="BR117" s="54">
        <f>BQ117^2</f>
        <v/>
      </c>
      <c r="BS117" s="54">
        <f>(BQ117-BQ116)^2</f>
        <v/>
      </c>
      <c r="BT117" s="54">
        <f>IF(D117&gt;2000,ABS(BQ117)/D117,"")</f>
        <v/>
      </c>
      <c r="BU117" s="54" t="n">
        <v>191</v>
      </c>
      <c r="BV117" s="74" t="n">
        <v>0.5133</v>
      </c>
      <c r="BW117" s="54" t="n">
        <v>713.4</v>
      </c>
    </row>
    <row r="118">
      <c r="A118" s="73" t="n">
        <v>45718</v>
      </c>
      <c r="B118" s="53">
        <f>YEAR(A118)</f>
        <v/>
      </c>
      <c r="C118" s="53">
        <f>MONTH(A118)</f>
        <v/>
      </c>
      <c r="D118" s="54" t="n">
        <v>3075</v>
      </c>
      <c r="E118" s="55" t="n">
        <v>1.6605</v>
      </c>
      <c r="F118" s="55" t="n">
        <v>1.5081</v>
      </c>
      <c r="G118" s="55" t="n">
        <v>0</v>
      </c>
      <c r="H118" s="54" t="n">
        <v>229.56</v>
      </c>
      <c r="I118" s="54">
        <f>H118+State!$B$6/100*I117</f>
        <v/>
      </c>
      <c r="J118" s="54" t="n">
        <v>105.1</v>
      </c>
      <c r="K118" s="54" t="n">
        <v>244.3</v>
      </c>
      <c r="N118" s="54" t="n">
        <v>57.87</v>
      </c>
      <c r="O118" s="54" t="n">
        <v>25.63</v>
      </c>
      <c r="P118" s="54" t="n">
        <v>70.53</v>
      </c>
      <c r="Q118" s="54" t="n">
        <v>3.63</v>
      </c>
      <c r="R118" s="54" t="n">
        <v>68.83</v>
      </c>
      <c r="S118" s="54">
        <f>N118+Answers!$C$16/100*S117</f>
        <v/>
      </c>
      <c r="T118" s="54">
        <f>O118+Answers!$C$17/100*T117</f>
        <v/>
      </c>
      <c r="U118" s="54">
        <f>P118+Answers!$C$18/100*U117</f>
        <v/>
      </c>
      <c r="V118" s="54">
        <f>Q118+Answers!$C$19/100*V117</f>
        <v/>
      </c>
      <c r="W118" s="54">
        <f>R118+Answers!$C$20/100*W117</f>
        <v/>
      </c>
      <c r="X118" s="54">
        <f>State!$B$2*E118</f>
        <v/>
      </c>
      <c r="Y118" s="54">
        <f>-State!$B$3*F118</f>
        <v/>
      </c>
      <c r="Z118" s="54">
        <f>State!$B$4*G118</f>
        <v/>
      </c>
      <c r="AA118" s="54">
        <f>State!$B$5*(1-State!$B$6/100)*I118</f>
        <v/>
      </c>
      <c r="AB118" s="54">
        <f>State!$B$7*K118</f>
        <v/>
      </c>
      <c r="AE118" s="54">
        <f>State!$B$8*(1-Answers!$C$16/100)*S118</f>
        <v/>
      </c>
      <c r="AF118" s="54">
        <f>State!$B$9*(1-Answers!$C$17/100)*T118</f>
        <v/>
      </c>
      <c r="AG118" s="54">
        <f>State!$B$10*(1-Answers!$C$18/100)*U118</f>
        <v/>
      </c>
      <c r="AH118" s="54">
        <f>State!$B$11*(1-Answers!$C$19/100)*V118</f>
        <v/>
      </c>
      <c r="AI118" s="54">
        <f>State!$B$12*(1-Answers!$C$20/100)*W118</f>
        <v/>
      </c>
      <c r="AJ118" s="54">
        <f>X118</f>
        <v/>
      </c>
      <c r="AK118" s="54">
        <f>X118+Y118</f>
        <v/>
      </c>
      <c r="AL118" s="54">
        <f>AK118+Z118</f>
        <v/>
      </c>
      <c r="AM118" s="54">
        <f>AL118+AA118</f>
        <v/>
      </c>
      <c r="AN118" s="54">
        <f>AM118+AB118</f>
        <v/>
      </c>
      <c r="AO118" s="54">
        <f>AL118+AE118+AF118+AG118+AH118+AI118+AB118</f>
        <v/>
      </c>
      <c r="AP118" s="54">
        <f>IF(State!$B$46=1,AO118,AN118)</f>
        <v/>
      </c>
      <c r="AQ118" s="54" t="n">
        <v>1454</v>
      </c>
      <c r="AR118" s="54" t="n">
        <v>-1436.3</v>
      </c>
      <c r="AS118" s="54" t="n">
        <v>0</v>
      </c>
      <c r="AT118" s="54" t="n">
        <v>3007.8</v>
      </c>
      <c r="AU118" s="54" t="n">
        <v>1013.9</v>
      </c>
      <c r="AX118" s="54" t="n">
        <v>736.8</v>
      </c>
      <c r="AY118" s="54" t="n">
        <v>435.4</v>
      </c>
      <c r="AZ118" s="54" t="n">
        <v>449</v>
      </c>
      <c r="BA118" s="54" t="n">
        <v>17.5</v>
      </c>
      <c r="BB118" s="54" t="n">
        <v>1369.1</v>
      </c>
      <c r="BC118" s="54">
        <f>AQ118+AR118+AS118+AT118+AU118</f>
        <v/>
      </c>
      <c r="BD118" s="54">
        <f>AQ118</f>
        <v/>
      </c>
      <c r="BE118" s="54">
        <f>AQ118+AR118</f>
        <v/>
      </c>
      <c r="BF118" s="54">
        <f>BE118+AS118</f>
        <v/>
      </c>
      <c r="BG118" s="54">
        <f>BF118+AT118</f>
        <v/>
      </c>
      <c r="BH118" s="54">
        <f>BG118+AU118</f>
        <v/>
      </c>
      <c r="BI118" s="54">
        <f>BC118</f>
        <v/>
      </c>
      <c r="BJ118" s="54">
        <f>IF(State!$B$14=1,CHOOSE(State!$B$43+1,D118,BD118,BE118,BF118,BG118,BH118,BI118),BK118)</f>
        <v/>
      </c>
      <c r="BK118" s="54">
        <f>CHOOSE(State!$B$43+1,D118,AJ118,AK118,AL118,AM118,AN118,AO118)</f>
        <v/>
      </c>
      <c r="BL118" s="54">
        <f>IF(State!$B$44=1,H118,0)</f>
        <v/>
      </c>
      <c r="BQ118" s="54">
        <f>D118-AP118</f>
        <v/>
      </c>
      <c r="BR118" s="54">
        <f>BQ118^2</f>
        <v/>
      </c>
      <c r="BS118" s="54">
        <f>(BQ118-BQ117)^2</f>
        <v/>
      </c>
      <c r="BT118" s="54">
        <f>IF(D118&gt;2000,ABS(BQ118)/D118,"")</f>
        <v/>
      </c>
      <c r="BU118" s="54" t="n">
        <v>187</v>
      </c>
      <c r="BV118" s="74" t="n">
        <v>0.5324</v>
      </c>
      <c r="BW118" s="54" t="n">
        <v>750.9</v>
      </c>
    </row>
    <row r="119">
      <c r="A119" s="73" t="n">
        <v>45725</v>
      </c>
      <c r="B119" s="53">
        <f>YEAR(A119)</f>
        <v/>
      </c>
      <c r="C119" s="53">
        <f>MONTH(A119)</f>
        <v/>
      </c>
      <c r="D119" s="54" t="n">
        <v>5058</v>
      </c>
      <c r="E119" s="55" t="n">
        <v>0.7299</v>
      </c>
      <c r="F119" s="55" t="n">
        <v>1.7629</v>
      </c>
      <c r="G119" s="55" t="n">
        <v>0</v>
      </c>
      <c r="H119" s="54" t="n">
        <v>330.3</v>
      </c>
      <c r="I119" s="54">
        <f>H119+State!$B$6/100*I118</f>
        <v/>
      </c>
      <c r="J119" s="54" t="n">
        <v>141.32</v>
      </c>
      <c r="K119" s="54" t="n">
        <v>219.23</v>
      </c>
      <c r="N119" s="54" t="n">
        <v>54.58</v>
      </c>
      <c r="O119" s="54" t="n">
        <v>62.1</v>
      </c>
      <c r="P119" s="54" t="n">
        <v>70.95</v>
      </c>
      <c r="Q119" s="54" t="n">
        <v>3.95</v>
      </c>
      <c r="R119" s="54" t="n">
        <v>133.66</v>
      </c>
      <c r="S119" s="54">
        <f>N119+Answers!$C$16/100*S118</f>
        <v/>
      </c>
      <c r="T119" s="54">
        <f>O119+Answers!$C$17/100*T118</f>
        <v/>
      </c>
      <c r="U119" s="54">
        <f>P119+Answers!$C$18/100*U118</f>
        <v/>
      </c>
      <c r="V119" s="54">
        <f>Q119+Answers!$C$19/100*V118</f>
        <v/>
      </c>
      <c r="W119" s="54">
        <f>R119+Answers!$C$20/100*W118</f>
        <v/>
      </c>
      <c r="X119" s="54">
        <f>State!$B$2*E119</f>
        <v/>
      </c>
      <c r="Y119" s="54">
        <f>-State!$B$3*F119</f>
        <v/>
      </c>
      <c r="Z119" s="54">
        <f>State!$B$4*G119</f>
        <v/>
      </c>
      <c r="AA119" s="54">
        <f>State!$B$5*(1-State!$B$6/100)*I119</f>
        <v/>
      </c>
      <c r="AB119" s="54">
        <f>State!$B$7*K119</f>
        <v/>
      </c>
      <c r="AE119" s="54">
        <f>State!$B$8*(1-Answers!$C$16/100)*S119</f>
        <v/>
      </c>
      <c r="AF119" s="54">
        <f>State!$B$9*(1-Answers!$C$17/100)*T119</f>
        <v/>
      </c>
      <c r="AG119" s="54">
        <f>State!$B$10*(1-Answers!$C$18/100)*U119</f>
        <v/>
      </c>
      <c r="AH119" s="54">
        <f>State!$B$11*(1-Answers!$C$19/100)*V119</f>
        <v/>
      </c>
      <c r="AI119" s="54">
        <f>State!$B$12*(1-Answers!$C$20/100)*W119</f>
        <v/>
      </c>
      <c r="AJ119" s="54">
        <f>X119</f>
        <v/>
      </c>
      <c r="AK119" s="54">
        <f>X119+Y119</f>
        <v/>
      </c>
      <c r="AL119" s="54">
        <f>AK119+Z119</f>
        <v/>
      </c>
      <c r="AM119" s="54">
        <f>AL119+AA119</f>
        <v/>
      </c>
      <c r="AN119" s="54">
        <f>AM119+AB119</f>
        <v/>
      </c>
      <c r="AO119" s="54">
        <f>AL119+AE119+AF119+AG119+AH119+AI119+AB119</f>
        <v/>
      </c>
      <c r="AP119" s="54">
        <f>IF(State!$B$46=1,AO119,AN119)</f>
        <v/>
      </c>
      <c r="AQ119" s="54" t="n">
        <v>639.1</v>
      </c>
      <c r="AR119" s="54" t="n">
        <v>-1679</v>
      </c>
      <c r="AS119" s="54" t="n">
        <v>0</v>
      </c>
      <c r="AT119" s="54" t="n">
        <v>3406.4</v>
      </c>
      <c r="AU119" s="54" t="n">
        <v>899.4</v>
      </c>
      <c r="AX119" s="54" t="n">
        <v>769.4</v>
      </c>
      <c r="AY119" s="54" t="n">
        <v>532.4</v>
      </c>
      <c r="AZ119" s="54" t="n">
        <v>566.9</v>
      </c>
      <c r="BA119" s="54" t="n">
        <v>18.2</v>
      </c>
      <c r="BB119" s="54" t="n">
        <v>1519.6</v>
      </c>
      <c r="BC119" s="54">
        <f>AQ119+AR119+AS119+AT119+AU119</f>
        <v/>
      </c>
      <c r="BD119" s="54">
        <f>AQ119</f>
        <v/>
      </c>
      <c r="BE119" s="54">
        <f>AQ119+AR119</f>
        <v/>
      </c>
      <c r="BF119" s="54">
        <f>BE119+AS119</f>
        <v/>
      </c>
      <c r="BG119" s="54">
        <f>BF119+AT119</f>
        <v/>
      </c>
      <c r="BH119" s="54">
        <f>BG119+AU119</f>
        <v/>
      </c>
      <c r="BI119" s="54">
        <f>BC119</f>
        <v/>
      </c>
      <c r="BJ119" s="54">
        <f>IF(State!$B$14=1,CHOOSE(State!$B$43+1,D119,BD119,BE119,BF119,BG119,BH119,BI119),BK119)</f>
        <v/>
      </c>
      <c r="BK119" s="54">
        <f>CHOOSE(State!$B$43+1,D119,AJ119,AK119,AL119,AM119,AN119,AO119)</f>
        <v/>
      </c>
      <c r="BL119" s="54">
        <f>IF(State!$B$44=1,H119,0)</f>
        <v/>
      </c>
      <c r="BQ119" s="54">
        <f>D119-AP119</f>
        <v/>
      </c>
      <c r="BR119" s="54">
        <f>BQ119^2</f>
        <v/>
      </c>
      <c r="BS119" s="54">
        <f>(BQ119-BQ118)^2</f>
        <v/>
      </c>
      <c r="BT119" s="54">
        <f>IF(D119&gt;2000,ABS(BQ119)/D119,"")</f>
        <v/>
      </c>
      <c r="BU119" s="54" t="n">
        <v>200</v>
      </c>
      <c r="BV119" s="74" t="n">
        <v>0.5324</v>
      </c>
      <c r="BW119" s="54" t="n">
        <v>729.8</v>
      </c>
    </row>
    <row r="120">
      <c r="A120" s="73" t="n">
        <v>45732</v>
      </c>
      <c r="B120" s="53">
        <f>YEAR(A120)</f>
        <v/>
      </c>
      <c r="C120" s="53">
        <f>MONTH(A120)</f>
        <v/>
      </c>
      <c r="D120" s="54" t="n">
        <v>6229</v>
      </c>
      <c r="E120" s="55" t="n">
        <v>0.6536</v>
      </c>
      <c r="F120" s="55" t="n">
        <v>1.4506</v>
      </c>
      <c r="G120" s="55" t="n">
        <v>0</v>
      </c>
      <c r="H120" s="54" t="n">
        <v>283.81</v>
      </c>
      <c r="I120" s="54">
        <f>H120+State!$B$6/100*I119</f>
        <v/>
      </c>
      <c r="J120" s="54" t="n">
        <v>102.94</v>
      </c>
      <c r="K120" s="54" t="n">
        <v>246.92</v>
      </c>
      <c r="N120" s="54" t="n">
        <v>49.12</v>
      </c>
      <c r="O120" s="54" t="n">
        <v>54.03</v>
      </c>
      <c r="P120" s="54" t="n">
        <v>60.64</v>
      </c>
      <c r="Q120" s="54" t="n">
        <v>3.95</v>
      </c>
      <c r="R120" s="54" t="n">
        <v>109.83</v>
      </c>
      <c r="S120" s="54">
        <f>N120+Answers!$C$16/100*S119</f>
        <v/>
      </c>
      <c r="T120" s="54">
        <f>O120+Answers!$C$17/100*T119</f>
        <v/>
      </c>
      <c r="U120" s="54">
        <f>P120+Answers!$C$18/100*U119</f>
        <v/>
      </c>
      <c r="V120" s="54">
        <f>Q120+Answers!$C$19/100*V119</f>
        <v/>
      </c>
      <c r="W120" s="54">
        <f>R120+Answers!$C$20/100*W119</f>
        <v/>
      </c>
      <c r="X120" s="54">
        <f>State!$B$2*E120</f>
        <v/>
      </c>
      <c r="Y120" s="54">
        <f>-State!$B$3*F120</f>
        <v/>
      </c>
      <c r="Z120" s="54">
        <f>State!$B$4*G120</f>
        <v/>
      </c>
      <c r="AA120" s="54">
        <f>State!$B$5*(1-State!$B$6/100)*I120</f>
        <v/>
      </c>
      <c r="AB120" s="54">
        <f>State!$B$7*K120</f>
        <v/>
      </c>
      <c r="AE120" s="54">
        <f>State!$B$8*(1-Answers!$C$16/100)*S120</f>
        <v/>
      </c>
      <c r="AF120" s="54">
        <f>State!$B$9*(1-Answers!$C$17/100)*T120</f>
        <v/>
      </c>
      <c r="AG120" s="54">
        <f>State!$B$10*(1-Answers!$C$18/100)*U120</f>
        <v/>
      </c>
      <c r="AH120" s="54">
        <f>State!$B$11*(1-Answers!$C$19/100)*V120</f>
        <v/>
      </c>
      <c r="AI120" s="54">
        <f>State!$B$12*(1-Answers!$C$20/100)*W120</f>
        <v/>
      </c>
      <c r="AJ120" s="54">
        <f>X120</f>
        <v/>
      </c>
      <c r="AK120" s="54">
        <f>X120+Y120</f>
        <v/>
      </c>
      <c r="AL120" s="54">
        <f>AK120+Z120</f>
        <v/>
      </c>
      <c r="AM120" s="54">
        <f>AL120+AA120</f>
        <v/>
      </c>
      <c r="AN120" s="54">
        <f>AM120+AB120</f>
        <v/>
      </c>
      <c r="AO120" s="54">
        <f>AL120+AE120+AF120+AG120+AH120+AI120+AB120</f>
        <v/>
      </c>
      <c r="AP120" s="54">
        <f>IF(State!$B$46=1,AO120,AN120)</f>
        <v/>
      </c>
      <c r="AQ120" s="54" t="n">
        <v>572.3</v>
      </c>
      <c r="AR120" s="54" t="n">
        <v>-1381.6</v>
      </c>
      <c r="AS120" s="54" t="n">
        <v>0</v>
      </c>
      <c r="AT120" s="54" t="n">
        <v>3630.5</v>
      </c>
      <c r="AU120" s="54" t="n">
        <v>879.6</v>
      </c>
      <c r="AX120" s="54" t="n">
        <v>782.8</v>
      </c>
      <c r="AY120" s="54" t="n">
        <v>593.7</v>
      </c>
      <c r="AZ120" s="54" t="n">
        <v>640.2</v>
      </c>
      <c r="BA120" s="54" t="n">
        <v>18.8</v>
      </c>
      <c r="BB120" s="54" t="n">
        <v>1595</v>
      </c>
      <c r="BC120" s="54">
        <f>AQ120+AR120+AS120+AT120+AU120</f>
        <v/>
      </c>
      <c r="BD120" s="54">
        <f>AQ120</f>
        <v/>
      </c>
      <c r="BE120" s="54">
        <f>AQ120+AR120</f>
        <v/>
      </c>
      <c r="BF120" s="54">
        <f>BE120+AS120</f>
        <v/>
      </c>
      <c r="BG120" s="54">
        <f>BF120+AT120</f>
        <v/>
      </c>
      <c r="BH120" s="54">
        <f>BG120+AU120</f>
        <v/>
      </c>
      <c r="BI120" s="54">
        <f>BC120</f>
        <v/>
      </c>
      <c r="BJ120" s="54">
        <f>IF(State!$B$14=1,CHOOSE(State!$B$43+1,D120,BD120,BE120,BF120,BG120,BH120,BI120),BK120)</f>
        <v/>
      </c>
      <c r="BK120" s="54">
        <f>CHOOSE(State!$B$43+1,D120,AJ120,AK120,AL120,AM120,AN120,AO120)</f>
        <v/>
      </c>
      <c r="BL120" s="54">
        <f>IF(State!$B$44=1,H120,0)</f>
        <v/>
      </c>
      <c r="BQ120" s="54">
        <f>D120-AP120</f>
        <v/>
      </c>
      <c r="BR120" s="54">
        <f>BQ120^2</f>
        <v/>
      </c>
      <c r="BS120" s="54">
        <f>(BQ120-BQ119)^2</f>
        <v/>
      </c>
      <c r="BT120" s="54">
        <f>IF(D120&gt;2000,ABS(BQ120)/D120,"")</f>
        <v/>
      </c>
      <c r="BU120" s="54" t="n">
        <v>149</v>
      </c>
      <c r="BV120" s="74" t="n">
        <v>0.5324</v>
      </c>
      <c r="BW120" s="54" t="n">
        <v>737.2</v>
      </c>
    </row>
    <row r="121">
      <c r="A121" s="73" t="n">
        <v>45739</v>
      </c>
      <c r="B121" s="53">
        <f>YEAR(A121)</f>
        <v/>
      </c>
      <c r="C121" s="53">
        <f>MONTH(A121)</f>
        <v/>
      </c>
      <c r="D121" s="54" t="n">
        <v>8104</v>
      </c>
      <c r="E121" s="55" t="n">
        <v>0.6545</v>
      </c>
      <c r="F121" s="55" t="n">
        <v>0.9055</v>
      </c>
      <c r="G121" s="55" t="n">
        <v>0.7291</v>
      </c>
      <c r="H121" s="54" t="n">
        <v>318.94</v>
      </c>
      <c r="I121" s="54">
        <f>H121+State!$B$6/100*I120</f>
        <v/>
      </c>
      <c r="J121" s="54" t="n">
        <v>91.38</v>
      </c>
      <c r="K121" s="54" t="n">
        <v>178.11</v>
      </c>
      <c r="N121" s="54" t="n">
        <v>57.41</v>
      </c>
      <c r="O121" s="54" t="n">
        <v>32.82</v>
      </c>
      <c r="P121" s="54" t="n">
        <v>57.21</v>
      </c>
      <c r="Q121" s="54" t="n">
        <v>3.95</v>
      </c>
      <c r="R121" s="54" t="n">
        <v>159.45</v>
      </c>
      <c r="S121" s="54">
        <f>N121+Answers!$C$16/100*S120</f>
        <v/>
      </c>
      <c r="T121" s="54">
        <f>O121+Answers!$C$17/100*T120</f>
        <v/>
      </c>
      <c r="U121" s="54">
        <f>P121+Answers!$C$18/100*U120</f>
        <v/>
      </c>
      <c r="V121" s="54">
        <f>Q121+Answers!$C$19/100*V120</f>
        <v/>
      </c>
      <c r="W121" s="54">
        <f>R121+Answers!$C$20/100*W120</f>
        <v/>
      </c>
      <c r="X121" s="54">
        <f>State!$B$2*E121</f>
        <v/>
      </c>
      <c r="Y121" s="54">
        <f>-State!$B$3*F121</f>
        <v/>
      </c>
      <c r="Z121" s="54">
        <f>State!$B$4*G121</f>
        <v/>
      </c>
      <c r="AA121" s="54">
        <f>State!$B$5*(1-State!$B$6/100)*I121</f>
        <v/>
      </c>
      <c r="AB121" s="54">
        <f>State!$B$7*K121</f>
        <v/>
      </c>
      <c r="AE121" s="54">
        <f>State!$B$8*(1-Answers!$C$16/100)*S121</f>
        <v/>
      </c>
      <c r="AF121" s="54">
        <f>State!$B$9*(1-Answers!$C$17/100)*T121</f>
        <v/>
      </c>
      <c r="AG121" s="54">
        <f>State!$B$10*(1-Answers!$C$18/100)*U121</f>
        <v/>
      </c>
      <c r="AH121" s="54">
        <f>State!$B$11*(1-Answers!$C$19/100)*V121</f>
        <v/>
      </c>
      <c r="AI121" s="54">
        <f>State!$B$12*(1-Answers!$C$20/100)*W121</f>
        <v/>
      </c>
      <c r="AJ121" s="54">
        <f>X121</f>
        <v/>
      </c>
      <c r="AK121" s="54">
        <f>X121+Y121</f>
        <v/>
      </c>
      <c r="AL121" s="54">
        <f>AK121+Z121</f>
        <v/>
      </c>
      <c r="AM121" s="54">
        <f>AL121+AA121</f>
        <v/>
      </c>
      <c r="AN121" s="54">
        <f>AM121+AB121</f>
        <v/>
      </c>
      <c r="AO121" s="54">
        <f>AL121+AE121+AF121+AG121+AH121+AI121+AB121</f>
        <v/>
      </c>
      <c r="AP121" s="54">
        <f>IF(State!$B$46=1,AO121,AN121)</f>
        <v/>
      </c>
      <c r="AQ121" s="54" t="n">
        <v>573.1</v>
      </c>
      <c r="AR121" s="54" t="n">
        <v>-862.4</v>
      </c>
      <c r="AS121" s="54" t="n">
        <v>5539.2</v>
      </c>
      <c r="AT121" s="54" t="n">
        <v>3911.5</v>
      </c>
      <c r="AU121" s="54" t="n">
        <v>643.1</v>
      </c>
      <c r="AX121" s="54" t="n">
        <v>815.8</v>
      </c>
      <c r="AY121" s="54" t="n">
        <v>590.4</v>
      </c>
      <c r="AZ121" s="54" t="n">
        <v>693.5</v>
      </c>
      <c r="BA121" s="54" t="n">
        <v>19.3</v>
      </c>
      <c r="BB121" s="54" t="n">
        <v>1792.4</v>
      </c>
      <c r="BC121" s="54">
        <f>AQ121+AR121+AS121+AT121+AU121</f>
        <v/>
      </c>
      <c r="BD121" s="54">
        <f>AQ121</f>
        <v/>
      </c>
      <c r="BE121" s="54">
        <f>AQ121+AR121</f>
        <v/>
      </c>
      <c r="BF121" s="54">
        <f>BE121+AS121</f>
        <v/>
      </c>
      <c r="BG121" s="54">
        <f>BF121+AT121</f>
        <v/>
      </c>
      <c r="BH121" s="54">
        <f>BG121+AU121</f>
        <v/>
      </c>
      <c r="BI121" s="54">
        <f>BC121</f>
        <v/>
      </c>
      <c r="BJ121" s="54">
        <f>IF(State!$B$14=1,CHOOSE(State!$B$43+1,D121,BD121,BE121,BF121,BG121,BH121,BI121),BK121)</f>
        <v/>
      </c>
      <c r="BK121" s="54">
        <f>CHOOSE(State!$B$43+1,D121,AJ121,AK121,AL121,AM121,AN121,AO121)</f>
        <v/>
      </c>
      <c r="BL121" s="54">
        <f>IF(State!$B$44=1,H121,0)</f>
        <v/>
      </c>
      <c r="BQ121" s="54">
        <f>D121-AP121</f>
        <v/>
      </c>
      <c r="BR121" s="54">
        <f>BQ121^2</f>
        <v/>
      </c>
      <c r="BS121" s="54">
        <f>(BQ121-BQ120)^2</f>
        <v/>
      </c>
      <c r="BT121" s="54">
        <f>IF(D121&gt;2000,ABS(BQ121)/D121,"")</f>
        <v/>
      </c>
      <c r="BU121" s="54" t="n">
        <v>138</v>
      </c>
      <c r="BV121" s="74" t="n">
        <v>0.5324</v>
      </c>
      <c r="BW121" s="54" t="n">
        <v>785.2</v>
      </c>
    </row>
    <row r="122">
      <c r="A122" s="73" t="n">
        <v>45746</v>
      </c>
      <c r="B122" s="53">
        <f>YEAR(A122)</f>
        <v/>
      </c>
      <c r="C122" s="53">
        <f>MONTH(A122)</f>
        <v/>
      </c>
      <c r="D122" s="54" t="n">
        <v>9036</v>
      </c>
      <c r="E122" s="55" t="n">
        <v>0.6595</v>
      </c>
      <c r="F122" s="55" t="n">
        <v>0.8714</v>
      </c>
      <c r="G122" s="55" t="n">
        <v>0.7291</v>
      </c>
      <c r="H122" s="54" t="n">
        <v>456.25</v>
      </c>
      <c r="I122" s="54">
        <f>H122+State!$B$6/100*I121</f>
        <v/>
      </c>
      <c r="J122" s="54" t="n">
        <v>87.68000000000001</v>
      </c>
      <c r="K122" s="54" t="n">
        <v>160.81</v>
      </c>
      <c r="N122" s="54" t="n">
        <v>49.88</v>
      </c>
      <c r="O122" s="54" t="n">
        <v>12.01</v>
      </c>
      <c r="P122" s="54" t="n">
        <v>62.04</v>
      </c>
      <c r="Q122" s="54" t="n">
        <v>81.72</v>
      </c>
      <c r="R122" s="54" t="n">
        <v>241.56</v>
      </c>
      <c r="S122" s="54">
        <f>N122+Answers!$C$16/100*S121</f>
        <v/>
      </c>
      <c r="T122" s="54">
        <f>O122+Answers!$C$17/100*T121</f>
        <v/>
      </c>
      <c r="U122" s="54">
        <f>P122+Answers!$C$18/100*U121</f>
        <v/>
      </c>
      <c r="V122" s="54">
        <f>Q122+Answers!$C$19/100*V121</f>
        <v/>
      </c>
      <c r="W122" s="54">
        <f>R122+Answers!$C$20/100*W121</f>
        <v/>
      </c>
      <c r="X122" s="54">
        <f>State!$B$2*E122</f>
        <v/>
      </c>
      <c r="Y122" s="54">
        <f>-State!$B$3*F122</f>
        <v/>
      </c>
      <c r="Z122" s="54">
        <f>State!$B$4*G122</f>
        <v/>
      </c>
      <c r="AA122" s="54">
        <f>State!$B$5*(1-State!$B$6/100)*I122</f>
        <v/>
      </c>
      <c r="AB122" s="54">
        <f>State!$B$7*K122</f>
        <v/>
      </c>
      <c r="AE122" s="54">
        <f>State!$B$8*(1-Answers!$C$16/100)*S122</f>
        <v/>
      </c>
      <c r="AF122" s="54">
        <f>State!$B$9*(1-Answers!$C$17/100)*T122</f>
        <v/>
      </c>
      <c r="AG122" s="54">
        <f>State!$B$10*(1-Answers!$C$18/100)*U122</f>
        <v/>
      </c>
      <c r="AH122" s="54">
        <f>State!$B$11*(1-Answers!$C$19/100)*V122</f>
        <v/>
      </c>
      <c r="AI122" s="54">
        <f>State!$B$12*(1-Answers!$C$20/100)*W122</f>
        <v/>
      </c>
      <c r="AJ122" s="54">
        <f>X122</f>
        <v/>
      </c>
      <c r="AK122" s="54">
        <f>X122+Y122</f>
        <v/>
      </c>
      <c r="AL122" s="54">
        <f>AK122+Z122</f>
        <v/>
      </c>
      <c r="AM122" s="54">
        <f>AL122+AA122</f>
        <v/>
      </c>
      <c r="AN122" s="54">
        <f>AM122+AB122</f>
        <v/>
      </c>
      <c r="AO122" s="54">
        <f>AL122+AE122+AF122+AG122+AH122+AI122+AB122</f>
        <v/>
      </c>
      <c r="AP122" s="54">
        <f>IF(State!$B$46=1,AO122,AN122)</f>
        <v/>
      </c>
      <c r="AQ122" s="54" t="n">
        <v>577.5</v>
      </c>
      <c r="AR122" s="54" t="n">
        <v>-830</v>
      </c>
      <c r="AS122" s="54" t="n">
        <v>5539.2</v>
      </c>
      <c r="AT122" s="54" t="n">
        <v>4358.1</v>
      </c>
      <c r="AU122" s="54" t="n">
        <v>562.8</v>
      </c>
      <c r="AX122" s="54" t="n">
        <v>824.2</v>
      </c>
      <c r="AY122" s="54" t="n">
        <v>533.2</v>
      </c>
      <c r="AZ122" s="54" t="n">
        <v>751.5</v>
      </c>
      <c r="BA122" s="54" t="n">
        <v>85.2</v>
      </c>
      <c r="BB122" s="54" t="n">
        <v>2164</v>
      </c>
      <c r="BC122" s="54">
        <f>AQ122+AR122+AS122+AT122+AU122</f>
        <v/>
      </c>
      <c r="BD122" s="54">
        <f>AQ122</f>
        <v/>
      </c>
      <c r="BE122" s="54">
        <f>AQ122+AR122</f>
        <v/>
      </c>
      <c r="BF122" s="54">
        <f>BE122+AS122</f>
        <v/>
      </c>
      <c r="BG122" s="54">
        <f>BF122+AT122</f>
        <v/>
      </c>
      <c r="BH122" s="54">
        <f>BG122+AU122</f>
        <v/>
      </c>
      <c r="BI122" s="54">
        <f>BC122</f>
        <v/>
      </c>
      <c r="BJ122" s="54">
        <f>IF(State!$B$14=1,CHOOSE(State!$B$43+1,D122,BD122,BE122,BF122,BG122,BH122,BI122),BK122)</f>
        <v/>
      </c>
      <c r="BK122" s="54">
        <f>CHOOSE(State!$B$43+1,D122,AJ122,AK122,AL122,AM122,AN122,AO122)</f>
        <v/>
      </c>
      <c r="BL122" s="54">
        <f>IF(State!$B$44=1,H122,0)</f>
        <v/>
      </c>
      <c r="BQ122" s="54">
        <f>D122-AP122</f>
        <v/>
      </c>
      <c r="BR122" s="54">
        <f>BQ122^2</f>
        <v/>
      </c>
      <c r="BS122" s="54">
        <f>(BQ122-BQ121)^2</f>
        <v/>
      </c>
      <c r="BT122" s="54">
        <f>IF(D122&gt;2000,ABS(BQ122)/D122,"")</f>
        <v/>
      </c>
      <c r="BU122" s="54" t="n">
        <v>127</v>
      </c>
      <c r="BV122" s="74" t="n">
        <v>0.5417999999999999</v>
      </c>
      <c r="BW122" s="54" t="n">
        <v>822.8</v>
      </c>
    </row>
    <row r="123">
      <c r="A123" s="73" t="n">
        <v>45753</v>
      </c>
      <c r="B123" s="53">
        <f>YEAR(A123)</f>
        <v/>
      </c>
      <c r="C123" s="53">
        <f>MONTH(A123)</f>
        <v/>
      </c>
      <c r="D123" s="54" t="n">
        <v>16661</v>
      </c>
      <c r="E123" s="55" t="n">
        <v>1.0427</v>
      </c>
      <c r="F123" s="55" t="n">
        <v>0.8087</v>
      </c>
      <c r="G123" s="55" t="n">
        <v>1.7411</v>
      </c>
      <c r="H123" s="54" t="n">
        <v>522.58</v>
      </c>
      <c r="I123" s="54">
        <f>H123+State!$B$6/100*I122</f>
        <v/>
      </c>
      <c r="J123" s="54" t="n">
        <v>33.38</v>
      </c>
      <c r="K123" s="54" t="n">
        <v>69.47</v>
      </c>
      <c r="N123" s="54" t="n">
        <v>75.54000000000001</v>
      </c>
      <c r="O123" s="54" t="n">
        <v>44.53</v>
      </c>
      <c r="P123" s="54" t="n">
        <v>67.63</v>
      </c>
      <c r="Q123" s="54" t="n">
        <v>81.84</v>
      </c>
      <c r="R123" s="54" t="n">
        <v>236.38</v>
      </c>
      <c r="S123" s="54">
        <f>N123+Answers!$C$16/100*S122</f>
        <v/>
      </c>
      <c r="T123" s="54">
        <f>O123+Answers!$C$17/100*T122</f>
        <v/>
      </c>
      <c r="U123" s="54">
        <f>P123+Answers!$C$18/100*U122</f>
        <v/>
      </c>
      <c r="V123" s="54">
        <f>Q123+Answers!$C$19/100*V122</f>
        <v/>
      </c>
      <c r="W123" s="54">
        <f>R123+Answers!$C$20/100*W122</f>
        <v/>
      </c>
      <c r="X123" s="54">
        <f>State!$B$2*E123</f>
        <v/>
      </c>
      <c r="Y123" s="54">
        <f>-State!$B$3*F123</f>
        <v/>
      </c>
      <c r="Z123" s="54">
        <f>State!$B$4*G123</f>
        <v/>
      </c>
      <c r="AA123" s="54">
        <f>State!$B$5*(1-State!$B$6/100)*I123</f>
        <v/>
      </c>
      <c r="AB123" s="54">
        <f>State!$B$7*K123</f>
        <v/>
      </c>
      <c r="AE123" s="54">
        <f>State!$B$8*(1-Answers!$C$16/100)*S123</f>
        <v/>
      </c>
      <c r="AF123" s="54">
        <f>State!$B$9*(1-Answers!$C$17/100)*T123</f>
        <v/>
      </c>
      <c r="AG123" s="54">
        <f>State!$B$10*(1-Answers!$C$18/100)*U123</f>
        <v/>
      </c>
      <c r="AH123" s="54">
        <f>State!$B$11*(1-Answers!$C$19/100)*V123</f>
        <v/>
      </c>
      <c r="AI123" s="54">
        <f>State!$B$12*(1-Answers!$C$20/100)*W123</f>
        <v/>
      </c>
      <c r="AJ123" s="54">
        <f>X123</f>
        <v/>
      </c>
      <c r="AK123" s="54">
        <f>X123+Y123</f>
        <v/>
      </c>
      <c r="AL123" s="54">
        <f>AK123+Z123</f>
        <v/>
      </c>
      <c r="AM123" s="54">
        <f>AL123+AA123</f>
        <v/>
      </c>
      <c r="AN123" s="54">
        <f>AM123+AB123</f>
        <v/>
      </c>
      <c r="AO123" s="54">
        <f>AL123+AE123+AF123+AG123+AH123+AI123+AB123</f>
        <v/>
      </c>
      <c r="AP123" s="54">
        <f>IF(State!$B$46=1,AO123,AN123)</f>
        <v/>
      </c>
      <c r="AQ123" s="54" t="n">
        <v>913</v>
      </c>
      <c r="AR123" s="54" t="n">
        <v>-770.2</v>
      </c>
      <c r="AS123" s="54" t="n">
        <v>13227.7</v>
      </c>
      <c r="AT123" s="54" t="n">
        <v>4875.1</v>
      </c>
      <c r="AU123" s="54" t="n">
        <v>221.8</v>
      </c>
      <c r="AX123" s="54" t="n">
        <v>898.6</v>
      </c>
      <c r="AY123" s="54" t="n">
        <v>569.6</v>
      </c>
      <c r="AZ123" s="54" t="n">
        <v>815.3</v>
      </c>
      <c r="BA123" s="54" t="n">
        <v>141.2</v>
      </c>
      <c r="BB123" s="54" t="n">
        <v>2450.3</v>
      </c>
      <c r="BC123" s="54">
        <f>AQ123+AR123+AS123+AT123+AU123</f>
        <v/>
      </c>
      <c r="BD123" s="54">
        <f>AQ123</f>
        <v/>
      </c>
      <c r="BE123" s="54">
        <f>AQ123+AR123</f>
        <v/>
      </c>
      <c r="BF123" s="54">
        <f>BE123+AS123</f>
        <v/>
      </c>
      <c r="BG123" s="54">
        <f>BF123+AT123</f>
        <v/>
      </c>
      <c r="BH123" s="54">
        <f>BG123+AU123</f>
        <v/>
      </c>
      <c r="BI123" s="54">
        <f>BC123</f>
        <v/>
      </c>
      <c r="BJ123" s="54">
        <f>IF(State!$B$14=1,CHOOSE(State!$B$43+1,D123,BD123,BE123,BF123,BG123,BH123,BI123),BK123)</f>
        <v/>
      </c>
      <c r="BK123" s="54">
        <f>CHOOSE(State!$B$43+1,D123,AJ123,AK123,AL123,AM123,AN123,AO123)</f>
        <v/>
      </c>
      <c r="BL123" s="54">
        <f>IF(State!$B$44=1,H123,0)</f>
        <v/>
      </c>
      <c r="BQ123" s="54">
        <f>D123-AP123</f>
        <v/>
      </c>
      <c r="BR123" s="54">
        <f>BQ123^2</f>
        <v/>
      </c>
      <c r="BS123" s="54">
        <f>(BQ123-BQ122)^2</f>
        <v/>
      </c>
      <c r="BT123" s="54">
        <f>IF(D123&gt;2000,ABS(BQ123)/D123,"")</f>
        <v/>
      </c>
      <c r="BU123" s="54" t="n">
        <v>95</v>
      </c>
      <c r="BV123" s="74" t="n">
        <v>0.5433</v>
      </c>
      <c r="BW123" s="54" t="n">
        <v>583.3</v>
      </c>
    </row>
    <row r="124">
      <c r="A124" s="73" t="n">
        <v>45760</v>
      </c>
      <c r="B124" s="53">
        <f>YEAR(A124)</f>
        <v/>
      </c>
      <c r="C124" s="53">
        <f>MONTH(A124)</f>
        <v/>
      </c>
      <c r="D124" s="54" t="n">
        <v>5340</v>
      </c>
      <c r="E124" s="55" t="n">
        <v>1.4621</v>
      </c>
      <c r="F124" s="55" t="n">
        <v>1.2328</v>
      </c>
      <c r="G124" s="55" t="n">
        <v>0</v>
      </c>
      <c r="H124" s="54" t="n">
        <v>231.83</v>
      </c>
      <c r="I124" s="54">
        <f>H124+State!$B$6/100*I123</f>
        <v/>
      </c>
      <c r="J124" s="54" t="n">
        <v>21.72</v>
      </c>
      <c r="K124" s="54" t="n">
        <v>40.65</v>
      </c>
      <c r="N124" s="54" t="n">
        <v>49.58</v>
      </c>
      <c r="O124" s="54" t="n">
        <v>52.39</v>
      </c>
      <c r="P124" s="54" t="n">
        <v>0</v>
      </c>
      <c r="Q124" s="54" t="n">
        <v>26.6</v>
      </c>
      <c r="R124" s="54" t="n">
        <v>97.91</v>
      </c>
      <c r="S124" s="54">
        <f>N124+Answers!$C$16/100*S123</f>
        <v/>
      </c>
      <c r="T124" s="54">
        <f>O124+Answers!$C$17/100*T123</f>
        <v/>
      </c>
      <c r="U124" s="54">
        <f>P124+Answers!$C$18/100*U123</f>
        <v/>
      </c>
      <c r="V124" s="54">
        <f>Q124+Answers!$C$19/100*V123</f>
        <v/>
      </c>
      <c r="W124" s="54">
        <f>R124+Answers!$C$20/100*W123</f>
        <v/>
      </c>
      <c r="X124" s="54">
        <f>State!$B$2*E124</f>
        <v/>
      </c>
      <c r="Y124" s="54">
        <f>-State!$B$3*F124</f>
        <v/>
      </c>
      <c r="Z124" s="54">
        <f>State!$B$4*G124</f>
        <v/>
      </c>
      <c r="AA124" s="54">
        <f>State!$B$5*(1-State!$B$6/100)*I124</f>
        <v/>
      </c>
      <c r="AB124" s="54">
        <f>State!$B$7*K124</f>
        <v/>
      </c>
      <c r="AE124" s="54">
        <f>State!$B$8*(1-Answers!$C$16/100)*S124</f>
        <v/>
      </c>
      <c r="AF124" s="54">
        <f>State!$B$9*(1-Answers!$C$17/100)*T124</f>
        <v/>
      </c>
      <c r="AG124" s="54">
        <f>State!$B$10*(1-Answers!$C$18/100)*U124</f>
        <v/>
      </c>
      <c r="AH124" s="54">
        <f>State!$B$11*(1-Answers!$C$19/100)*V124</f>
        <v/>
      </c>
      <c r="AI124" s="54">
        <f>State!$B$12*(1-Answers!$C$20/100)*W124</f>
        <v/>
      </c>
      <c r="AJ124" s="54">
        <f>X124</f>
        <v/>
      </c>
      <c r="AK124" s="54">
        <f>X124+Y124</f>
        <v/>
      </c>
      <c r="AL124" s="54">
        <f>AK124+Z124</f>
        <v/>
      </c>
      <c r="AM124" s="54">
        <f>AL124+AA124</f>
        <v/>
      </c>
      <c r="AN124" s="54">
        <f>AM124+AB124</f>
        <v/>
      </c>
      <c r="AO124" s="54">
        <f>AL124+AE124+AF124+AG124+AH124+AI124+AB124</f>
        <v/>
      </c>
      <c r="AP124" s="54">
        <f>IF(State!$B$46=1,AO124,AN124)</f>
        <v/>
      </c>
      <c r="AQ124" s="54" t="n">
        <v>1280.2</v>
      </c>
      <c r="AR124" s="54" t="n">
        <v>-1174.2</v>
      </c>
      <c r="AS124" s="54" t="n">
        <v>0</v>
      </c>
      <c r="AT124" s="54" t="n">
        <v>4691.1</v>
      </c>
      <c r="AU124" s="54" t="n">
        <v>110.8</v>
      </c>
      <c r="AX124" s="54" t="n">
        <v>893.8</v>
      </c>
      <c r="AY124" s="54" t="n">
        <v>621.1</v>
      </c>
      <c r="AZ124" s="54" t="n">
        <v>693</v>
      </c>
      <c r="BA124" s="54" t="n">
        <v>142.4</v>
      </c>
      <c r="BB124" s="54" t="n">
        <v>2340.8</v>
      </c>
      <c r="BC124" s="54">
        <f>AQ124+AR124+AS124+AT124+AU124</f>
        <v/>
      </c>
      <c r="BD124" s="54">
        <f>AQ124</f>
        <v/>
      </c>
      <c r="BE124" s="54">
        <f>AQ124+AR124</f>
        <v/>
      </c>
      <c r="BF124" s="54">
        <f>BE124+AS124</f>
        <v/>
      </c>
      <c r="BG124" s="54">
        <f>BF124+AT124</f>
        <v/>
      </c>
      <c r="BH124" s="54">
        <f>BG124+AU124</f>
        <v/>
      </c>
      <c r="BI124" s="54">
        <f>BC124</f>
        <v/>
      </c>
      <c r="BJ124" s="54">
        <f>IF(State!$B$14=1,CHOOSE(State!$B$43+1,D124,BD124,BE124,BF124,BG124,BH124,BI124),BK124)</f>
        <v/>
      </c>
      <c r="BK124" s="54">
        <f>CHOOSE(State!$B$43+1,D124,AJ124,AK124,AL124,AM124,AN124,AO124)</f>
        <v/>
      </c>
      <c r="BL124" s="54">
        <f>IF(State!$B$44=1,H124,0)</f>
        <v/>
      </c>
      <c r="BQ124" s="54">
        <f>D124-AP124</f>
        <v/>
      </c>
      <c r="BR124" s="54">
        <f>BQ124^2</f>
        <v/>
      </c>
      <c r="BS124" s="54">
        <f>(BQ124-BQ123)^2</f>
        <v/>
      </c>
      <c r="BT124" s="54">
        <f>IF(D124&gt;2000,ABS(BQ124)/D124,"")</f>
        <v/>
      </c>
      <c r="BU124" s="54" t="n">
        <v>89</v>
      </c>
      <c r="BV124" s="74" t="n">
        <v>0.5433</v>
      </c>
      <c r="BW124" s="54" t="n">
        <v>313.3</v>
      </c>
    </row>
    <row r="125">
      <c r="A125" s="73" t="n">
        <v>45767</v>
      </c>
      <c r="B125" s="53">
        <f>YEAR(A125)</f>
        <v/>
      </c>
      <c r="C125" s="53">
        <f>MONTH(A125)</f>
        <v/>
      </c>
      <c r="D125" s="54" t="n">
        <v>4474</v>
      </c>
      <c r="E125" s="55" t="n">
        <v>0.8168</v>
      </c>
      <c r="F125" s="55" t="n">
        <v>1.2689</v>
      </c>
      <c r="G125" s="55" t="n">
        <v>0</v>
      </c>
      <c r="H125" s="54" t="n">
        <v>210.02</v>
      </c>
      <c r="I125" s="54">
        <f>H125+State!$B$6/100*I124</f>
        <v/>
      </c>
      <c r="J125" s="54" t="n">
        <v>19.98</v>
      </c>
      <c r="K125" s="54" t="n">
        <v>35.31</v>
      </c>
      <c r="N125" s="54" t="n">
        <v>71.7</v>
      </c>
      <c r="O125" s="54" t="n">
        <v>44.41</v>
      </c>
      <c r="P125" s="54" t="n">
        <v>0</v>
      </c>
      <c r="Q125" s="54" t="n">
        <v>26.6</v>
      </c>
      <c r="R125" s="54" t="n">
        <v>62.84</v>
      </c>
      <c r="S125" s="54">
        <f>N125+Answers!$C$16/100*S124</f>
        <v/>
      </c>
      <c r="T125" s="54">
        <f>O125+Answers!$C$17/100*T124</f>
        <v/>
      </c>
      <c r="U125" s="54">
        <f>P125+Answers!$C$18/100*U124</f>
        <v/>
      </c>
      <c r="V125" s="54">
        <f>Q125+Answers!$C$19/100*V124</f>
        <v/>
      </c>
      <c r="W125" s="54">
        <f>R125+Answers!$C$20/100*W124</f>
        <v/>
      </c>
      <c r="X125" s="54">
        <f>State!$B$2*E125</f>
        <v/>
      </c>
      <c r="Y125" s="54">
        <f>-State!$B$3*F125</f>
        <v/>
      </c>
      <c r="Z125" s="54">
        <f>State!$B$4*G125</f>
        <v/>
      </c>
      <c r="AA125" s="54">
        <f>State!$B$5*(1-State!$B$6/100)*I125</f>
        <v/>
      </c>
      <c r="AB125" s="54">
        <f>State!$B$7*K125</f>
        <v/>
      </c>
      <c r="AE125" s="54">
        <f>State!$B$8*(1-Answers!$C$16/100)*S125</f>
        <v/>
      </c>
      <c r="AF125" s="54">
        <f>State!$B$9*(1-Answers!$C$17/100)*T125</f>
        <v/>
      </c>
      <c r="AG125" s="54">
        <f>State!$B$10*(1-Answers!$C$18/100)*U125</f>
        <v/>
      </c>
      <c r="AH125" s="54">
        <f>State!$B$11*(1-Answers!$C$19/100)*V125</f>
        <v/>
      </c>
      <c r="AI125" s="54">
        <f>State!$B$12*(1-Answers!$C$20/100)*W125</f>
        <v/>
      </c>
      <c r="AJ125" s="54">
        <f>X125</f>
        <v/>
      </c>
      <c r="AK125" s="54">
        <f>X125+Y125</f>
        <v/>
      </c>
      <c r="AL125" s="54">
        <f>AK125+Z125</f>
        <v/>
      </c>
      <c r="AM125" s="54">
        <f>AL125+AA125</f>
        <v/>
      </c>
      <c r="AN125" s="54">
        <f>AM125+AB125</f>
        <v/>
      </c>
      <c r="AO125" s="54">
        <f>AL125+AE125+AF125+AG125+AH125+AI125+AB125</f>
        <v/>
      </c>
      <c r="AP125" s="54">
        <f>IF(State!$B$46=1,AO125,AN125)</f>
        <v/>
      </c>
      <c r="AQ125" s="54" t="n">
        <v>715.2</v>
      </c>
      <c r="AR125" s="54" t="n">
        <v>-1208.6</v>
      </c>
      <c r="AS125" s="54" t="n">
        <v>0</v>
      </c>
      <c r="AT125" s="54" t="n">
        <v>4491.3</v>
      </c>
      <c r="AU125" s="54" t="n">
        <v>84.90000000000001</v>
      </c>
      <c r="AX125" s="54" t="n">
        <v>947.7</v>
      </c>
      <c r="AY125" s="54" t="n">
        <v>643.9</v>
      </c>
      <c r="AZ125" s="54" t="n">
        <v>589.1</v>
      </c>
      <c r="BA125" s="54" t="n">
        <v>143.5</v>
      </c>
      <c r="BB125" s="54" t="n">
        <v>2167.2</v>
      </c>
      <c r="BC125" s="54">
        <f>AQ125+AR125+AS125+AT125+AU125</f>
        <v/>
      </c>
      <c r="BD125" s="54">
        <f>AQ125</f>
        <v/>
      </c>
      <c r="BE125" s="54">
        <f>AQ125+AR125</f>
        <v/>
      </c>
      <c r="BF125" s="54">
        <f>BE125+AS125</f>
        <v/>
      </c>
      <c r="BG125" s="54">
        <f>BF125+AT125</f>
        <v/>
      </c>
      <c r="BH125" s="54">
        <f>BG125+AU125</f>
        <v/>
      </c>
      <c r="BI125" s="54">
        <f>BC125</f>
        <v/>
      </c>
      <c r="BJ125" s="54">
        <f>IF(State!$B$14=1,CHOOSE(State!$B$43+1,D125,BD125,BE125,BF125,BG125,BH125,BI125),BK125)</f>
        <v/>
      </c>
      <c r="BK125" s="54">
        <f>CHOOSE(State!$B$43+1,D125,AJ125,AK125,AL125,AM125,AN125,AO125)</f>
        <v/>
      </c>
      <c r="BL125" s="54">
        <f>IF(State!$B$44=1,H125,0)</f>
        <v/>
      </c>
      <c r="BQ125" s="54">
        <f>D125-AP125</f>
        <v/>
      </c>
      <c r="BR125" s="54">
        <f>BQ125^2</f>
        <v/>
      </c>
      <c r="BS125" s="54">
        <f>(BQ125-BQ124)^2</f>
        <v/>
      </c>
      <c r="BT125" s="54">
        <f>IF(D125&gt;2000,ABS(BQ125)/D125,"")</f>
        <v/>
      </c>
      <c r="BU125" s="54" t="n">
        <v>75</v>
      </c>
      <c r="BV125" s="74" t="n">
        <v>0.5433</v>
      </c>
      <c r="BW125" s="54" t="n">
        <v>338.2</v>
      </c>
    </row>
    <row r="126">
      <c r="A126" s="73" t="n">
        <v>45774</v>
      </c>
      <c r="B126" s="53">
        <f>YEAR(A126)</f>
        <v/>
      </c>
      <c r="C126" s="53">
        <f>MONTH(A126)</f>
        <v/>
      </c>
      <c r="D126" s="54" t="n">
        <v>6144</v>
      </c>
      <c r="E126" s="55" t="n">
        <v>0.7282999999999999</v>
      </c>
      <c r="F126" s="55" t="n">
        <v>1.3019</v>
      </c>
      <c r="G126" s="55" t="n">
        <v>0</v>
      </c>
      <c r="H126" s="54" t="n">
        <v>222.55</v>
      </c>
      <c r="I126" s="54">
        <f>H126+State!$B$6/100*I125</f>
        <v/>
      </c>
      <c r="J126" s="54" t="n">
        <v>20.64</v>
      </c>
      <c r="K126" s="54" t="n">
        <v>42.86</v>
      </c>
      <c r="N126" s="54" t="n">
        <v>57.16</v>
      </c>
      <c r="O126" s="54" t="n">
        <v>32.15</v>
      </c>
      <c r="P126" s="54" t="n">
        <v>0</v>
      </c>
      <c r="Q126" s="54" t="n">
        <v>59.33</v>
      </c>
      <c r="R126" s="54" t="n">
        <v>67.77</v>
      </c>
      <c r="S126" s="54">
        <f>N126+Answers!$C$16/100*S125</f>
        <v/>
      </c>
      <c r="T126" s="54">
        <f>O126+Answers!$C$17/100*T125</f>
        <v/>
      </c>
      <c r="U126" s="54">
        <f>P126+Answers!$C$18/100*U125</f>
        <v/>
      </c>
      <c r="V126" s="54">
        <f>Q126+Answers!$C$19/100*V125</f>
        <v/>
      </c>
      <c r="W126" s="54">
        <f>R126+Answers!$C$20/100*W125</f>
        <v/>
      </c>
      <c r="X126" s="54">
        <f>State!$B$2*E126</f>
        <v/>
      </c>
      <c r="Y126" s="54">
        <f>-State!$B$3*F126</f>
        <v/>
      </c>
      <c r="Z126" s="54">
        <f>State!$B$4*G126</f>
        <v/>
      </c>
      <c r="AA126" s="54">
        <f>State!$B$5*(1-State!$B$6/100)*I126</f>
        <v/>
      </c>
      <c r="AB126" s="54">
        <f>State!$B$7*K126</f>
        <v/>
      </c>
      <c r="AE126" s="54">
        <f>State!$B$8*(1-Answers!$C$16/100)*S126</f>
        <v/>
      </c>
      <c r="AF126" s="54">
        <f>State!$B$9*(1-Answers!$C$17/100)*T126</f>
        <v/>
      </c>
      <c r="AG126" s="54">
        <f>State!$B$10*(1-Answers!$C$18/100)*U126</f>
        <v/>
      </c>
      <c r="AH126" s="54">
        <f>State!$B$11*(1-Answers!$C$19/100)*V126</f>
        <v/>
      </c>
      <c r="AI126" s="54">
        <f>State!$B$12*(1-Answers!$C$20/100)*W126</f>
        <v/>
      </c>
      <c r="AJ126" s="54">
        <f>X126</f>
        <v/>
      </c>
      <c r="AK126" s="54">
        <f>X126+Y126</f>
        <v/>
      </c>
      <c r="AL126" s="54">
        <f>AK126+Z126</f>
        <v/>
      </c>
      <c r="AM126" s="54">
        <f>AL126+AA126</f>
        <v/>
      </c>
      <c r="AN126" s="54">
        <f>AM126+AB126</f>
        <v/>
      </c>
      <c r="AO126" s="54">
        <f>AL126+AE126+AF126+AG126+AH126+AI126+AB126</f>
        <v/>
      </c>
      <c r="AP126" s="54">
        <f>IF(State!$B$46=1,AO126,AN126)</f>
        <v/>
      </c>
      <c r="AQ126" s="54" t="n">
        <v>637.7</v>
      </c>
      <c r="AR126" s="54" t="n">
        <v>-1239.9</v>
      </c>
      <c r="AS126" s="54" t="n">
        <v>0</v>
      </c>
      <c r="AT126" s="54" t="n">
        <v>4294.7</v>
      </c>
      <c r="AU126" s="54" t="n">
        <v>98.90000000000001</v>
      </c>
      <c r="AX126" s="54" t="n">
        <v>955.4</v>
      </c>
      <c r="AY126" s="54" t="n">
        <v>631.4</v>
      </c>
      <c r="AZ126" s="54" t="n">
        <v>500.7</v>
      </c>
      <c r="BA126" s="54" t="n">
        <v>171.8</v>
      </c>
      <c r="BB126" s="54" t="n">
        <v>2035.4</v>
      </c>
      <c r="BC126" s="54">
        <f>AQ126+AR126+AS126+AT126+AU126</f>
        <v/>
      </c>
      <c r="BD126" s="54">
        <f>AQ126</f>
        <v/>
      </c>
      <c r="BE126" s="54">
        <f>AQ126+AR126</f>
        <v/>
      </c>
      <c r="BF126" s="54">
        <f>BE126+AS126</f>
        <v/>
      </c>
      <c r="BG126" s="54">
        <f>BF126+AT126</f>
        <v/>
      </c>
      <c r="BH126" s="54">
        <f>BG126+AU126</f>
        <v/>
      </c>
      <c r="BI126" s="54">
        <f>BC126</f>
        <v/>
      </c>
      <c r="BJ126" s="54">
        <f>IF(State!$B$14=1,CHOOSE(State!$B$43+1,D126,BD126,BE126,BF126,BG126,BH126,BI126),BK126)</f>
        <v/>
      </c>
      <c r="BK126" s="54">
        <f>CHOOSE(State!$B$43+1,D126,AJ126,AK126,AL126,AM126,AN126,AO126)</f>
        <v/>
      </c>
      <c r="BL126" s="54">
        <f>IF(State!$B$44=1,H126,0)</f>
        <v/>
      </c>
      <c r="BQ126" s="54">
        <f>D126-AP126</f>
        <v/>
      </c>
      <c r="BR126" s="54">
        <f>BQ126^2</f>
        <v/>
      </c>
      <c r="BS126" s="54">
        <f>(BQ126-BQ125)^2</f>
        <v/>
      </c>
      <c r="BT126" s="54">
        <f>IF(D126&gt;2000,ABS(BQ126)/D126,"")</f>
        <v/>
      </c>
      <c r="BU126" s="54" t="n">
        <v>74</v>
      </c>
      <c r="BV126" s="74" t="n">
        <v>0.5543</v>
      </c>
      <c r="BW126" s="54" t="n">
        <v>411.5</v>
      </c>
    </row>
    <row r="127">
      <c r="A127" s="73" t="n">
        <v>45781</v>
      </c>
      <c r="B127" s="53">
        <f>YEAR(A127)</f>
        <v/>
      </c>
      <c r="C127" s="53">
        <f>MONTH(A127)</f>
        <v/>
      </c>
      <c r="D127" s="54" t="n">
        <v>11482</v>
      </c>
      <c r="E127" s="55" t="n">
        <v>7.4431</v>
      </c>
      <c r="F127" s="55" t="n">
        <v>0.5119</v>
      </c>
      <c r="G127" s="55" t="n">
        <v>0</v>
      </c>
      <c r="H127" s="54" t="n">
        <v>202.33</v>
      </c>
      <c r="I127" s="54">
        <f>H127+State!$B$6/100*I126</f>
        <v/>
      </c>
      <c r="J127" s="54" t="n">
        <v>25.73</v>
      </c>
      <c r="K127" s="54" t="n">
        <v>55.39</v>
      </c>
      <c r="N127" s="54" t="n">
        <v>32.59</v>
      </c>
      <c r="O127" s="54" t="n">
        <v>32.22</v>
      </c>
      <c r="P127" s="54" t="n">
        <v>0</v>
      </c>
      <c r="Q127" s="54" t="n">
        <v>57</v>
      </c>
      <c r="R127" s="54" t="n">
        <v>69.04000000000001</v>
      </c>
      <c r="S127" s="54">
        <f>N127+Answers!$C$16/100*S126</f>
        <v/>
      </c>
      <c r="T127" s="54">
        <f>O127+Answers!$C$17/100*T126</f>
        <v/>
      </c>
      <c r="U127" s="54">
        <f>P127+Answers!$C$18/100*U126</f>
        <v/>
      </c>
      <c r="V127" s="54">
        <f>Q127+Answers!$C$19/100*V126</f>
        <v/>
      </c>
      <c r="W127" s="54">
        <f>R127+Answers!$C$20/100*W126</f>
        <v/>
      </c>
      <c r="X127" s="54">
        <f>State!$B$2*E127</f>
        <v/>
      </c>
      <c r="Y127" s="54">
        <f>-State!$B$3*F127</f>
        <v/>
      </c>
      <c r="Z127" s="54">
        <f>State!$B$4*G127</f>
        <v/>
      </c>
      <c r="AA127" s="54">
        <f>State!$B$5*(1-State!$B$6/100)*I127</f>
        <v/>
      </c>
      <c r="AB127" s="54">
        <f>State!$B$7*K127</f>
        <v/>
      </c>
      <c r="AE127" s="54">
        <f>State!$B$8*(1-Answers!$C$16/100)*S127</f>
        <v/>
      </c>
      <c r="AF127" s="54">
        <f>State!$B$9*(1-Answers!$C$17/100)*T127</f>
        <v/>
      </c>
      <c r="AG127" s="54">
        <f>State!$B$10*(1-Answers!$C$18/100)*U127</f>
        <v/>
      </c>
      <c r="AH127" s="54">
        <f>State!$B$11*(1-Answers!$C$19/100)*V127</f>
        <v/>
      </c>
      <c r="AI127" s="54">
        <f>State!$B$12*(1-Answers!$C$20/100)*W127</f>
        <v/>
      </c>
      <c r="AJ127" s="54">
        <f>X127</f>
        <v/>
      </c>
      <c r="AK127" s="54">
        <f>X127+Y127</f>
        <v/>
      </c>
      <c r="AL127" s="54">
        <f>AK127+Z127</f>
        <v/>
      </c>
      <c r="AM127" s="54">
        <f>AL127+AA127</f>
        <v/>
      </c>
      <c r="AN127" s="54">
        <f>AM127+AB127</f>
        <v/>
      </c>
      <c r="AO127" s="54">
        <f>AL127+AE127+AF127+AG127+AH127+AI127+AB127</f>
        <v/>
      </c>
      <c r="AP127" s="54">
        <f>IF(State!$B$46=1,AO127,AN127)</f>
        <v/>
      </c>
      <c r="AQ127" s="54" t="n">
        <v>6517.3</v>
      </c>
      <c r="AR127" s="54" t="n">
        <v>-487.6</v>
      </c>
      <c r="AS127" s="54" t="n">
        <v>0</v>
      </c>
      <c r="AT127" s="54" t="n">
        <v>4047.8</v>
      </c>
      <c r="AU127" s="54" t="n">
        <v>219.1</v>
      </c>
      <c r="AX127" s="54" t="n">
        <v>897.5</v>
      </c>
      <c r="AY127" s="54" t="n">
        <v>620.9</v>
      </c>
      <c r="AZ127" s="54" t="n">
        <v>425.6</v>
      </c>
      <c r="BA127" s="54" t="n">
        <v>194</v>
      </c>
      <c r="BB127" s="54" t="n">
        <v>1909.8</v>
      </c>
      <c r="BC127" s="54">
        <f>AQ127+AR127+AS127+AT127+AU127</f>
        <v/>
      </c>
      <c r="BD127" s="54">
        <f>AQ127</f>
        <v/>
      </c>
      <c r="BE127" s="54">
        <f>AQ127+AR127</f>
        <v/>
      </c>
      <c r="BF127" s="54">
        <f>BE127+AS127</f>
        <v/>
      </c>
      <c r="BG127" s="54">
        <f>BF127+AT127</f>
        <v/>
      </c>
      <c r="BH127" s="54">
        <f>BG127+AU127</f>
        <v/>
      </c>
      <c r="BI127" s="54">
        <f>BC127</f>
        <v/>
      </c>
      <c r="BJ127" s="54">
        <f>IF(State!$B$14=1,CHOOSE(State!$B$43+1,D127,BD127,BE127,BF127,BG127,BH127,BI127),BK127)</f>
        <v/>
      </c>
      <c r="BK127" s="54">
        <f>CHOOSE(State!$B$43+1,D127,AJ127,AK127,AL127,AM127,AN127,AO127)</f>
        <v/>
      </c>
      <c r="BL127" s="54">
        <f>IF(State!$B$44=1,H127,0)</f>
        <v/>
      </c>
      <c r="BQ127" s="54">
        <f>D127-AP127</f>
        <v/>
      </c>
      <c r="BR127" s="54">
        <f>BQ127^2</f>
        <v/>
      </c>
      <c r="BS127" s="54">
        <f>(BQ127-BQ126)^2</f>
        <v/>
      </c>
      <c r="BT127" s="54">
        <f>IF(D127&gt;2000,ABS(BQ127)/D127,"")</f>
        <v/>
      </c>
      <c r="BU127" s="54" t="n">
        <v>128</v>
      </c>
      <c r="BV127" s="74" t="n">
        <v>0.5626</v>
      </c>
      <c r="BW127" s="54" t="n">
        <v>436.7</v>
      </c>
    </row>
    <row r="128">
      <c r="A128" s="73" t="n">
        <v>45788</v>
      </c>
      <c r="B128" s="53">
        <f>YEAR(A128)</f>
        <v/>
      </c>
      <c r="C128" s="53">
        <f>MONTH(A128)</f>
        <v/>
      </c>
      <c r="D128" s="54" t="n">
        <v>8552</v>
      </c>
      <c r="E128" s="55" t="n">
        <v>0.878</v>
      </c>
      <c r="F128" s="55" t="n">
        <v>0.6555</v>
      </c>
      <c r="G128" s="55" t="n">
        <v>0</v>
      </c>
      <c r="H128" s="54" t="n">
        <v>124.7</v>
      </c>
      <c r="I128" s="54">
        <f>H128+State!$B$6/100*I127</f>
        <v/>
      </c>
      <c r="J128" s="54" t="n">
        <v>17.55</v>
      </c>
      <c r="K128" s="54" t="n">
        <v>64.52</v>
      </c>
      <c r="N128" s="54" t="n">
        <v>0</v>
      </c>
      <c r="O128" s="54" t="n">
        <v>39.08</v>
      </c>
      <c r="P128" s="54" t="n">
        <v>0</v>
      </c>
      <c r="Q128" s="54" t="n">
        <v>0</v>
      </c>
      <c r="R128" s="54" t="n">
        <v>77.06999999999999</v>
      </c>
      <c r="S128" s="54">
        <f>N128+Answers!$C$16/100*S127</f>
        <v/>
      </c>
      <c r="T128" s="54">
        <f>O128+Answers!$C$17/100*T127</f>
        <v/>
      </c>
      <c r="U128" s="54">
        <f>P128+Answers!$C$18/100*U127</f>
        <v/>
      </c>
      <c r="V128" s="54">
        <f>Q128+Answers!$C$19/100*V127</f>
        <v/>
      </c>
      <c r="W128" s="54">
        <f>R128+Answers!$C$20/100*W127</f>
        <v/>
      </c>
      <c r="X128" s="54">
        <f>State!$B$2*E128</f>
        <v/>
      </c>
      <c r="Y128" s="54">
        <f>-State!$B$3*F128</f>
        <v/>
      </c>
      <c r="Z128" s="54">
        <f>State!$B$4*G128</f>
        <v/>
      </c>
      <c r="AA128" s="54">
        <f>State!$B$5*(1-State!$B$6/100)*I128</f>
        <v/>
      </c>
      <c r="AB128" s="54">
        <f>State!$B$7*K128</f>
        <v/>
      </c>
      <c r="AE128" s="54">
        <f>State!$B$8*(1-Answers!$C$16/100)*S128</f>
        <v/>
      </c>
      <c r="AF128" s="54">
        <f>State!$B$9*(1-Answers!$C$17/100)*T128</f>
        <v/>
      </c>
      <c r="AG128" s="54">
        <f>State!$B$10*(1-Answers!$C$18/100)*U128</f>
        <v/>
      </c>
      <c r="AH128" s="54">
        <f>State!$B$11*(1-Answers!$C$19/100)*V128</f>
        <v/>
      </c>
      <c r="AI128" s="54">
        <f>State!$B$12*(1-Answers!$C$20/100)*W128</f>
        <v/>
      </c>
      <c r="AJ128" s="54">
        <f>X128</f>
        <v/>
      </c>
      <c r="AK128" s="54">
        <f>X128+Y128</f>
        <v/>
      </c>
      <c r="AL128" s="54">
        <f>AK128+Z128</f>
        <v/>
      </c>
      <c r="AM128" s="54">
        <f>AL128+AA128</f>
        <v/>
      </c>
      <c r="AN128" s="54">
        <f>AM128+AB128</f>
        <v/>
      </c>
      <c r="AO128" s="54">
        <f>AL128+AE128+AF128+AG128+AH128+AI128+AB128</f>
        <v/>
      </c>
      <c r="AP128" s="54">
        <f>IF(State!$B$46=1,AO128,AN128)</f>
        <v/>
      </c>
      <c r="AQ128" s="54" t="n">
        <v>768.8</v>
      </c>
      <c r="AR128" s="54" t="n">
        <v>-624.3</v>
      </c>
      <c r="AS128" s="54" t="n">
        <v>0</v>
      </c>
      <c r="AT128" s="54" t="n">
        <v>3731.9</v>
      </c>
      <c r="AU128" s="54" t="n">
        <v>277.2</v>
      </c>
      <c r="AX128" s="54" t="n">
        <v>762.9</v>
      </c>
      <c r="AY128" s="54" t="n">
        <v>629.8</v>
      </c>
      <c r="AZ128" s="54" t="n">
        <v>361.8</v>
      </c>
      <c r="BA128" s="54" t="n">
        <v>164.9</v>
      </c>
      <c r="BB128" s="54" t="n">
        <v>1812.4</v>
      </c>
      <c r="BC128" s="54">
        <f>AQ128+AR128+AS128+AT128+AU128</f>
        <v/>
      </c>
      <c r="BD128" s="54">
        <f>AQ128</f>
        <v/>
      </c>
      <c r="BE128" s="54">
        <f>AQ128+AR128</f>
        <v/>
      </c>
      <c r="BF128" s="54">
        <f>BE128+AS128</f>
        <v/>
      </c>
      <c r="BG128" s="54">
        <f>BF128+AT128</f>
        <v/>
      </c>
      <c r="BH128" s="54">
        <f>BG128+AU128</f>
        <v/>
      </c>
      <c r="BI128" s="54">
        <f>BC128</f>
        <v/>
      </c>
      <c r="BJ128" s="54">
        <f>IF(State!$B$14=1,CHOOSE(State!$B$43+1,D128,BD128,BE128,BF128,BG128,BH128,BI128),BK128)</f>
        <v/>
      </c>
      <c r="BK128" s="54">
        <f>CHOOSE(State!$B$43+1,D128,AJ128,AK128,AL128,AM128,AN128,AO128)</f>
        <v/>
      </c>
      <c r="BL128" s="54">
        <f>IF(State!$B$44=1,H128,0)</f>
        <v/>
      </c>
      <c r="BQ128" s="54">
        <f>D128-AP128</f>
        <v/>
      </c>
      <c r="BR128" s="54">
        <f>BQ128^2</f>
        <v/>
      </c>
      <c r="BS128" s="54">
        <f>(BQ128-BQ127)^2</f>
        <v/>
      </c>
      <c r="BT128" s="54">
        <f>IF(D128&gt;2000,ABS(BQ128)/D128,"")</f>
        <v/>
      </c>
      <c r="BU128" s="54" t="n">
        <v>54</v>
      </c>
      <c r="BV128" s="74" t="n">
        <v>0.5626</v>
      </c>
      <c r="BW128" s="54" t="n">
        <v>387.7</v>
      </c>
    </row>
    <row r="129">
      <c r="A129" s="73" t="n">
        <v>45795</v>
      </c>
      <c r="B129" s="53">
        <f>YEAR(A129)</f>
        <v/>
      </c>
      <c r="C129" s="53">
        <f>MONTH(A129)</f>
        <v/>
      </c>
      <c r="D129" s="54" t="n">
        <v>7209</v>
      </c>
      <c r="E129" s="55" t="n">
        <v>0.976</v>
      </c>
      <c r="F129" s="55" t="n">
        <v>0.335</v>
      </c>
      <c r="G129" s="55" t="n">
        <v>0</v>
      </c>
      <c r="H129" s="54" t="n">
        <v>169.55</v>
      </c>
      <c r="I129" s="54">
        <f>H129+State!$B$6/100*I128</f>
        <v/>
      </c>
      <c r="J129" s="54" t="n">
        <v>17.71</v>
      </c>
      <c r="K129" s="54" t="n">
        <v>57.93</v>
      </c>
      <c r="N129" s="54" t="n">
        <v>0</v>
      </c>
      <c r="O129" s="54" t="n">
        <v>30.15</v>
      </c>
      <c r="P129" s="54" t="n">
        <v>0</v>
      </c>
      <c r="Q129" s="54" t="n">
        <v>0</v>
      </c>
      <c r="R129" s="54" t="n">
        <v>132.19</v>
      </c>
      <c r="S129" s="54">
        <f>N129+Answers!$C$16/100*S128</f>
        <v/>
      </c>
      <c r="T129" s="54">
        <f>O129+Answers!$C$17/100*T128</f>
        <v/>
      </c>
      <c r="U129" s="54">
        <f>P129+Answers!$C$18/100*U128</f>
        <v/>
      </c>
      <c r="V129" s="54">
        <f>Q129+Answers!$C$19/100*V128</f>
        <v/>
      </c>
      <c r="W129" s="54">
        <f>R129+Answers!$C$20/100*W128</f>
        <v/>
      </c>
      <c r="X129" s="54">
        <f>State!$B$2*E129</f>
        <v/>
      </c>
      <c r="Y129" s="54">
        <f>-State!$B$3*F129</f>
        <v/>
      </c>
      <c r="Z129" s="54">
        <f>State!$B$4*G129</f>
        <v/>
      </c>
      <c r="AA129" s="54">
        <f>State!$B$5*(1-State!$B$6/100)*I129</f>
        <v/>
      </c>
      <c r="AB129" s="54">
        <f>State!$B$7*K129</f>
        <v/>
      </c>
      <c r="AE129" s="54">
        <f>State!$B$8*(1-Answers!$C$16/100)*S129</f>
        <v/>
      </c>
      <c r="AF129" s="54">
        <f>State!$B$9*(1-Answers!$C$17/100)*T129</f>
        <v/>
      </c>
      <c r="AG129" s="54">
        <f>State!$B$10*(1-Answers!$C$18/100)*U129</f>
        <v/>
      </c>
      <c r="AH129" s="54">
        <f>State!$B$11*(1-Answers!$C$19/100)*V129</f>
        <v/>
      </c>
      <c r="AI129" s="54">
        <f>State!$B$12*(1-Answers!$C$20/100)*W129</f>
        <v/>
      </c>
      <c r="AJ129" s="54">
        <f>X129</f>
        <v/>
      </c>
      <c r="AK129" s="54">
        <f>X129+Y129</f>
        <v/>
      </c>
      <c r="AL129" s="54">
        <f>AK129+Z129</f>
        <v/>
      </c>
      <c r="AM129" s="54">
        <f>AL129+AA129</f>
        <v/>
      </c>
      <c r="AN129" s="54">
        <f>AM129+AB129</f>
        <v/>
      </c>
      <c r="AO129" s="54">
        <f>AL129+AE129+AF129+AG129+AH129+AI129+AB129</f>
        <v/>
      </c>
      <c r="AP129" s="54">
        <f>IF(State!$B$46=1,AO129,AN129)</f>
        <v/>
      </c>
      <c r="AQ129" s="54" t="n">
        <v>854.6</v>
      </c>
      <c r="AR129" s="54" t="n">
        <v>-319.1</v>
      </c>
      <c r="AS129" s="54" t="n">
        <v>0</v>
      </c>
      <c r="AT129" s="54" t="n">
        <v>3581.5</v>
      </c>
      <c r="AU129" s="54" t="n">
        <v>242.5</v>
      </c>
      <c r="AX129" s="54" t="n">
        <v>648.4</v>
      </c>
      <c r="AY129" s="54" t="n">
        <v>614.2</v>
      </c>
      <c r="AZ129" s="54" t="n">
        <v>307.5</v>
      </c>
      <c r="BA129" s="54" t="n">
        <v>140.2</v>
      </c>
      <c r="BB129" s="54" t="n">
        <v>1871.2</v>
      </c>
      <c r="BC129" s="54">
        <f>AQ129+AR129+AS129+AT129+AU129</f>
        <v/>
      </c>
      <c r="BD129" s="54">
        <f>AQ129</f>
        <v/>
      </c>
      <c r="BE129" s="54">
        <f>AQ129+AR129</f>
        <v/>
      </c>
      <c r="BF129" s="54">
        <f>BE129+AS129</f>
        <v/>
      </c>
      <c r="BG129" s="54">
        <f>BF129+AT129</f>
        <v/>
      </c>
      <c r="BH129" s="54">
        <f>BG129+AU129</f>
        <v/>
      </c>
      <c r="BI129" s="54">
        <f>BC129</f>
        <v/>
      </c>
      <c r="BJ129" s="54">
        <f>IF(State!$B$14=1,CHOOSE(State!$B$43+1,D129,BD129,BE129,BF129,BG129,BH129,BI129),BK129)</f>
        <v/>
      </c>
      <c r="BK129" s="54">
        <f>CHOOSE(State!$B$43+1,D129,AJ129,AK129,AL129,AM129,AN129,AO129)</f>
        <v/>
      </c>
      <c r="BL129" s="54">
        <f>IF(State!$B$44=1,H129,0)</f>
        <v/>
      </c>
      <c r="BQ129" s="54">
        <f>D129-AP129</f>
        <v/>
      </c>
      <c r="BR129" s="54">
        <f>BQ129^2</f>
        <v/>
      </c>
      <c r="BS129" s="54">
        <f>(BQ129-BQ128)^2</f>
        <v/>
      </c>
      <c r="BT129" s="54">
        <f>IF(D129&gt;2000,ABS(BQ129)/D129,"")</f>
        <v/>
      </c>
      <c r="BU129" s="54" t="n">
        <v>83</v>
      </c>
      <c r="BV129" s="74" t="n">
        <v>0.5626</v>
      </c>
      <c r="BW129" s="54" t="n">
        <v>368</v>
      </c>
    </row>
    <row r="130">
      <c r="A130" s="73" t="n">
        <v>45802</v>
      </c>
      <c r="B130" s="53">
        <f>YEAR(A130)</f>
        <v/>
      </c>
      <c r="C130" s="53">
        <f>MONTH(A130)</f>
        <v/>
      </c>
      <c r="D130" s="54" t="n">
        <v>7837</v>
      </c>
      <c r="E130" s="55" t="n">
        <v>1.1079</v>
      </c>
      <c r="F130" s="55" t="n">
        <v>0.2506</v>
      </c>
      <c r="G130" s="55" t="n">
        <v>0.7291</v>
      </c>
      <c r="H130" s="54" t="n">
        <v>428.13</v>
      </c>
      <c r="I130" s="54">
        <f>H130+State!$B$6/100*I129</f>
        <v/>
      </c>
      <c r="J130" s="54" t="n">
        <v>17.4</v>
      </c>
      <c r="K130" s="54" t="n">
        <v>50.5</v>
      </c>
      <c r="N130" s="54" t="n">
        <v>0</v>
      </c>
      <c r="O130" s="54" t="n">
        <v>30.06</v>
      </c>
      <c r="P130" s="54" t="n">
        <v>87.23999999999999</v>
      </c>
      <c r="Q130" s="54" t="n">
        <v>20.57</v>
      </c>
      <c r="R130" s="54" t="n">
        <v>282.42</v>
      </c>
      <c r="S130" s="54">
        <f>N130+Answers!$C$16/100*S129</f>
        <v/>
      </c>
      <c r="T130" s="54">
        <f>O130+Answers!$C$17/100*T129</f>
        <v/>
      </c>
      <c r="U130" s="54">
        <f>P130+Answers!$C$18/100*U129</f>
        <v/>
      </c>
      <c r="V130" s="54">
        <f>Q130+Answers!$C$19/100*V129</f>
        <v/>
      </c>
      <c r="W130" s="54">
        <f>R130+Answers!$C$20/100*W129</f>
        <v/>
      </c>
      <c r="X130" s="54">
        <f>State!$B$2*E130</f>
        <v/>
      </c>
      <c r="Y130" s="54">
        <f>-State!$B$3*F130</f>
        <v/>
      </c>
      <c r="Z130" s="54">
        <f>State!$B$4*G130</f>
        <v/>
      </c>
      <c r="AA130" s="54">
        <f>State!$B$5*(1-State!$B$6/100)*I130</f>
        <v/>
      </c>
      <c r="AB130" s="54">
        <f>State!$B$7*K130</f>
        <v/>
      </c>
      <c r="AE130" s="54">
        <f>State!$B$8*(1-Answers!$C$16/100)*S130</f>
        <v/>
      </c>
      <c r="AF130" s="54">
        <f>State!$B$9*(1-Answers!$C$17/100)*T130</f>
        <v/>
      </c>
      <c r="AG130" s="54">
        <f>State!$B$10*(1-Answers!$C$18/100)*U130</f>
        <v/>
      </c>
      <c r="AH130" s="54">
        <f>State!$B$11*(1-Answers!$C$19/100)*V130</f>
        <v/>
      </c>
      <c r="AI130" s="54">
        <f>State!$B$12*(1-Answers!$C$20/100)*W130</f>
        <v/>
      </c>
      <c r="AJ130" s="54">
        <f>X130</f>
        <v/>
      </c>
      <c r="AK130" s="54">
        <f>X130+Y130</f>
        <v/>
      </c>
      <c r="AL130" s="54">
        <f>AK130+Z130</f>
        <v/>
      </c>
      <c r="AM130" s="54">
        <f>AL130+AA130</f>
        <v/>
      </c>
      <c r="AN130" s="54">
        <f>AM130+AB130</f>
        <v/>
      </c>
      <c r="AO130" s="54">
        <f>AL130+AE130+AF130+AG130+AH130+AI130+AB130</f>
        <v/>
      </c>
      <c r="AP130" s="54">
        <f>IF(State!$B$46=1,AO130,AN130)</f>
        <v/>
      </c>
      <c r="AQ130" s="54" t="n">
        <v>970.1</v>
      </c>
      <c r="AR130" s="54" t="n">
        <v>-238.6</v>
      </c>
      <c r="AS130" s="54" t="n">
        <v>5539.2</v>
      </c>
      <c r="AT130" s="54" t="n">
        <v>4075.6</v>
      </c>
      <c r="AU130" s="54" t="n">
        <v>217.6</v>
      </c>
      <c r="AX130" s="54" t="n">
        <v>551.2</v>
      </c>
      <c r="AY130" s="54" t="n">
        <v>600.6</v>
      </c>
      <c r="AZ130" s="54" t="n">
        <v>489.2</v>
      </c>
      <c r="BA130" s="54" t="n">
        <v>136.5</v>
      </c>
      <c r="BB130" s="54" t="n">
        <v>2298.2</v>
      </c>
      <c r="BC130" s="54">
        <f>AQ130+AR130+AS130+AT130+AU130</f>
        <v/>
      </c>
      <c r="BD130" s="54">
        <f>AQ130</f>
        <v/>
      </c>
      <c r="BE130" s="54">
        <f>AQ130+AR130</f>
        <v/>
      </c>
      <c r="BF130" s="54">
        <f>BE130+AS130</f>
        <v/>
      </c>
      <c r="BG130" s="54">
        <f>BF130+AT130</f>
        <v/>
      </c>
      <c r="BH130" s="54">
        <f>BG130+AU130</f>
        <v/>
      </c>
      <c r="BI130" s="54">
        <f>BC130</f>
        <v/>
      </c>
      <c r="BJ130" s="54">
        <f>IF(State!$B$14=1,CHOOSE(State!$B$43+1,D130,BD130,BE130,BF130,BG130,BH130,BI130),BK130)</f>
        <v/>
      </c>
      <c r="BK130" s="54">
        <f>CHOOSE(State!$B$43+1,D130,AJ130,AK130,AL130,AM130,AN130,AO130)</f>
        <v/>
      </c>
      <c r="BL130" s="54">
        <f>IF(State!$B$44=1,H130,0)</f>
        <v/>
      </c>
      <c r="BQ130" s="54">
        <f>D130-AP130</f>
        <v/>
      </c>
      <c r="BR130" s="54">
        <f>BQ130^2</f>
        <v/>
      </c>
      <c r="BS130" s="54">
        <f>(BQ130-BQ129)^2</f>
        <v/>
      </c>
      <c r="BT130" s="54">
        <f>IF(D130&gt;2000,ABS(BQ130)/D130,"")</f>
        <v/>
      </c>
      <c r="BU130" s="54" t="n">
        <v>45</v>
      </c>
      <c r="BV130" s="74" t="n">
        <v>0.5629</v>
      </c>
      <c r="BW130" s="54" t="n">
        <v>553.4</v>
      </c>
    </row>
    <row r="131">
      <c r="A131" s="73" t="n">
        <v>45809</v>
      </c>
      <c r="B131" s="53">
        <f>YEAR(A131)</f>
        <v/>
      </c>
      <c r="C131" s="53">
        <f>MONTH(A131)</f>
        <v/>
      </c>
      <c r="D131" s="54" t="n">
        <v>9695</v>
      </c>
      <c r="E131" s="55" t="n">
        <v>1.0154</v>
      </c>
      <c r="F131" s="55" t="n">
        <v>0.2707</v>
      </c>
      <c r="G131" s="55" t="n">
        <v>0.7291</v>
      </c>
      <c r="H131" s="54" t="n">
        <v>452.79</v>
      </c>
      <c r="I131" s="54">
        <f>H131+State!$B$6/100*I130</f>
        <v/>
      </c>
      <c r="J131" s="54" t="n">
        <v>26.77</v>
      </c>
      <c r="K131" s="54" t="n">
        <v>79.22</v>
      </c>
      <c r="N131" s="54" t="n">
        <v>0</v>
      </c>
      <c r="O131" s="54" t="n">
        <v>19.85</v>
      </c>
      <c r="P131" s="54" t="n">
        <v>94.37</v>
      </c>
      <c r="Q131" s="54" t="n">
        <v>43.12</v>
      </c>
      <c r="R131" s="54" t="n">
        <v>285.76</v>
      </c>
      <c r="S131" s="54">
        <f>N131+Answers!$C$16/100*S130</f>
        <v/>
      </c>
      <c r="T131" s="54">
        <f>O131+Answers!$C$17/100*T130</f>
        <v/>
      </c>
      <c r="U131" s="54">
        <f>P131+Answers!$C$18/100*U130</f>
        <v/>
      </c>
      <c r="V131" s="54">
        <f>Q131+Answers!$C$19/100*V130</f>
        <v/>
      </c>
      <c r="W131" s="54">
        <f>R131+Answers!$C$20/100*W130</f>
        <v/>
      </c>
      <c r="X131" s="54">
        <f>State!$B$2*E131</f>
        <v/>
      </c>
      <c r="Y131" s="54">
        <f>-State!$B$3*F131</f>
        <v/>
      </c>
      <c r="Z131" s="54">
        <f>State!$B$4*G131</f>
        <v/>
      </c>
      <c r="AA131" s="54">
        <f>State!$B$5*(1-State!$B$6/100)*I131</f>
        <v/>
      </c>
      <c r="AB131" s="54">
        <f>State!$B$7*K131</f>
        <v/>
      </c>
      <c r="AE131" s="54">
        <f>State!$B$8*(1-Answers!$C$16/100)*S131</f>
        <v/>
      </c>
      <c r="AF131" s="54">
        <f>State!$B$9*(1-Answers!$C$17/100)*T131</f>
        <v/>
      </c>
      <c r="AG131" s="54">
        <f>State!$B$10*(1-Answers!$C$18/100)*U131</f>
        <v/>
      </c>
      <c r="AH131" s="54">
        <f>State!$B$11*(1-Answers!$C$19/100)*V131</f>
        <v/>
      </c>
      <c r="AI131" s="54">
        <f>State!$B$12*(1-Answers!$C$20/100)*W131</f>
        <v/>
      </c>
      <c r="AJ131" s="54">
        <f>X131</f>
        <v/>
      </c>
      <c r="AK131" s="54">
        <f>X131+Y131</f>
        <v/>
      </c>
      <c r="AL131" s="54">
        <f>AK131+Z131</f>
        <v/>
      </c>
      <c r="AM131" s="54">
        <f>AL131+AA131</f>
        <v/>
      </c>
      <c r="AN131" s="54">
        <f>AM131+AB131</f>
        <v/>
      </c>
      <c r="AO131" s="54">
        <f>AL131+AE131+AF131+AG131+AH131+AI131+AB131</f>
        <v/>
      </c>
      <c r="AP131" s="54">
        <f>IF(State!$B$46=1,AO131,AN131)</f>
        <v/>
      </c>
      <c r="AQ131" s="54" t="n">
        <v>889.1</v>
      </c>
      <c r="AR131" s="54" t="n">
        <v>-257.8</v>
      </c>
      <c r="AS131" s="54" t="n">
        <v>5539.2</v>
      </c>
      <c r="AT131" s="54" t="n">
        <v>4514.6</v>
      </c>
      <c r="AU131" s="54" t="n">
        <v>251.8</v>
      </c>
      <c r="AX131" s="54" t="n">
        <v>468.5</v>
      </c>
      <c r="AY131" s="54" t="n">
        <v>562.4</v>
      </c>
      <c r="AZ131" s="54" t="n">
        <v>662.2</v>
      </c>
      <c r="BA131" s="54" t="n">
        <v>152.3</v>
      </c>
      <c r="BB131" s="54" t="n">
        <v>2669.2</v>
      </c>
      <c r="BC131" s="54">
        <f>AQ131+AR131+AS131+AT131+AU131</f>
        <v/>
      </c>
      <c r="BD131" s="54">
        <f>AQ131</f>
        <v/>
      </c>
      <c r="BE131" s="54">
        <f>AQ131+AR131</f>
        <v/>
      </c>
      <c r="BF131" s="54">
        <f>BE131+AS131</f>
        <v/>
      </c>
      <c r="BG131" s="54">
        <f>BF131+AT131</f>
        <v/>
      </c>
      <c r="BH131" s="54">
        <f>BG131+AU131</f>
        <v/>
      </c>
      <c r="BI131" s="54">
        <f>BC131</f>
        <v/>
      </c>
      <c r="BJ131" s="54">
        <f>IF(State!$B$14=1,CHOOSE(State!$B$43+1,D131,BD131,BE131,BF131,BG131,BH131,BI131),BK131)</f>
        <v/>
      </c>
      <c r="BK131" s="54">
        <f>CHOOSE(State!$B$43+1,D131,AJ131,AK131,AL131,AM131,AN131,AO131)</f>
        <v/>
      </c>
      <c r="BL131" s="54">
        <f>IF(State!$B$44=1,H131,0)</f>
        <v/>
      </c>
      <c r="BQ131" s="54">
        <f>D131-AP131</f>
        <v/>
      </c>
      <c r="BR131" s="54">
        <f>BQ131^2</f>
        <v/>
      </c>
      <c r="BS131" s="54">
        <f>(BQ131-BQ130)^2</f>
        <v/>
      </c>
      <c r="BT131" s="54">
        <f>IF(D131&gt;2000,ABS(BQ131)/D131,"")</f>
        <v/>
      </c>
      <c r="BU131" s="54" t="n">
        <v>70</v>
      </c>
      <c r="BV131" s="74" t="n">
        <v>0.5649</v>
      </c>
      <c r="BW131" s="54" t="n">
        <v>593.5</v>
      </c>
    </row>
    <row r="132">
      <c r="A132" s="73" t="n">
        <v>45816</v>
      </c>
      <c r="B132" s="53">
        <f>YEAR(A132)</f>
        <v/>
      </c>
      <c r="C132" s="53">
        <f>MONTH(A132)</f>
        <v/>
      </c>
      <c r="D132" s="54" t="n">
        <v>7537</v>
      </c>
      <c r="E132" s="55" t="n">
        <v>1.3493</v>
      </c>
      <c r="F132" s="55" t="n">
        <v>0.3646</v>
      </c>
      <c r="G132" s="55" t="n">
        <v>0.7291</v>
      </c>
      <c r="H132" s="54" t="n">
        <v>174.94</v>
      </c>
      <c r="I132" s="54">
        <f>H132+State!$B$6/100*I131</f>
        <v/>
      </c>
      <c r="J132" s="54" t="n">
        <v>58.46</v>
      </c>
      <c r="K132" s="54" t="n">
        <v>941.61</v>
      </c>
      <c r="N132" s="54" t="n">
        <v>0</v>
      </c>
      <c r="O132" s="54" t="n">
        <v>40.6</v>
      </c>
      <c r="P132" s="54" t="n">
        <v>13.17</v>
      </c>
      <c r="Q132" s="54" t="n">
        <v>43.12</v>
      </c>
      <c r="R132" s="54" t="n">
        <v>70.52</v>
      </c>
      <c r="S132" s="54">
        <f>N132+Answers!$C$16/100*S131</f>
        <v/>
      </c>
      <c r="T132" s="54">
        <f>O132+Answers!$C$17/100*T131</f>
        <v/>
      </c>
      <c r="U132" s="54">
        <f>P132+Answers!$C$18/100*U131</f>
        <v/>
      </c>
      <c r="V132" s="54">
        <f>Q132+Answers!$C$19/100*V131</f>
        <v/>
      </c>
      <c r="W132" s="54">
        <f>R132+Answers!$C$20/100*W131</f>
        <v/>
      </c>
      <c r="X132" s="54">
        <f>State!$B$2*E132</f>
        <v/>
      </c>
      <c r="Y132" s="54">
        <f>-State!$B$3*F132</f>
        <v/>
      </c>
      <c r="Z132" s="54">
        <f>State!$B$4*G132</f>
        <v/>
      </c>
      <c r="AA132" s="54">
        <f>State!$B$5*(1-State!$B$6/100)*I132</f>
        <v/>
      </c>
      <c r="AB132" s="54">
        <f>State!$B$7*K132</f>
        <v/>
      </c>
      <c r="AE132" s="54">
        <f>State!$B$8*(1-Answers!$C$16/100)*S132</f>
        <v/>
      </c>
      <c r="AF132" s="54">
        <f>State!$B$9*(1-Answers!$C$17/100)*T132</f>
        <v/>
      </c>
      <c r="AG132" s="54">
        <f>State!$B$10*(1-Answers!$C$18/100)*U132</f>
        <v/>
      </c>
      <c r="AH132" s="54">
        <f>State!$B$11*(1-Answers!$C$19/100)*V132</f>
        <v/>
      </c>
      <c r="AI132" s="54">
        <f>State!$B$12*(1-Answers!$C$20/100)*W132</f>
        <v/>
      </c>
      <c r="AJ132" s="54">
        <f>X132</f>
        <v/>
      </c>
      <c r="AK132" s="54">
        <f>X132+Y132</f>
        <v/>
      </c>
      <c r="AL132" s="54">
        <f>AK132+Z132</f>
        <v/>
      </c>
      <c r="AM132" s="54">
        <f>AL132+AA132</f>
        <v/>
      </c>
      <c r="AN132" s="54">
        <f>AM132+AB132</f>
        <v/>
      </c>
      <c r="AO132" s="54">
        <f>AL132+AE132+AF132+AG132+AH132+AI132+AB132</f>
        <v/>
      </c>
      <c r="AP132" s="54">
        <f>IF(State!$B$46=1,AO132,AN132)</f>
        <v/>
      </c>
      <c r="AQ132" s="54" t="n">
        <v>1181.5</v>
      </c>
      <c r="AR132" s="54" t="n">
        <v>-347.3</v>
      </c>
      <c r="AS132" s="54" t="n">
        <v>5539.2</v>
      </c>
      <c r="AT132" s="54" t="n">
        <v>4193.3</v>
      </c>
      <c r="AU132" s="54" t="n">
        <v>588.8</v>
      </c>
      <c r="AX132" s="54" t="n">
        <v>398.2</v>
      </c>
      <c r="AY132" s="54" t="n">
        <v>584.1</v>
      </c>
      <c r="AZ132" s="54" t="n">
        <v>597.2</v>
      </c>
      <c r="BA132" s="54" t="n">
        <v>165.7</v>
      </c>
      <c r="BB132" s="54" t="n">
        <v>2448</v>
      </c>
      <c r="BC132" s="54">
        <f>AQ132+AR132+AS132+AT132+AU132</f>
        <v/>
      </c>
      <c r="BD132" s="54">
        <f>AQ132</f>
        <v/>
      </c>
      <c r="BE132" s="54">
        <f>AQ132+AR132</f>
        <v/>
      </c>
      <c r="BF132" s="54">
        <f>BE132+AS132</f>
        <v/>
      </c>
      <c r="BG132" s="54">
        <f>BF132+AT132</f>
        <v/>
      </c>
      <c r="BH132" s="54">
        <f>BG132+AU132</f>
        <v/>
      </c>
      <c r="BI132" s="54">
        <f>BC132</f>
        <v/>
      </c>
      <c r="BJ132" s="54">
        <f>IF(State!$B$14=1,CHOOSE(State!$B$43+1,D132,BD132,BE132,BF132,BG132,BH132,BI132),BK132)</f>
        <v/>
      </c>
      <c r="BK132" s="54">
        <f>CHOOSE(State!$B$43+1,D132,AJ132,AK132,AL132,AM132,AN132,AO132)</f>
        <v/>
      </c>
      <c r="BL132" s="54">
        <f>IF(State!$B$44=1,H132,0)</f>
        <v/>
      </c>
      <c r="BQ132" s="54">
        <f>D132-AP132</f>
        <v/>
      </c>
      <c r="BR132" s="54">
        <f>BQ132^2</f>
        <v/>
      </c>
      <c r="BS132" s="54">
        <f>(BQ132-BQ131)^2</f>
        <v/>
      </c>
      <c r="BT132" s="54">
        <f>IF(D132&gt;2000,ABS(BQ132)/D132,"")</f>
        <v/>
      </c>
      <c r="BU132" s="54" t="n">
        <v>82</v>
      </c>
      <c r="BV132" s="74" t="n">
        <v>0.5649</v>
      </c>
      <c r="BW132" s="54" t="n">
        <v>1186.3</v>
      </c>
    </row>
    <row r="133">
      <c r="A133" s="73" t="n">
        <v>45823</v>
      </c>
      <c r="B133" s="53">
        <f>YEAR(A133)</f>
        <v/>
      </c>
      <c r="C133" s="53">
        <f>MONTH(A133)</f>
        <v/>
      </c>
      <c r="D133" s="54" t="n">
        <v>4443</v>
      </c>
      <c r="E133" s="55" t="n">
        <v>1.1831</v>
      </c>
      <c r="F133" s="55" t="n">
        <v>0.3577</v>
      </c>
      <c r="G133" s="55" t="n">
        <v>0</v>
      </c>
      <c r="H133" s="54" t="n">
        <v>96.11</v>
      </c>
      <c r="I133" s="54">
        <f>H133+State!$B$6/100*I132</f>
        <v/>
      </c>
      <c r="J133" s="54" t="n">
        <v>46.14</v>
      </c>
      <c r="K133" s="54" t="n">
        <v>987.41</v>
      </c>
      <c r="N133" s="54" t="n">
        <v>0</v>
      </c>
      <c r="O133" s="54" t="n">
        <v>30.71</v>
      </c>
      <c r="P133" s="54" t="n">
        <v>0</v>
      </c>
      <c r="Q133" s="54" t="n">
        <v>27.07</v>
      </c>
      <c r="R133" s="54" t="n">
        <v>33.88</v>
      </c>
      <c r="S133" s="54">
        <f>N133+Answers!$C$16/100*S132</f>
        <v/>
      </c>
      <c r="T133" s="54">
        <f>O133+Answers!$C$17/100*T132</f>
        <v/>
      </c>
      <c r="U133" s="54">
        <f>P133+Answers!$C$18/100*U132</f>
        <v/>
      </c>
      <c r="V133" s="54">
        <f>Q133+Answers!$C$19/100*V132</f>
        <v/>
      </c>
      <c r="W133" s="54">
        <f>R133+Answers!$C$20/100*W132</f>
        <v/>
      </c>
      <c r="X133" s="54">
        <f>State!$B$2*E133</f>
        <v/>
      </c>
      <c r="Y133" s="54">
        <f>-State!$B$3*F133</f>
        <v/>
      </c>
      <c r="Z133" s="54">
        <f>State!$B$4*G133</f>
        <v/>
      </c>
      <c r="AA133" s="54">
        <f>State!$B$5*(1-State!$B$6/100)*I133</f>
        <v/>
      </c>
      <c r="AB133" s="54">
        <f>State!$B$7*K133</f>
        <v/>
      </c>
      <c r="AE133" s="54">
        <f>State!$B$8*(1-Answers!$C$16/100)*S133</f>
        <v/>
      </c>
      <c r="AF133" s="54">
        <f>State!$B$9*(1-Answers!$C$17/100)*T133</f>
        <v/>
      </c>
      <c r="AG133" s="54">
        <f>State!$B$10*(1-Answers!$C$18/100)*U133</f>
        <v/>
      </c>
      <c r="AH133" s="54">
        <f>State!$B$11*(1-Answers!$C$19/100)*V133</f>
        <v/>
      </c>
      <c r="AI133" s="54">
        <f>State!$B$12*(1-Answers!$C$20/100)*W133</f>
        <v/>
      </c>
      <c r="AJ133" s="54">
        <f>X133</f>
        <v/>
      </c>
      <c r="AK133" s="54">
        <f>X133+Y133</f>
        <v/>
      </c>
      <c r="AL133" s="54">
        <f>AK133+Z133</f>
        <v/>
      </c>
      <c r="AM133" s="54">
        <f>AL133+AA133</f>
        <v/>
      </c>
      <c r="AN133" s="54">
        <f>AM133+AB133</f>
        <v/>
      </c>
      <c r="AO133" s="54">
        <f>AL133+AE133+AF133+AG133+AH133+AI133+AB133</f>
        <v/>
      </c>
      <c r="AP133" s="54">
        <f>IF(State!$B$46=1,AO133,AN133)</f>
        <v/>
      </c>
      <c r="AQ133" s="54" t="n">
        <v>1035.9</v>
      </c>
      <c r="AR133" s="54" t="n">
        <v>-340.7</v>
      </c>
      <c r="AS133" s="54" t="n">
        <v>0</v>
      </c>
      <c r="AT133" s="54" t="n">
        <v>3760.1</v>
      </c>
      <c r="AU133" s="54" t="n">
        <v>555.3</v>
      </c>
      <c r="AX133" s="54" t="n">
        <v>338.5</v>
      </c>
      <c r="AY133" s="54" t="n">
        <v>576.7</v>
      </c>
      <c r="AZ133" s="54" t="n">
        <v>507.6</v>
      </c>
      <c r="BA133" s="54" t="n">
        <v>163.6</v>
      </c>
      <c r="BB133" s="54" t="n">
        <v>2173.6</v>
      </c>
      <c r="BC133" s="54">
        <f>AQ133+AR133+AS133+AT133+AU133</f>
        <v/>
      </c>
      <c r="BD133" s="54">
        <f>AQ133</f>
        <v/>
      </c>
      <c r="BE133" s="54">
        <f>AQ133+AR133</f>
        <v/>
      </c>
      <c r="BF133" s="54">
        <f>BE133+AS133</f>
        <v/>
      </c>
      <c r="BG133" s="54">
        <f>BF133+AT133</f>
        <v/>
      </c>
      <c r="BH133" s="54">
        <f>BG133+AU133</f>
        <v/>
      </c>
      <c r="BI133" s="54">
        <f>BC133</f>
        <v/>
      </c>
      <c r="BJ133" s="54">
        <f>IF(State!$B$14=1,CHOOSE(State!$B$43+1,D133,BD133,BE133,BF133,BG133,BH133,BI133),BK133)</f>
        <v/>
      </c>
      <c r="BK133" s="54">
        <f>CHOOSE(State!$B$43+1,D133,AJ133,AK133,AL133,AM133,AN133,AO133)</f>
        <v/>
      </c>
      <c r="BL133" s="54">
        <f>IF(State!$B$44=1,H133,0)</f>
        <v/>
      </c>
      <c r="BQ133" s="54">
        <f>D133-AP133</f>
        <v/>
      </c>
      <c r="BR133" s="54">
        <f>BQ133^2</f>
        <v/>
      </c>
      <c r="BS133" s="54">
        <f>(BQ133-BQ132)^2</f>
        <v/>
      </c>
      <c r="BT133" s="54">
        <f>IF(D133&gt;2000,ABS(BQ133)/D133,"")</f>
        <v/>
      </c>
      <c r="BU133" s="54" t="n">
        <v>94</v>
      </c>
      <c r="BV133" s="74" t="n">
        <v>0.5649</v>
      </c>
      <c r="BW133" s="54" t="n">
        <v>1187.6</v>
      </c>
    </row>
    <row r="134">
      <c r="A134" s="73" t="n">
        <v>45830</v>
      </c>
      <c r="B134" s="53">
        <f>YEAR(A134)</f>
        <v/>
      </c>
      <c r="C134" s="53">
        <f>MONTH(A134)</f>
        <v/>
      </c>
      <c r="D134" s="54" t="n">
        <v>3214</v>
      </c>
      <c r="E134" s="55" t="n">
        <v>1.5262</v>
      </c>
      <c r="F134" s="55" t="n">
        <v>0.3139</v>
      </c>
      <c r="G134" s="55" t="n">
        <v>0</v>
      </c>
      <c r="H134" s="54" t="n">
        <v>48.31</v>
      </c>
      <c r="I134" s="54">
        <f>H134+State!$B$6/100*I133</f>
        <v/>
      </c>
      <c r="J134" s="54" t="n">
        <v>50.02</v>
      </c>
      <c r="K134" s="54" t="n">
        <v>298.7</v>
      </c>
      <c r="N134" s="54" t="n">
        <v>0</v>
      </c>
      <c r="O134" s="54" t="n">
        <v>0.01</v>
      </c>
      <c r="P134" s="54" t="n">
        <v>0</v>
      </c>
      <c r="Q134" s="54" t="n">
        <v>6.5</v>
      </c>
      <c r="R134" s="54" t="n">
        <v>38.58</v>
      </c>
      <c r="S134" s="54">
        <f>N134+Answers!$C$16/100*S133</f>
        <v/>
      </c>
      <c r="T134" s="54">
        <f>O134+Answers!$C$17/100*T133</f>
        <v/>
      </c>
      <c r="U134" s="54">
        <f>P134+Answers!$C$18/100*U133</f>
        <v/>
      </c>
      <c r="V134" s="54">
        <f>Q134+Answers!$C$19/100*V133</f>
        <v/>
      </c>
      <c r="W134" s="54">
        <f>R134+Answers!$C$20/100*W133</f>
        <v/>
      </c>
      <c r="X134" s="54">
        <f>State!$B$2*E134</f>
        <v/>
      </c>
      <c r="Y134" s="54">
        <f>-State!$B$3*F134</f>
        <v/>
      </c>
      <c r="Z134" s="54">
        <f>State!$B$4*G134</f>
        <v/>
      </c>
      <c r="AA134" s="54">
        <f>State!$B$5*(1-State!$B$6/100)*I134</f>
        <v/>
      </c>
      <c r="AB134" s="54">
        <f>State!$B$7*K134</f>
        <v/>
      </c>
      <c r="AE134" s="54">
        <f>State!$B$8*(1-Answers!$C$16/100)*S134</f>
        <v/>
      </c>
      <c r="AF134" s="54">
        <f>State!$B$9*(1-Answers!$C$17/100)*T134</f>
        <v/>
      </c>
      <c r="AG134" s="54">
        <f>State!$B$10*(1-Answers!$C$18/100)*U134</f>
        <v/>
      </c>
      <c r="AH134" s="54">
        <f>State!$B$11*(1-Answers!$C$19/100)*V134</f>
        <v/>
      </c>
      <c r="AI134" s="54">
        <f>State!$B$12*(1-Answers!$C$20/100)*W134</f>
        <v/>
      </c>
      <c r="AJ134" s="54">
        <f>X134</f>
        <v/>
      </c>
      <c r="AK134" s="54">
        <f>X134+Y134</f>
        <v/>
      </c>
      <c r="AL134" s="54">
        <f>AK134+Z134</f>
        <v/>
      </c>
      <c r="AM134" s="54">
        <f>AL134+AA134</f>
        <v/>
      </c>
      <c r="AN134" s="54">
        <f>AM134+AB134</f>
        <v/>
      </c>
      <c r="AO134" s="54">
        <f>AL134+AE134+AF134+AG134+AH134+AI134+AB134</f>
        <v/>
      </c>
      <c r="AP134" s="54">
        <f>IF(State!$B$46=1,AO134,AN134)</f>
        <v/>
      </c>
      <c r="AQ134" s="54" t="n">
        <v>1336.3</v>
      </c>
      <c r="AR134" s="54" t="n">
        <v>-299</v>
      </c>
      <c r="AS134" s="54" t="n">
        <v>0</v>
      </c>
      <c r="AT134" s="54" t="n">
        <v>3309.8</v>
      </c>
      <c r="AU134" s="54" t="n">
        <v>521.5</v>
      </c>
      <c r="AX134" s="54" t="n">
        <v>287.7</v>
      </c>
      <c r="AY134" s="54" t="n">
        <v>490.2</v>
      </c>
      <c r="AZ134" s="54" t="n">
        <v>431.5</v>
      </c>
      <c r="BA134" s="54" t="n">
        <v>144.5</v>
      </c>
      <c r="BB134" s="54" t="n">
        <v>1955.8</v>
      </c>
      <c r="BC134" s="54">
        <f>AQ134+AR134+AS134+AT134+AU134</f>
        <v/>
      </c>
      <c r="BD134" s="54">
        <f>AQ134</f>
        <v/>
      </c>
      <c r="BE134" s="54">
        <f>AQ134+AR134</f>
        <v/>
      </c>
      <c r="BF134" s="54">
        <f>BE134+AS134</f>
        <v/>
      </c>
      <c r="BG134" s="54">
        <f>BF134+AT134</f>
        <v/>
      </c>
      <c r="BH134" s="54">
        <f>BG134+AU134</f>
        <v/>
      </c>
      <c r="BI134" s="54">
        <f>BC134</f>
        <v/>
      </c>
      <c r="BJ134" s="54">
        <f>IF(State!$B$14=1,CHOOSE(State!$B$43+1,D134,BD134,BE134,BF134,BG134,BH134,BI134),BK134)</f>
        <v/>
      </c>
      <c r="BK134" s="54">
        <f>CHOOSE(State!$B$43+1,D134,AJ134,AK134,AL134,AM134,AN134,AO134)</f>
        <v/>
      </c>
      <c r="BL134" s="54">
        <f>IF(State!$B$44=1,H134,0)</f>
        <v/>
      </c>
      <c r="BQ134" s="54">
        <f>D134-AP134</f>
        <v/>
      </c>
      <c r="BR134" s="54">
        <f>BQ134^2</f>
        <v/>
      </c>
      <c r="BS134" s="54">
        <f>(BQ134-BQ133)^2</f>
        <v/>
      </c>
      <c r="BT134" s="54">
        <f>IF(D134&gt;2000,ABS(BQ134)/D134,"")</f>
        <v/>
      </c>
      <c r="BU134" s="54" t="n">
        <v>71</v>
      </c>
      <c r="BV134" s="74" t="n">
        <v>0.5649</v>
      </c>
      <c r="BW134" s="54" t="n">
        <v>446.2</v>
      </c>
    </row>
    <row r="135">
      <c r="A135" s="73" t="n">
        <v>45837</v>
      </c>
      <c r="B135" s="53">
        <f>YEAR(A135)</f>
        <v/>
      </c>
      <c r="C135" s="53">
        <f>MONTH(A135)</f>
        <v/>
      </c>
      <c r="D135" s="54" t="n">
        <v>3648</v>
      </c>
      <c r="E135" s="55" t="n">
        <v>1.3325</v>
      </c>
      <c r="F135" s="55" t="n">
        <v>0.1379</v>
      </c>
      <c r="G135" s="55" t="n">
        <v>0</v>
      </c>
      <c r="H135" s="54" t="n">
        <v>45.86</v>
      </c>
      <c r="I135" s="54">
        <f>H135+State!$B$6/100*I134</f>
        <v/>
      </c>
      <c r="J135" s="54" t="n">
        <v>32.83</v>
      </c>
      <c r="K135" s="54" t="n">
        <v>223.2</v>
      </c>
      <c r="N135" s="54" t="n">
        <v>0</v>
      </c>
      <c r="O135" s="54" t="n">
        <v>0</v>
      </c>
      <c r="P135" s="54" t="n">
        <v>0</v>
      </c>
      <c r="Q135" s="54" t="n">
        <v>0</v>
      </c>
      <c r="R135" s="54" t="n">
        <v>42.21</v>
      </c>
      <c r="S135" s="54">
        <f>N135+Answers!$C$16/100*S134</f>
        <v/>
      </c>
      <c r="T135" s="54">
        <f>O135+Answers!$C$17/100*T134</f>
        <v/>
      </c>
      <c r="U135" s="54">
        <f>P135+Answers!$C$18/100*U134</f>
        <v/>
      </c>
      <c r="V135" s="54">
        <f>Q135+Answers!$C$19/100*V134</f>
        <v/>
      </c>
      <c r="W135" s="54">
        <f>R135+Answers!$C$20/100*W134</f>
        <v/>
      </c>
      <c r="X135" s="54">
        <f>State!$B$2*E135</f>
        <v/>
      </c>
      <c r="Y135" s="54">
        <f>-State!$B$3*F135</f>
        <v/>
      </c>
      <c r="Z135" s="54">
        <f>State!$B$4*G135</f>
        <v/>
      </c>
      <c r="AA135" s="54">
        <f>State!$B$5*(1-State!$B$6/100)*I135</f>
        <v/>
      </c>
      <c r="AB135" s="54">
        <f>State!$B$7*K135</f>
        <v/>
      </c>
      <c r="AE135" s="54">
        <f>State!$B$8*(1-Answers!$C$16/100)*S135</f>
        <v/>
      </c>
      <c r="AF135" s="54">
        <f>State!$B$9*(1-Answers!$C$17/100)*T135</f>
        <v/>
      </c>
      <c r="AG135" s="54">
        <f>State!$B$10*(1-Answers!$C$18/100)*U135</f>
        <v/>
      </c>
      <c r="AH135" s="54">
        <f>State!$B$11*(1-Answers!$C$19/100)*V135</f>
        <v/>
      </c>
      <c r="AI135" s="54">
        <f>State!$B$12*(1-Answers!$C$20/100)*W135</f>
        <v/>
      </c>
      <c r="AJ135" s="54">
        <f>X135</f>
        <v/>
      </c>
      <c r="AK135" s="54">
        <f>X135+Y135</f>
        <v/>
      </c>
      <c r="AL135" s="54">
        <f>AK135+Z135</f>
        <v/>
      </c>
      <c r="AM135" s="54">
        <f>AL135+AA135</f>
        <v/>
      </c>
      <c r="AN135" s="54">
        <f>AM135+AB135</f>
        <v/>
      </c>
      <c r="AO135" s="54">
        <f>AL135+AE135+AF135+AG135+AH135+AI135+AB135</f>
        <v/>
      </c>
      <c r="AP135" s="54">
        <f>IF(State!$B$46=1,AO135,AN135)</f>
        <v/>
      </c>
      <c r="AQ135" s="54" t="n">
        <v>1166.8</v>
      </c>
      <c r="AR135" s="54" t="n">
        <v>-131.4</v>
      </c>
      <c r="AS135" s="54" t="n">
        <v>0</v>
      </c>
      <c r="AT135" s="54" t="n">
        <v>2932.5</v>
      </c>
      <c r="AU135" s="54" t="n">
        <v>477.1</v>
      </c>
      <c r="AX135" s="54" t="n">
        <v>244.6</v>
      </c>
      <c r="AY135" s="54" t="n">
        <v>416.7</v>
      </c>
      <c r="AZ135" s="54" t="n">
        <v>366.8</v>
      </c>
      <c r="BA135" s="54" t="n">
        <v>122.9</v>
      </c>
      <c r="BB135" s="54" t="n">
        <v>1781.6</v>
      </c>
      <c r="BC135" s="54">
        <f>AQ135+AR135+AS135+AT135+AU135</f>
        <v/>
      </c>
      <c r="BD135" s="54">
        <f>AQ135</f>
        <v/>
      </c>
      <c r="BE135" s="54">
        <f>AQ135+AR135</f>
        <v/>
      </c>
      <c r="BF135" s="54">
        <f>BE135+AS135</f>
        <v/>
      </c>
      <c r="BG135" s="54">
        <f>BF135+AT135</f>
        <v/>
      </c>
      <c r="BH135" s="54">
        <f>BG135+AU135</f>
        <v/>
      </c>
      <c r="BI135" s="54">
        <f>BC135</f>
        <v/>
      </c>
      <c r="BJ135" s="54">
        <f>IF(State!$B$14=1,CHOOSE(State!$B$43+1,D135,BD135,BE135,BF135,BG135,BH135,BI135),BK135)</f>
        <v/>
      </c>
      <c r="BK135" s="54">
        <f>CHOOSE(State!$B$43+1,D135,AJ135,AK135,AL135,AM135,AN135,AO135)</f>
        <v/>
      </c>
      <c r="BL135" s="54">
        <f>IF(State!$B$44=1,H135,0)</f>
        <v/>
      </c>
      <c r="BQ135" s="54">
        <f>D135-AP135</f>
        <v/>
      </c>
      <c r="BR135" s="54">
        <f>BQ135^2</f>
        <v/>
      </c>
      <c r="BS135" s="54">
        <f>(BQ135-BQ134)^2</f>
        <v/>
      </c>
      <c r="BT135" s="54">
        <f>IF(D135&gt;2000,ABS(BQ135)/D135,"")</f>
        <v/>
      </c>
      <c r="BU135" s="54" t="n">
        <v>109</v>
      </c>
      <c r="BV135" s="74" t="n">
        <v>0.5546</v>
      </c>
      <c r="BW135" s="54" t="n">
        <v>378.2</v>
      </c>
    </row>
    <row r="136">
      <c r="A136" s="73" t="n">
        <v>45844</v>
      </c>
      <c r="B136" s="53">
        <f>YEAR(A136)</f>
        <v/>
      </c>
      <c r="C136" s="53">
        <f>MONTH(A136)</f>
        <v/>
      </c>
      <c r="D136" s="54" t="n">
        <v>2800</v>
      </c>
      <c r="E136" s="55" t="n">
        <v>1.2145</v>
      </c>
      <c r="F136" s="55" t="n">
        <v>0.2604</v>
      </c>
      <c r="G136" s="55" t="n">
        <v>0</v>
      </c>
      <c r="H136" s="54" t="n">
        <v>46.16</v>
      </c>
      <c r="I136" s="54">
        <f>H136+State!$B$6/100*I135</f>
        <v/>
      </c>
      <c r="J136" s="54" t="n">
        <v>60.71</v>
      </c>
      <c r="K136" s="54" t="n">
        <v>152.96</v>
      </c>
      <c r="N136" s="54" t="n">
        <v>0</v>
      </c>
      <c r="O136" s="54" t="n">
        <v>0</v>
      </c>
      <c r="P136" s="54" t="n">
        <v>0</v>
      </c>
      <c r="Q136" s="54" t="n">
        <v>0</v>
      </c>
      <c r="R136" s="54" t="n">
        <v>43.36</v>
      </c>
      <c r="S136" s="54">
        <f>N136+Answers!$C$16/100*S135</f>
        <v/>
      </c>
      <c r="T136" s="54">
        <f>O136+Answers!$C$17/100*T135</f>
        <v/>
      </c>
      <c r="U136" s="54">
        <f>P136+Answers!$C$18/100*U135</f>
        <v/>
      </c>
      <c r="V136" s="54">
        <f>Q136+Answers!$C$19/100*V135</f>
        <v/>
      </c>
      <c r="W136" s="54">
        <f>R136+Answers!$C$20/100*W135</f>
        <v/>
      </c>
      <c r="X136" s="54">
        <f>State!$B$2*E136</f>
        <v/>
      </c>
      <c r="Y136" s="54">
        <f>-State!$B$3*F136</f>
        <v/>
      </c>
      <c r="Z136" s="54">
        <f>State!$B$4*G136</f>
        <v/>
      </c>
      <c r="AA136" s="54">
        <f>State!$B$5*(1-State!$B$6/100)*I136</f>
        <v/>
      </c>
      <c r="AB136" s="54">
        <f>State!$B$7*K136</f>
        <v/>
      </c>
      <c r="AE136" s="54">
        <f>State!$B$8*(1-Answers!$C$16/100)*S136</f>
        <v/>
      </c>
      <c r="AF136" s="54">
        <f>State!$B$9*(1-Answers!$C$17/100)*T136</f>
        <v/>
      </c>
      <c r="AG136" s="54">
        <f>State!$B$10*(1-Answers!$C$18/100)*U136</f>
        <v/>
      </c>
      <c r="AH136" s="54">
        <f>State!$B$11*(1-Answers!$C$19/100)*V136</f>
        <v/>
      </c>
      <c r="AI136" s="54">
        <f>State!$B$12*(1-Answers!$C$20/100)*W136</f>
        <v/>
      </c>
      <c r="AJ136" s="54">
        <f>X136</f>
        <v/>
      </c>
      <c r="AK136" s="54">
        <f>X136+Y136</f>
        <v/>
      </c>
      <c r="AL136" s="54">
        <f>AK136+Z136</f>
        <v/>
      </c>
      <c r="AM136" s="54">
        <f>AL136+AA136</f>
        <v/>
      </c>
      <c r="AN136" s="54">
        <f>AM136+AB136</f>
        <v/>
      </c>
      <c r="AO136" s="54">
        <f>AL136+AE136+AF136+AG136+AH136+AI136+AB136</f>
        <v/>
      </c>
      <c r="AP136" s="54">
        <f>IF(State!$B$46=1,AO136,AN136)</f>
        <v/>
      </c>
      <c r="AQ136" s="54" t="n">
        <v>1063.5</v>
      </c>
      <c r="AR136" s="54" t="n">
        <v>-248</v>
      </c>
      <c r="AS136" s="54" t="n">
        <v>0</v>
      </c>
      <c r="AT136" s="54" t="n">
        <v>2608.1</v>
      </c>
      <c r="AU136" s="54" t="n">
        <v>493.1</v>
      </c>
      <c r="AX136" s="54" t="n">
        <v>207.9</v>
      </c>
      <c r="AY136" s="54" t="n">
        <v>354.2</v>
      </c>
      <c r="AZ136" s="54" t="n">
        <v>311.8</v>
      </c>
      <c r="BA136" s="54" t="n">
        <v>104.4</v>
      </c>
      <c r="BB136" s="54" t="n">
        <v>1629.9</v>
      </c>
      <c r="BC136" s="54">
        <f>AQ136+AR136+AS136+AT136+AU136</f>
        <v/>
      </c>
      <c r="BD136" s="54">
        <f>AQ136</f>
        <v/>
      </c>
      <c r="BE136" s="54">
        <f>AQ136+AR136</f>
        <v/>
      </c>
      <c r="BF136" s="54">
        <f>BE136+AS136</f>
        <v/>
      </c>
      <c r="BG136" s="54">
        <f>BF136+AT136</f>
        <v/>
      </c>
      <c r="BH136" s="54">
        <f>BG136+AU136</f>
        <v/>
      </c>
      <c r="BI136" s="54">
        <f>BC136</f>
        <v/>
      </c>
      <c r="BJ136" s="54">
        <f>IF(State!$B$14=1,CHOOSE(State!$B$43+1,D136,BD136,BE136,BF136,BG136,BH136,BI136),BK136)</f>
        <v/>
      </c>
      <c r="BK136" s="54">
        <f>CHOOSE(State!$B$43+1,D136,AJ136,AK136,AL136,AM136,AN136,AO136)</f>
        <v/>
      </c>
      <c r="BL136" s="54">
        <f>IF(State!$B$44=1,H136,0)</f>
        <v/>
      </c>
      <c r="BQ136" s="54">
        <f>D136-AP136</f>
        <v/>
      </c>
      <c r="BR136" s="54">
        <f>BQ136^2</f>
        <v/>
      </c>
      <c r="BS136" s="54">
        <f>(BQ136-BQ135)^2</f>
        <v/>
      </c>
      <c r="BT136" s="54">
        <f>IF(D136&gt;2000,ABS(BQ136)/D136,"")</f>
        <v/>
      </c>
      <c r="BU136" s="54" t="n">
        <v>126</v>
      </c>
      <c r="BV136" s="74" t="n">
        <v>0.5528999999999999</v>
      </c>
      <c r="BW136" s="54" t="n">
        <v>281.8</v>
      </c>
    </row>
    <row r="137">
      <c r="A137" s="73" t="n">
        <v>45851</v>
      </c>
      <c r="B137" s="53">
        <f>YEAR(A137)</f>
        <v/>
      </c>
      <c r="C137" s="53">
        <f>MONTH(A137)</f>
        <v/>
      </c>
      <c r="D137" s="54" t="n">
        <v>2136</v>
      </c>
      <c r="E137" s="55" t="n">
        <v>1.1175</v>
      </c>
      <c r="F137" s="55" t="n">
        <v>0.177</v>
      </c>
      <c r="G137" s="55" t="n">
        <v>0</v>
      </c>
      <c r="H137" s="54" t="n">
        <v>42.19</v>
      </c>
      <c r="I137" s="54">
        <f>H137+State!$B$6/100*I136</f>
        <v/>
      </c>
      <c r="J137" s="54" t="n">
        <v>52.51</v>
      </c>
      <c r="K137" s="54" t="n">
        <v>146.96</v>
      </c>
      <c r="N137" s="54" t="n">
        <v>0</v>
      </c>
      <c r="O137" s="54" t="n">
        <v>0</v>
      </c>
      <c r="P137" s="54" t="n">
        <v>0</v>
      </c>
      <c r="Q137" s="54" t="n">
        <v>0</v>
      </c>
      <c r="R137" s="54" t="n">
        <v>40.05</v>
      </c>
      <c r="S137" s="54">
        <f>N137+Answers!$C$16/100*S136</f>
        <v/>
      </c>
      <c r="T137" s="54">
        <f>O137+Answers!$C$17/100*T136</f>
        <v/>
      </c>
      <c r="U137" s="54">
        <f>P137+Answers!$C$18/100*U136</f>
        <v/>
      </c>
      <c r="V137" s="54">
        <f>Q137+Answers!$C$19/100*V136</f>
        <v/>
      </c>
      <c r="W137" s="54">
        <f>R137+Answers!$C$20/100*W136</f>
        <v/>
      </c>
      <c r="X137" s="54">
        <f>State!$B$2*E137</f>
        <v/>
      </c>
      <c r="Y137" s="54">
        <f>-State!$B$3*F137</f>
        <v/>
      </c>
      <c r="Z137" s="54">
        <f>State!$B$4*G137</f>
        <v/>
      </c>
      <c r="AA137" s="54">
        <f>State!$B$5*(1-State!$B$6/100)*I137</f>
        <v/>
      </c>
      <c r="AB137" s="54">
        <f>State!$B$7*K137</f>
        <v/>
      </c>
      <c r="AE137" s="54">
        <f>State!$B$8*(1-Answers!$C$16/100)*S137</f>
        <v/>
      </c>
      <c r="AF137" s="54">
        <f>State!$B$9*(1-Answers!$C$17/100)*T137</f>
        <v/>
      </c>
      <c r="AG137" s="54">
        <f>State!$B$10*(1-Answers!$C$18/100)*U137</f>
        <v/>
      </c>
      <c r="AH137" s="54">
        <f>State!$B$11*(1-Answers!$C$19/100)*V137</f>
        <v/>
      </c>
      <c r="AI137" s="54">
        <f>State!$B$12*(1-Answers!$C$20/100)*W137</f>
        <v/>
      </c>
      <c r="AJ137" s="54">
        <f>X137</f>
        <v/>
      </c>
      <c r="AK137" s="54">
        <f>X137+Y137</f>
        <v/>
      </c>
      <c r="AL137" s="54">
        <f>AK137+Z137</f>
        <v/>
      </c>
      <c r="AM137" s="54">
        <f>AL137+AA137</f>
        <v/>
      </c>
      <c r="AN137" s="54">
        <f>AM137+AB137</f>
        <v/>
      </c>
      <c r="AO137" s="54">
        <f>AL137+AE137+AF137+AG137+AH137+AI137+AB137</f>
        <v/>
      </c>
      <c r="AP137" s="54">
        <f>IF(State!$B$46=1,AO137,AN137)</f>
        <v/>
      </c>
      <c r="AQ137" s="54" t="n">
        <v>978.5</v>
      </c>
      <c r="AR137" s="54" t="n">
        <v>-168.5</v>
      </c>
      <c r="AS137" s="54" t="n">
        <v>0</v>
      </c>
      <c r="AT137" s="54" t="n">
        <v>2325.4</v>
      </c>
      <c r="AU137" s="54" t="n">
        <v>473.4</v>
      </c>
      <c r="AX137" s="54" t="n">
        <v>176.7</v>
      </c>
      <c r="AY137" s="54" t="n">
        <v>301.1</v>
      </c>
      <c r="AZ137" s="54" t="n">
        <v>265</v>
      </c>
      <c r="BA137" s="54" t="n">
        <v>88.8</v>
      </c>
      <c r="BB137" s="54" t="n">
        <v>1493.8</v>
      </c>
      <c r="BC137" s="54">
        <f>AQ137+AR137+AS137+AT137+AU137</f>
        <v/>
      </c>
      <c r="BD137" s="54">
        <f>AQ137</f>
        <v/>
      </c>
      <c r="BE137" s="54">
        <f>AQ137+AR137</f>
        <v/>
      </c>
      <c r="BF137" s="54">
        <f>BE137+AS137</f>
        <v/>
      </c>
      <c r="BG137" s="54">
        <f>BF137+AT137</f>
        <v/>
      </c>
      <c r="BH137" s="54">
        <f>BG137+AU137</f>
        <v/>
      </c>
      <c r="BI137" s="54">
        <f>BC137</f>
        <v/>
      </c>
      <c r="BJ137" s="54">
        <f>IF(State!$B$14=1,CHOOSE(State!$B$43+1,D137,BD137,BE137,BF137,BG137,BH137,BI137),BK137)</f>
        <v/>
      </c>
      <c r="BK137" s="54">
        <f>CHOOSE(State!$B$43+1,D137,AJ137,AK137,AL137,AM137,AN137,AO137)</f>
        <v/>
      </c>
      <c r="BL137" s="54">
        <f>IF(State!$B$44=1,H137,0)</f>
        <v/>
      </c>
      <c r="BQ137" s="54">
        <f>D137-AP137</f>
        <v/>
      </c>
      <c r="BR137" s="54">
        <f>BQ137^2</f>
        <v/>
      </c>
      <c r="BS137" s="54">
        <f>(BQ137-BQ136)^2</f>
        <v/>
      </c>
      <c r="BT137" s="54">
        <f>IF(D137&gt;2000,ABS(BQ137)/D137,"")</f>
        <v/>
      </c>
      <c r="BU137" s="54" t="n">
        <v>75</v>
      </c>
      <c r="BV137" s="74" t="n">
        <v>0.5528999999999999</v>
      </c>
      <c r="BW137" s="54" t="n">
        <v>277.8</v>
      </c>
    </row>
    <row r="138">
      <c r="A138" s="73" t="n">
        <v>45858</v>
      </c>
      <c r="B138" s="53">
        <f>YEAR(A138)</f>
        <v/>
      </c>
      <c r="C138" s="53">
        <f>MONTH(A138)</f>
        <v/>
      </c>
      <c r="D138" s="54" t="n">
        <v>1522</v>
      </c>
      <c r="E138" s="55" t="n">
        <v>1.2206</v>
      </c>
      <c r="F138" s="55" t="n">
        <v>0.4043</v>
      </c>
      <c r="G138" s="55" t="n">
        <v>0</v>
      </c>
      <c r="H138" s="54" t="n">
        <v>27.31</v>
      </c>
      <c r="I138" s="54">
        <f>H138+State!$B$6/100*I137</f>
        <v/>
      </c>
      <c r="J138" s="54" t="n">
        <v>54.47</v>
      </c>
      <c r="K138" s="54" t="n">
        <v>135.31</v>
      </c>
      <c r="N138" s="54" t="n">
        <v>0</v>
      </c>
      <c r="O138" s="54" t="n">
        <v>0</v>
      </c>
      <c r="P138" s="54" t="n">
        <v>0</v>
      </c>
      <c r="Q138" s="54" t="n">
        <v>0</v>
      </c>
      <c r="R138" s="54" t="n">
        <v>25.79</v>
      </c>
      <c r="S138" s="54">
        <f>N138+Answers!$C$16/100*S137</f>
        <v/>
      </c>
      <c r="T138" s="54">
        <f>O138+Answers!$C$17/100*T137</f>
        <v/>
      </c>
      <c r="U138" s="54">
        <f>P138+Answers!$C$18/100*U137</f>
        <v/>
      </c>
      <c r="V138" s="54">
        <f>Q138+Answers!$C$19/100*V137</f>
        <v/>
      </c>
      <c r="W138" s="54">
        <f>R138+Answers!$C$20/100*W137</f>
        <v/>
      </c>
      <c r="X138" s="54">
        <f>State!$B$2*E138</f>
        <v/>
      </c>
      <c r="Y138" s="54">
        <f>-State!$B$3*F138</f>
        <v/>
      </c>
      <c r="Z138" s="54">
        <f>State!$B$4*G138</f>
        <v/>
      </c>
      <c r="AA138" s="54">
        <f>State!$B$5*(1-State!$B$6/100)*I138</f>
        <v/>
      </c>
      <c r="AB138" s="54">
        <f>State!$B$7*K138</f>
        <v/>
      </c>
      <c r="AE138" s="54">
        <f>State!$B$8*(1-Answers!$C$16/100)*S138</f>
        <v/>
      </c>
      <c r="AF138" s="54">
        <f>State!$B$9*(1-Answers!$C$17/100)*T138</f>
        <v/>
      </c>
      <c r="AG138" s="54">
        <f>State!$B$10*(1-Answers!$C$18/100)*U138</f>
        <v/>
      </c>
      <c r="AH138" s="54">
        <f>State!$B$11*(1-Answers!$C$19/100)*V138</f>
        <v/>
      </c>
      <c r="AI138" s="54">
        <f>State!$B$12*(1-Answers!$C$20/100)*W138</f>
        <v/>
      </c>
      <c r="AJ138" s="54">
        <f>X138</f>
        <v/>
      </c>
      <c r="AK138" s="54">
        <f>X138+Y138</f>
        <v/>
      </c>
      <c r="AL138" s="54">
        <f>AK138+Z138</f>
        <v/>
      </c>
      <c r="AM138" s="54">
        <f>AL138+AA138</f>
        <v/>
      </c>
      <c r="AN138" s="54">
        <f>AM138+AB138</f>
        <v/>
      </c>
      <c r="AO138" s="54">
        <f>AL138+AE138+AF138+AG138+AH138+AI138+AB138</f>
        <v/>
      </c>
      <c r="AP138" s="54">
        <f>IF(State!$B$46=1,AO138,AN138)</f>
        <v/>
      </c>
      <c r="AQ138" s="54" t="n">
        <v>1068.8</v>
      </c>
      <c r="AR138" s="54" t="n">
        <v>-385</v>
      </c>
      <c r="AS138" s="54" t="n">
        <v>0</v>
      </c>
      <c r="AT138" s="54" t="n">
        <v>2049</v>
      </c>
      <c r="AU138" s="54" t="n">
        <v>434.1</v>
      </c>
      <c r="AX138" s="54" t="n">
        <v>150.2</v>
      </c>
      <c r="AY138" s="54" t="n">
        <v>255.9</v>
      </c>
      <c r="AZ138" s="54" t="n">
        <v>225.2</v>
      </c>
      <c r="BA138" s="54" t="n">
        <v>75.5</v>
      </c>
      <c r="BB138" s="54" t="n">
        <v>1342.2</v>
      </c>
      <c r="BC138" s="54">
        <f>AQ138+AR138+AS138+AT138+AU138</f>
        <v/>
      </c>
      <c r="BD138" s="54">
        <f>AQ138</f>
        <v/>
      </c>
      <c r="BE138" s="54">
        <f>AQ138+AR138</f>
        <v/>
      </c>
      <c r="BF138" s="54">
        <f>BE138+AS138</f>
        <v/>
      </c>
      <c r="BG138" s="54">
        <f>BF138+AT138</f>
        <v/>
      </c>
      <c r="BH138" s="54">
        <f>BG138+AU138</f>
        <v/>
      </c>
      <c r="BI138" s="54">
        <f>BC138</f>
        <v/>
      </c>
      <c r="BJ138" s="54">
        <f>IF(State!$B$14=1,CHOOSE(State!$B$43+1,D138,BD138,BE138,BF138,BG138,BH138,BI138),BK138)</f>
        <v/>
      </c>
      <c r="BK138" s="54">
        <f>CHOOSE(State!$B$43+1,D138,AJ138,AK138,AL138,AM138,AN138,AO138)</f>
        <v/>
      </c>
      <c r="BL138" s="54">
        <f>IF(State!$B$44=1,H138,0)</f>
        <v/>
      </c>
      <c r="BQ138" s="54">
        <f>D138-AP138</f>
        <v/>
      </c>
      <c r="BR138" s="54">
        <f>BQ138^2</f>
        <v/>
      </c>
      <c r="BS138" s="54">
        <f>(BQ138-BQ137)^2</f>
        <v/>
      </c>
      <c r="BT138" s="54">
        <f>IF(D138&gt;2000,ABS(BQ138)/D138,"")</f>
        <v/>
      </c>
      <c r="BU138" s="54" t="n">
        <v>62</v>
      </c>
      <c r="BV138" s="74" t="n">
        <v>0.5528999999999999</v>
      </c>
      <c r="BW138" s="54" t="n">
        <v>257.4</v>
      </c>
    </row>
    <row r="139">
      <c r="A139" s="73" t="n">
        <v>45865</v>
      </c>
      <c r="B139" s="53">
        <f>YEAR(A139)</f>
        <v/>
      </c>
      <c r="C139" s="53">
        <f>MONTH(A139)</f>
        <v/>
      </c>
      <c r="D139" s="54" t="n">
        <v>1286</v>
      </c>
      <c r="E139" s="55" t="n">
        <v>1.2054</v>
      </c>
      <c r="F139" s="55" t="n">
        <v>0.3959</v>
      </c>
      <c r="G139" s="55" t="n">
        <v>0</v>
      </c>
      <c r="H139" s="54" t="n">
        <v>28.16</v>
      </c>
      <c r="I139" s="54">
        <f>H139+State!$B$6/100*I138</f>
        <v/>
      </c>
      <c r="J139" s="54" t="n">
        <v>43.73</v>
      </c>
      <c r="K139" s="54" t="n">
        <v>133.44</v>
      </c>
      <c r="N139" s="54" t="n">
        <v>0</v>
      </c>
      <c r="O139" s="54" t="n">
        <v>0</v>
      </c>
      <c r="P139" s="54" t="n">
        <v>0</v>
      </c>
      <c r="Q139" s="54" t="n">
        <v>0</v>
      </c>
      <c r="R139" s="54" t="n">
        <v>26.87</v>
      </c>
      <c r="S139" s="54">
        <f>N139+Answers!$C$16/100*S138</f>
        <v/>
      </c>
      <c r="T139" s="54">
        <f>O139+Answers!$C$17/100*T138</f>
        <v/>
      </c>
      <c r="U139" s="54">
        <f>P139+Answers!$C$18/100*U138</f>
        <v/>
      </c>
      <c r="V139" s="54">
        <f>Q139+Answers!$C$19/100*V138</f>
        <v/>
      </c>
      <c r="W139" s="54">
        <f>R139+Answers!$C$20/100*W138</f>
        <v/>
      </c>
      <c r="X139" s="54">
        <f>State!$B$2*E139</f>
        <v/>
      </c>
      <c r="Y139" s="54">
        <f>-State!$B$3*F139</f>
        <v/>
      </c>
      <c r="Z139" s="54">
        <f>State!$B$4*G139</f>
        <v/>
      </c>
      <c r="AA139" s="54">
        <f>State!$B$5*(1-State!$B$6/100)*I139</f>
        <v/>
      </c>
      <c r="AB139" s="54">
        <f>State!$B$7*K139</f>
        <v/>
      </c>
      <c r="AE139" s="54">
        <f>State!$B$8*(1-Answers!$C$16/100)*S139</f>
        <v/>
      </c>
      <c r="AF139" s="54">
        <f>State!$B$9*(1-Answers!$C$17/100)*T139</f>
        <v/>
      </c>
      <c r="AG139" s="54">
        <f>State!$B$10*(1-Answers!$C$18/100)*U139</f>
        <v/>
      </c>
      <c r="AH139" s="54">
        <f>State!$B$11*(1-Answers!$C$19/100)*V139</f>
        <v/>
      </c>
      <c r="AI139" s="54">
        <f>State!$B$12*(1-Answers!$C$20/100)*W139</f>
        <v/>
      </c>
      <c r="AJ139" s="54">
        <f>X139</f>
        <v/>
      </c>
      <c r="AK139" s="54">
        <f>X139+Y139</f>
        <v/>
      </c>
      <c r="AL139" s="54">
        <f>AK139+Z139</f>
        <v/>
      </c>
      <c r="AM139" s="54">
        <f>AL139+AA139</f>
        <v/>
      </c>
      <c r="AN139" s="54">
        <f>AM139+AB139</f>
        <v/>
      </c>
      <c r="AO139" s="54">
        <f>AL139+AE139+AF139+AG139+AH139+AI139+AB139</f>
        <v/>
      </c>
      <c r="AP139" s="54">
        <f>IF(State!$B$46=1,AO139,AN139)</f>
        <v/>
      </c>
      <c r="AQ139" s="54" t="n">
        <v>1055.4</v>
      </c>
      <c r="AR139" s="54" t="n">
        <v>-377.1</v>
      </c>
      <c r="AS139" s="54" t="n">
        <v>0</v>
      </c>
      <c r="AT139" s="54" t="n">
        <v>1819.8</v>
      </c>
      <c r="AU139" s="54" t="n">
        <v>387.6</v>
      </c>
      <c r="AX139" s="54" t="n">
        <v>127.7</v>
      </c>
      <c r="AY139" s="54" t="n">
        <v>217.5</v>
      </c>
      <c r="AZ139" s="54" t="n">
        <v>191.5</v>
      </c>
      <c r="BA139" s="54" t="n">
        <v>64.09999999999999</v>
      </c>
      <c r="BB139" s="54" t="n">
        <v>1219.1</v>
      </c>
      <c r="BC139" s="54">
        <f>AQ139+AR139+AS139+AT139+AU139</f>
        <v/>
      </c>
      <c r="BD139" s="54">
        <f>AQ139</f>
        <v/>
      </c>
      <c r="BE139" s="54">
        <f>AQ139+AR139</f>
        <v/>
      </c>
      <c r="BF139" s="54">
        <f>BE139+AS139</f>
        <v/>
      </c>
      <c r="BG139" s="54">
        <f>BF139+AT139</f>
        <v/>
      </c>
      <c r="BH139" s="54">
        <f>BG139+AU139</f>
        <v/>
      </c>
      <c r="BI139" s="54">
        <f>BC139</f>
        <v/>
      </c>
      <c r="BJ139" s="54">
        <f>IF(State!$B$14=1,CHOOSE(State!$B$43+1,D139,BD139,BE139,BF139,BG139,BH139,BI139),BK139)</f>
        <v/>
      </c>
      <c r="BK139" s="54">
        <f>CHOOSE(State!$B$43+1,D139,AJ139,AK139,AL139,AM139,AN139,AO139)</f>
        <v/>
      </c>
      <c r="BL139" s="54">
        <f>IF(State!$B$44=1,H139,0)</f>
        <v/>
      </c>
      <c r="BQ139" s="54">
        <f>D139-AP139</f>
        <v/>
      </c>
      <c r="BR139" s="54">
        <f>BQ139^2</f>
        <v/>
      </c>
      <c r="BS139" s="54">
        <f>(BQ139-BQ138)^2</f>
        <v/>
      </c>
      <c r="BT139" s="54">
        <f>IF(D139&gt;2000,ABS(BQ139)/D139,"")</f>
        <v/>
      </c>
      <c r="BU139" s="54" t="n">
        <v>73</v>
      </c>
      <c r="BV139" s="74" t="n">
        <v>0.5476</v>
      </c>
      <c r="BW139" s="54" t="n">
        <v>267</v>
      </c>
    </row>
    <row r="140">
      <c r="A140" s="73" t="n">
        <v>45872</v>
      </c>
      <c r="B140" s="53">
        <f>YEAR(A140)</f>
        <v/>
      </c>
      <c r="C140" s="53">
        <f>MONTH(A140)</f>
        <v/>
      </c>
      <c r="D140" s="54" t="n">
        <v>285</v>
      </c>
      <c r="E140" s="55" t="n">
        <v>1.1172</v>
      </c>
      <c r="F140" s="55" t="n">
        <v>1.0282</v>
      </c>
      <c r="G140" s="55" t="n">
        <v>0</v>
      </c>
      <c r="H140" s="54" t="n">
        <v>1.48</v>
      </c>
      <c r="I140" s="54">
        <f>H140+State!$B$6/100*I139</f>
        <v/>
      </c>
      <c r="J140" s="54" t="n">
        <v>38.34</v>
      </c>
      <c r="K140" s="54" t="n">
        <v>89.76000000000001</v>
      </c>
      <c r="N140" s="54" t="n">
        <v>0</v>
      </c>
      <c r="O140" s="54" t="n">
        <v>0</v>
      </c>
      <c r="P140" s="54" t="n">
        <v>0</v>
      </c>
      <c r="Q140" s="54" t="n">
        <v>0</v>
      </c>
      <c r="R140" s="54" t="n">
        <v>1.19</v>
      </c>
      <c r="S140" s="54">
        <f>N140+Answers!$C$16/100*S139</f>
        <v/>
      </c>
      <c r="T140" s="54">
        <f>O140+Answers!$C$17/100*T139</f>
        <v/>
      </c>
      <c r="U140" s="54">
        <f>P140+Answers!$C$18/100*U139</f>
        <v/>
      </c>
      <c r="V140" s="54">
        <f>Q140+Answers!$C$19/100*V139</f>
        <v/>
      </c>
      <c r="W140" s="54">
        <f>R140+Answers!$C$20/100*W139</f>
        <v/>
      </c>
      <c r="X140" s="54">
        <f>State!$B$2*E140</f>
        <v/>
      </c>
      <c r="Y140" s="54">
        <f>-State!$B$3*F140</f>
        <v/>
      </c>
      <c r="Z140" s="54">
        <f>State!$B$4*G140</f>
        <v/>
      </c>
      <c r="AA140" s="54">
        <f>State!$B$5*(1-State!$B$6/100)*I140</f>
        <v/>
      </c>
      <c r="AB140" s="54">
        <f>State!$B$7*K140</f>
        <v/>
      </c>
      <c r="AE140" s="54">
        <f>State!$B$8*(1-Answers!$C$16/100)*S140</f>
        <v/>
      </c>
      <c r="AF140" s="54">
        <f>State!$B$9*(1-Answers!$C$17/100)*T140</f>
        <v/>
      </c>
      <c r="AG140" s="54">
        <f>State!$B$10*(1-Answers!$C$18/100)*U140</f>
        <v/>
      </c>
      <c r="AH140" s="54">
        <f>State!$B$11*(1-Answers!$C$19/100)*V140</f>
        <v/>
      </c>
      <c r="AI140" s="54">
        <f>State!$B$12*(1-Answers!$C$20/100)*W140</f>
        <v/>
      </c>
      <c r="AJ140" s="54">
        <f>X140</f>
        <v/>
      </c>
      <c r="AK140" s="54">
        <f>X140+Y140</f>
        <v/>
      </c>
      <c r="AL140" s="54">
        <f>AK140+Z140</f>
        <v/>
      </c>
      <c r="AM140" s="54">
        <f>AL140+AA140</f>
        <v/>
      </c>
      <c r="AN140" s="54">
        <f>AM140+AB140</f>
        <v/>
      </c>
      <c r="AO140" s="54">
        <f>AL140+AE140+AF140+AG140+AH140+AI140+AB140</f>
        <v/>
      </c>
      <c r="AP140" s="54">
        <f>IF(State!$B$46=1,AO140,AN140)</f>
        <v/>
      </c>
      <c r="AQ140" s="54" t="n">
        <v>978.3</v>
      </c>
      <c r="AR140" s="54" t="n">
        <v>-979.3</v>
      </c>
      <c r="AS140" s="54" t="n">
        <v>0</v>
      </c>
      <c r="AT140" s="54" t="n">
        <v>1560.5</v>
      </c>
      <c r="AU140" s="54" t="n">
        <v>229.1</v>
      </c>
      <c r="AX140" s="54" t="n">
        <v>108.5</v>
      </c>
      <c r="AY140" s="54" t="n">
        <v>184.9</v>
      </c>
      <c r="AZ140" s="54" t="n">
        <v>162.7</v>
      </c>
      <c r="BA140" s="54" t="n">
        <v>54.5</v>
      </c>
      <c r="BB140" s="54" t="n">
        <v>1049.8</v>
      </c>
      <c r="BC140" s="54">
        <f>AQ140+AR140+AS140+AT140+AU140</f>
        <v/>
      </c>
      <c r="BD140" s="54">
        <f>AQ140</f>
        <v/>
      </c>
      <c r="BE140" s="54">
        <f>AQ140+AR140</f>
        <v/>
      </c>
      <c r="BF140" s="54">
        <f>BE140+AS140</f>
        <v/>
      </c>
      <c r="BG140" s="54">
        <f>BF140+AT140</f>
        <v/>
      </c>
      <c r="BH140" s="54">
        <f>BG140+AU140</f>
        <v/>
      </c>
      <c r="BI140" s="54">
        <f>BC140</f>
        <v/>
      </c>
      <c r="BJ140" s="54">
        <f>IF(State!$B$14=1,CHOOSE(State!$B$43+1,D140,BD140,BE140,BF140,BG140,BH140,BI140),BK140)</f>
        <v/>
      </c>
      <c r="BK140" s="54">
        <f>CHOOSE(State!$B$43+1,D140,AJ140,AK140,AL140,AM140,AN140,AO140)</f>
        <v/>
      </c>
      <c r="BL140" s="54">
        <f>IF(State!$B$44=1,H140,0)</f>
        <v/>
      </c>
      <c r="BQ140" s="54">
        <f>D140-AP140</f>
        <v/>
      </c>
      <c r="BR140" s="54">
        <f>BQ140^2</f>
        <v/>
      </c>
      <c r="BS140" s="54">
        <f>(BQ140-BQ139)^2</f>
        <v/>
      </c>
      <c r="BT140" s="54">
        <f>IF(D140&gt;2000,ABS(BQ140)/D140,"")</f>
        <v/>
      </c>
      <c r="BU140" s="54" t="n">
        <v>78</v>
      </c>
      <c r="BV140" s="74" t="n">
        <v>0.5406</v>
      </c>
      <c r="BW140" s="54" t="n">
        <v>184.2</v>
      </c>
    </row>
    <row r="141">
      <c r="A141" s="73" t="n">
        <v>45879</v>
      </c>
      <c r="B141" s="53">
        <f>YEAR(A141)</f>
        <v/>
      </c>
      <c r="C141" s="53">
        <f>MONTH(A141)</f>
        <v/>
      </c>
      <c r="D141" s="54" t="n">
        <v>216</v>
      </c>
      <c r="E141" s="55" t="n">
        <v>1.0628</v>
      </c>
      <c r="F141" s="55" t="n">
        <v>2.5857</v>
      </c>
      <c r="G141" s="55" t="n">
        <v>0</v>
      </c>
      <c r="H141" s="54" t="n">
        <v>1.4</v>
      </c>
      <c r="I141" s="54">
        <f>H141+State!$B$6/100*I140</f>
        <v/>
      </c>
      <c r="J141" s="54" t="n">
        <v>25.7</v>
      </c>
      <c r="K141" s="54" t="n">
        <v>85</v>
      </c>
      <c r="N141" s="54" t="n">
        <v>0</v>
      </c>
      <c r="O141" s="54" t="n">
        <v>0</v>
      </c>
      <c r="P141" s="54" t="n">
        <v>0</v>
      </c>
      <c r="Q141" s="54" t="n">
        <v>0</v>
      </c>
      <c r="R141" s="54" t="n">
        <v>1.19</v>
      </c>
      <c r="S141" s="54">
        <f>N141+Answers!$C$16/100*S140</f>
        <v/>
      </c>
      <c r="T141" s="54">
        <f>O141+Answers!$C$17/100*T140</f>
        <v/>
      </c>
      <c r="U141" s="54">
        <f>P141+Answers!$C$18/100*U140</f>
        <v/>
      </c>
      <c r="V141" s="54">
        <f>Q141+Answers!$C$19/100*V140</f>
        <v/>
      </c>
      <c r="W141" s="54">
        <f>R141+Answers!$C$20/100*W140</f>
        <v/>
      </c>
      <c r="X141" s="54">
        <f>State!$B$2*E141</f>
        <v/>
      </c>
      <c r="Y141" s="54">
        <f>-State!$B$3*F141</f>
        <v/>
      </c>
      <c r="Z141" s="54">
        <f>State!$B$4*G141</f>
        <v/>
      </c>
      <c r="AA141" s="54">
        <f>State!$B$5*(1-State!$B$6/100)*I141</f>
        <v/>
      </c>
      <c r="AB141" s="54">
        <f>State!$B$7*K141</f>
        <v/>
      </c>
      <c r="AE141" s="54">
        <f>State!$B$8*(1-Answers!$C$16/100)*S141</f>
        <v/>
      </c>
      <c r="AF141" s="54">
        <f>State!$B$9*(1-Answers!$C$17/100)*T141</f>
        <v/>
      </c>
      <c r="AG141" s="54">
        <f>State!$B$10*(1-Answers!$C$18/100)*U141</f>
        <v/>
      </c>
      <c r="AH141" s="54">
        <f>State!$B$11*(1-Answers!$C$19/100)*V141</f>
        <v/>
      </c>
      <c r="AI141" s="54">
        <f>State!$B$12*(1-Answers!$C$20/100)*W141</f>
        <v/>
      </c>
      <c r="AJ141" s="54">
        <f>X141</f>
        <v/>
      </c>
      <c r="AK141" s="54">
        <f>X141+Y141</f>
        <v/>
      </c>
      <c r="AL141" s="54">
        <f>AK141+Z141</f>
        <v/>
      </c>
      <c r="AM141" s="54">
        <f>AL141+AA141</f>
        <v/>
      </c>
      <c r="AN141" s="54">
        <f>AM141+AB141</f>
        <v/>
      </c>
      <c r="AO141" s="54">
        <f>AL141+AE141+AF141+AG141+AH141+AI141+AB141</f>
        <v/>
      </c>
      <c r="AP141" s="54">
        <f>IF(State!$B$46=1,AO141,AN141)</f>
        <v/>
      </c>
      <c r="AQ141" s="54" t="n">
        <v>930.6</v>
      </c>
      <c r="AR141" s="54" t="n">
        <v>-2462.7</v>
      </c>
      <c r="AS141" s="54" t="n">
        <v>0</v>
      </c>
      <c r="AT141" s="54" t="n">
        <v>1345</v>
      </c>
      <c r="AU141" s="54" t="n">
        <v>145.6</v>
      </c>
      <c r="AX141" s="54" t="n">
        <v>92.2</v>
      </c>
      <c r="AY141" s="54" t="n">
        <v>157.2</v>
      </c>
      <c r="AZ141" s="54" t="n">
        <v>138.3</v>
      </c>
      <c r="BA141" s="54" t="n">
        <v>46.3</v>
      </c>
      <c r="BB141" s="54" t="n">
        <v>910.9</v>
      </c>
      <c r="BC141" s="54">
        <f>AQ141+AR141+AS141+AT141+AU141</f>
        <v/>
      </c>
      <c r="BD141" s="54">
        <f>AQ141</f>
        <v/>
      </c>
      <c r="BE141" s="54">
        <f>AQ141+AR141</f>
        <v/>
      </c>
      <c r="BF141" s="54">
        <f>BE141+AS141</f>
        <v/>
      </c>
      <c r="BG141" s="54">
        <f>BF141+AT141</f>
        <v/>
      </c>
      <c r="BH141" s="54">
        <f>BG141+AU141</f>
        <v/>
      </c>
      <c r="BI141" s="54">
        <f>BC141</f>
        <v/>
      </c>
      <c r="BJ141" s="54">
        <f>IF(State!$B$14=1,CHOOSE(State!$B$43+1,D141,BD141,BE141,BF141,BG141,BH141,BI141),BK141)</f>
        <v/>
      </c>
      <c r="BK141" s="54">
        <f>CHOOSE(State!$B$43+1,D141,AJ141,AK141,AL141,AM141,AN141,AO141)</f>
        <v/>
      </c>
      <c r="BL141" s="54">
        <f>IF(State!$B$44=1,H141,0)</f>
        <v/>
      </c>
      <c r="BQ141" s="54">
        <f>D141-AP141</f>
        <v/>
      </c>
      <c r="BR141" s="54">
        <f>BQ141^2</f>
        <v/>
      </c>
      <c r="BS141" s="54">
        <f>(BQ141-BQ140)^2</f>
        <v/>
      </c>
      <c r="BT141" s="54">
        <f>IF(D141&gt;2000,ABS(BQ141)/D141,"")</f>
        <v/>
      </c>
      <c r="BU141" s="54" t="n">
        <v>105</v>
      </c>
      <c r="BV141" s="74" t="n">
        <v>0.5406</v>
      </c>
      <c r="BW141" s="54" t="n">
        <v>194.1</v>
      </c>
    </row>
    <row r="142">
      <c r="A142" s="73" t="n">
        <v>45886</v>
      </c>
      <c r="B142" s="53">
        <f>YEAR(A142)</f>
        <v/>
      </c>
      <c r="C142" s="53">
        <f>MONTH(A142)</f>
        <v/>
      </c>
      <c r="D142" s="54" t="n">
        <v>195</v>
      </c>
      <c r="E142" s="55" t="n">
        <v>1.0542</v>
      </c>
      <c r="F142" s="55" t="n">
        <v>2.5857</v>
      </c>
      <c r="G142" s="55" t="n">
        <v>0</v>
      </c>
      <c r="H142" s="54" t="n">
        <v>1.38</v>
      </c>
      <c r="I142" s="54">
        <f>H142+State!$B$6/100*I141</f>
        <v/>
      </c>
      <c r="J142" s="54" t="n">
        <v>27.05</v>
      </c>
      <c r="K142" s="54" t="n">
        <v>69.83</v>
      </c>
      <c r="N142" s="54" t="n">
        <v>0</v>
      </c>
      <c r="O142" s="54" t="n">
        <v>0</v>
      </c>
      <c r="P142" s="54" t="n">
        <v>0</v>
      </c>
      <c r="Q142" s="54" t="n">
        <v>0</v>
      </c>
      <c r="R142" s="54" t="n">
        <v>1.19</v>
      </c>
      <c r="S142" s="54">
        <f>N142+Answers!$C$16/100*S141</f>
        <v/>
      </c>
      <c r="T142" s="54">
        <f>O142+Answers!$C$17/100*T141</f>
        <v/>
      </c>
      <c r="U142" s="54">
        <f>P142+Answers!$C$18/100*U141</f>
        <v/>
      </c>
      <c r="V142" s="54">
        <f>Q142+Answers!$C$19/100*V141</f>
        <v/>
      </c>
      <c r="W142" s="54">
        <f>R142+Answers!$C$20/100*W141</f>
        <v/>
      </c>
      <c r="X142" s="54">
        <f>State!$B$2*E142</f>
        <v/>
      </c>
      <c r="Y142" s="54">
        <f>-State!$B$3*F142</f>
        <v/>
      </c>
      <c r="Z142" s="54">
        <f>State!$B$4*G142</f>
        <v/>
      </c>
      <c r="AA142" s="54">
        <f>State!$B$5*(1-State!$B$6/100)*I142</f>
        <v/>
      </c>
      <c r="AB142" s="54">
        <f>State!$B$7*K142</f>
        <v/>
      </c>
      <c r="AE142" s="54">
        <f>State!$B$8*(1-Answers!$C$16/100)*S142</f>
        <v/>
      </c>
      <c r="AF142" s="54">
        <f>State!$B$9*(1-Answers!$C$17/100)*T142</f>
        <v/>
      </c>
      <c r="AG142" s="54">
        <f>State!$B$10*(1-Answers!$C$18/100)*U142</f>
        <v/>
      </c>
      <c r="AH142" s="54">
        <f>State!$B$11*(1-Answers!$C$19/100)*V142</f>
        <v/>
      </c>
      <c r="AI142" s="54">
        <f>State!$B$12*(1-Answers!$C$20/100)*W142</f>
        <v/>
      </c>
      <c r="AJ142" s="54">
        <f>X142</f>
        <v/>
      </c>
      <c r="AK142" s="54">
        <f>X142+Y142</f>
        <v/>
      </c>
      <c r="AL142" s="54">
        <f>AK142+Z142</f>
        <v/>
      </c>
      <c r="AM142" s="54">
        <f>AL142+AA142</f>
        <v/>
      </c>
      <c r="AN142" s="54">
        <f>AM142+AB142</f>
        <v/>
      </c>
      <c r="AO142" s="54">
        <f>AL142+AE142+AF142+AG142+AH142+AI142+AB142</f>
        <v/>
      </c>
      <c r="AP142" s="54">
        <f>IF(State!$B$46=1,AO142,AN142)</f>
        <v/>
      </c>
      <c r="AQ142" s="54" t="n">
        <v>923.1</v>
      </c>
      <c r="AR142" s="54" t="n">
        <v>-2462.7</v>
      </c>
      <c r="AS142" s="54" t="n">
        <v>0</v>
      </c>
      <c r="AT142" s="54" t="n">
        <v>1165</v>
      </c>
      <c r="AU142" s="54" t="n">
        <v>138</v>
      </c>
      <c r="AX142" s="54" t="n">
        <v>78.40000000000001</v>
      </c>
      <c r="AY142" s="54" t="n">
        <v>133.6</v>
      </c>
      <c r="AZ142" s="54" t="n">
        <v>117.6</v>
      </c>
      <c r="BA142" s="54" t="n">
        <v>39.4</v>
      </c>
      <c r="BB142" s="54" t="n">
        <v>796</v>
      </c>
      <c r="BC142" s="54">
        <f>AQ142+AR142+AS142+AT142+AU142</f>
        <v/>
      </c>
      <c r="BD142" s="54">
        <f>AQ142</f>
        <v/>
      </c>
      <c r="BE142" s="54">
        <f>AQ142+AR142</f>
        <v/>
      </c>
      <c r="BF142" s="54">
        <f>BE142+AS142</f>
        <v/>
      </c>
      <c r="BG142" s="54">
        <f>BF142+AT142</f>
        <v/>
      </c>
      <c r="BH142" s="54">
        <f>BG142+AU142</f>
        <v/>
      </c>
      <c r="BI142" s="54">
        <f>BC142</f>
        <v/>
      </c>
      <c r="BJ142" s="54">
        <f>IF(State!$B$14=1,CHOOSE(State!$B$43+1,D142,BD142,BE142,BF142,BG142,BH142,BI142),BK142)</f>
        <v/>
      </c>
      <c r="BK142" s="54">
        <f>CHOOSE(State!$B$43+1,D142,AJ142,AK142,AL142,AM142,AN142,AO142)</f>
        <v/>
      </c>
      <c r="BL142" s="54">
        <f>IF(State!$B$44=1,H142,0)</f>
        <v/>
      </c>
      <c r="BQ142" s="54">
        <f>D142-AP142</f>
        <v/>
      </c>
      <c r="BR142" s="54">
        <f>BQ142^2</f>
        <v/>
      </c>
      <c r="BS142" s="54">
        <f>(BQ142-BQ141)^2</f>
        <v/>
      </c>
      <c r="BT142" s="54">
        <f>IF(D142&gt;2000,ABS(BQ142)/D142,"")</f>
        <v/>
      </c>
      <c r="BU142" s="54" t="n">
        <v>75</v>
      </c>
      <c r="BV142" s="74" t="n">
        <v>0.5406</v>
      </c>
      <c r="BW142" s="54" t="n">
        <v>194.4</v>
      </c>
    </row>
    <row r="143">
      <c r="A143" s="73" t="n">
        <v>45893</v>
      </c>
      <c r="B143" s="53">
        <f>YEAR(A143)</f>
        <v/>
      </c>
      <c r="C143" s="53">
        <f>MONTH(A143)</f>
        <v/>
      </c>
      <c r="D143" s="54" t="n">
        <v>194</v>
      </c>
      <c r="E143" s="55" t="n">
        <v>0.9376</v>
      </c>
      <c r="F143" s="55" t="n">
        <v>2.5857</v>
      </c>
      <c r="G143" s="55" t="n">
        <v>0</v>
      </c>
      <c r="H143" s="54" t="n">
        <v>1.38</v>
      </c>
      <c r="I143" s="54">
        <f>H143+State!$B$6/100*I142</f>
        <v/>
      </c>
      <c r="J143" s="54" t="n">
        <v>28.68</v>
      </c>
      <c r="K143" s="54" t="n">
        <v>74.12</v>
      </c>
      <c r="N143" s="54" t="n">
        <v>0</v>
      </c>
      <c r="O143" s="54" t="n">
        <v>0</v>
      </c>
      <c r="P143" s="54" t="n">
        <v>0</v>
      </c>
      <c r="Q143" s="54" t="n">
        <v>0</v>
      </c>
      <c r="R143" s="54" t="n">
        <v>1.19</v>
      </c>
      <c r="S143" s="54">
        <f>N143+Answers!$C$16/100*S142</f>
        <v/>
      </c>
      <c r="T143" s="54">
        <f>O143+Answers!$C$17/100*T142</f>
        <v/>
      </c>
      <c r="U143" s="54">
        <f>P143+Answers!$C$18/100*U142</f>
        <v/>
      </c>
      <c r="V143" s="54">
        <f>Q143+Answers!$C$19/100*V142</f>
        <v/>
      </c>
      <c r="W143" s="54">
        <f>R143+Answers!$C$20/100*W142</f>
        <v/>
      </c>
      <c r="X143" s="54">
        <f>State!$B$2*E143</f>
        <v/>
      </c>
      <c r="Y143" s="54">
        <f>-State!$B$3*F143</f>
        <v/>
      </c>
      <c r="Z143" s="54">
        <f>State!$B$4*G143</f>
        <v/>
      </c>
      <c r="AA143" s="54">
        <f>State!$B$5*(1-State!$B$6/100)*I143</f>
        <v/>
      </c>
      <c r="AB143" s="54">
        <f>State!$B$7*K143</f>
        <v/>
      </c>
      <c r="AE143" s="54">
        <f>State!$B$8*(1-Answers!$C$16/100)*S143</f>
        <v/>
      </c>
      <c r="AF143" s="54">
        <f>State!$B$9*(1-Answers!$C$17/100)*T143</f>
        <v/>
      </c>
      <c r="AG143" s="54">
        <f>State!$B$10*(1-Answers!$C$18/100)*U143</f>
        <v/>
      </c>
      <c r="AH143" s="54">
        <f>State!$B$11*(1-Answers!$C$19/100)*V143</f>
        <v/>
      </c>
      <c r="AI143" s="54">
        <f>State!$B$12*(1-Answers!$C$20/100)*W143</f>
        <v/>
      </c>
      <c r="AJ143" s="54">
        <f>X143</f>
        <v/>
      </c>
      <c r="AK143" s="54">
        <f>X143+Y143</f>
        <v/>
      </c>
      <c r="AL143" s="54">
        <f>AK143+Z143</f>
        <v/>
      </c>
      <c r="AM143" s="54">
        <f>AL143+AA143</f>
        <v/>
      </c>
      <c r="AN143" s="54">
        <f>AM143+AB143</f>
        <v/>
      </c>
      <c r="AO143" s="54">
        <f>AL143+AE143+AF143+AG143+AH143+AI143+AB143</f>
        <v/>
      </c>
      <c r="AP143" s="54">
        <f>IF(State!$B$46=1,AO143,AN143)</f>
        <v/>
      </c>
      <c r="AQ143" s="54" t="n">
        <v>821</v>
      </c>
      <c r="AR143" s="54" t="n">
        <v>-2462.7</v>
      </c>
      <c r="AS143" s="54" t="n">
        <v>0</v>
      </c>
      <c r="AT143" s="54" t="n">
        <v>1015</v>
      </c>
      <c r="AU143" s="54" t="n">
        <v>151.6</v>
      </c>
      <c r="AX143" s="54" t="n">
        <v>66.59999999999999</v>
      </c>
      <c r="AY143" s="54" t="n">
        <v>113.6</v>
      </c>
      <c r="AZ143" s="54" t="n">
        <v>99.90000000000001</v>
      </c>
      <c r="BA143" s="54" t="n">
        <v>33.5</v>
      </c>
      <c r="BB143" s="54" t="n">
        <v>701.3</v>
      </c>
      <c r="BC143" s="54">
        <f>AQ143+AR143+AS143+AT143+AU143</f>
        <v/>
      </c>
      <c r="BD143" s="54">
        <f>AQ143</f>
        <v/>
      </c>
      <c r="BE143" s="54">
        <f>AQ143+AR143</f>
        <v/>
      </c>
      <c r="BF143" s="54">
        <f>BE143+AS143</f>
        <v/>
      </c>
      <c r="BG143" s="54">
        <f>BF143+AT143</f>
        <v/>
      </c>
      <c r="BH143" s="54">
        <f>BG143+AU143</f>
        <v/>
      </c>
      <c r="BI143" s="54">
        <f>BC143</f>
        <v/>
      </c>
      <c r="BJ143" s="54">
        <f>IF(State!$B$14=1,CHOOSE(State!$B$43+1,D143,BD143,BE143,BF143,BG143,BH143,BI143),BK143)</f>
        <v/>
      </c>
      <c r="BK143" s="54">
        <f>CHOOSE(State!$B$43+1,D143,AJ143,AK143,AL143,AM143,AN143,AO143)</f>
        <v/>
      </c>
      <c r="BL143" s="54">
        <f>IF(State!$B$44=1,H143,0)</f>
        <v/>
      </c>
      <c r="BQ143" s="54">
        <f>D143-AP143</f>
        <v/>
      </c>
      <c r="BR143" s="54">
        <f>BQ143^2</f>
        <v/>
      </c>
      <c r="BS143" s="54">
        <f>(BQ143-BQ142)^2</f>
        <v/>
      </c>
      <c r="BT143" s="54">
        <f>IF(D143&gt;2000,ABS(BQ143)/D143,"")</f>
        <v/>
      </c>
      <c r="BU143" s="54" t="n">
        <v>83</v>
      </c>
      <c r="BV143" s="74" t="n">
        <v>0.5406</v>
      </c>
      <c r="BW143" s="54" t="n">
        <v>308.8</v>
      </c>
    </row>
    <row r="144">
      <c r="A144" s="73" t="n">
        <v>45900</v>
      </c>
      <c r="B144" s="53">
        <f>YEAR(A144)</f>
        <v/>
      </c>
      <c r="C144" s="53">
        <f>MONTH(A144)</f>
        <v/>
      </c>
      <c r="D144" s="54" t="n">
        <v>221</v>
      </c>
      <c r="E144" s="55" t="n">
        <v>0.8628</v>
      </c>
      <c r="F144" s="55" t="n">
        <v>2.5857</v>
      </c>
      <c r="G144" s="55" t="n">
        <v>0</v>
      </c>
      <c r="H144" s="54" t="n">
        <v>1.41</v>
      </c>
      <c r="I144" s="54">
        <f>H144+State!$B$6/100*I143</f>
        <v/>
      </c>
      <c r="J144" s="54" t="n">
        <v>28.94</v>
      </c>
      <c r="K144" s="54" t="n">
        <v>69.73999999999999</v>
      </c>
      <c r="N144" s="54" t="n">
        <v>0</v>
      </c>
      <c r="O144" s="54" t="n">
        <v>0</v>
      </c>
      <c r="P144" s="54" t="n">
        <v>0</v>
      </c>
      <c r="Q144" s="54" t="n">
        <v>0</v>
      </c>
      <c r="R144" s="54" t="n">
        <v>1.19</v>
      </c>
      <c r="S144" s="54">
        <f>N144+Answers!$C$16/100*S143</f>
        <v/>
      </c>
      <c r="T144" s="54">
        <f>O144+Answers!$C$17/100*T143</f>
        <v/>
      </c>
      <c r="U144" s="54">
        <f>P144+Answers!$C$18/100*U143</f>
        <v/>
      </c>
      <c r="V144" s="54">
        <f>Q144+Answers!$C$19/100*V143</f>
        <v/>
      </c>
      <c r="W144" s="54">
        <f>R144+Answers!$C$20/100*W143</f>
        <v/>
      </c>
      <c r="X144" s="54">
        <f>State!$B$2*E144</f>
        <v/>
      </c>
      <c r="Y144" s="54">
        <f>-State!$B$3*F144</f>
        <v/>
      </c>
      <c r="Z144" s="54">
        <f>State!$B$4*G144</f>
        <v/>
      </c>
      <c r="AA144" s="54">
        <f>State!$B$5*(1-State!$B$6/100)*I144</f>
        <v/>
      </c>
      <c r="AB144" s="54">
        <f>State!$B$7*K144</f>
        <v/>
      </c>
      <c r="AE144" s="54">
        <f>State!$B$8*(1-Answers!$C$16/100)*S144</f>
        <v/>
      </c>
      <c r="AF144" s="54">
        <f>State!$B$9*(1-Answers!$C$17/100)*T144</f>
        <v/>
      </c>
      <c r="AG144" s="54">
        <f>State!$B$10*(1-Answers!$C$18/100)*U144</f>
        <v/>
      </c>
      <c r="AH144" s="54">
        <f>State!$B$11*(1-Answers!$C$19/100)*V144</f>
        <v/>
      </c>
      <c r="AI144" s="54">
        <f>State!$B$12*(1-Answers!$C$20/100)*W144</f>
        <v/>
      </c>
      <c r="AJ144" s="54">
        <f>X144</f>
        <v/>
      </c>
      <c r="AK144" s="54">
        <f>X144+Y144</f>
        <v/>
      </c>
      <c r="AL144" s="54">
        <f>AK144+Z144</f>
        <v/>
      </c>
      <c r="AM144" s="54">
        <f>AL144+AA144</f>
        <v/>
      </c>
      <c r="AN144" s="54">
        <f>AM144+AB144</f>
        <v/>
      </c>
      <c r="AO144" s="54">
        <f>AL144+AE144+AF144+AG144+AH144+AI144+AB144</f>
        <v/>
      </c>
      <c r="AP144" s="54">
        <f>IF(State!$B$46=1,AO144,AN144)</f>
        <v/>
      </c>
      <c r="AQ144" s="54" t="n">
        <v>755.5</v>
      </c>
      <c r="AR144" s="54" t="n">
        <v>-2462.7</v>
      </c>
      <c r="AS144" s="54" t="n">
        <v>0</v>
      </c>
      <c r="AT144" s="54" t="n">
        <v>884.6</v>
      </c>
      <c r="AU144" s="54" t="n">
        <v>139.4</v>
      </c>
      <c r="AX144" s="54" t="n">
        <v>56.6</v>
      </c>
      <c r="AY144" s="54" t="n">
        <v>96.5</v>
      </c>
      <c r="AZ144" s="54" t="n">
        <v>85</v>
      </c>
      <c r="BA144" s="54" t="n">
        <v>28.5</v>
      </c>
      <c r="BB144" s="54" t="n">
        <v>618</v>
      </c>
      <c r="BC144" s="54">
        <f>AQ144+AR144+AS144+AT144+AU144</f>
        <v/>
      </c>
      <c r="BD144" s="54">
        <f>AQ144</f>
        <v/>
      </c>
      <c r="BE144" s="54">
        <f>AQ144+AR144</f>
        <v/>
      </c>
      <c r="BF144" s="54">
        <f>BE144+AS144</f>
        <v/>
      </c>
      <c r="BG144" s="54">
        <f>BF144+AT144</f>
        <v/>
      </c>
      <c r="BH144" s="54">
        <f>BG144+AU144</f>
        <v/>
      </c>
      <c r="BI144" s="54">
        <f>BC144</f>
        <v/>
      </c>
      <c r="BJ144" s="54">
        <f>IF(State!$B$14=1,CHOOSE(State!$B$43+1,D144,BD144,BE144,BF144,BG144,BH144,BI144),BK144)</f>
        <v/>
      </c>
      <c r="BK144" s="54">
        <f>CHOOSE(State!$B$43+1,D144,AJ144,AK144,AL144,AM144,AN144,AO144)</f>
        <v/>
      </c>
      <c r="BL144" s="54">
        <f>IF(State!$B$44=1,H144,0)</f>
        <v/>
      </c>
      <c r="BQ144" s="54">
        <f>D144-AP144</f>
        <v/>
      </c>
      <c r="BR144" s="54">
        <f>BQ144^2</f>
        <v/>
      </c>
      <c r="BS144" s="54">
        <f>(BQ144-BQ143)^2</f>
        <v/>
      </c>
      <c r="BT144" s="54">
        <f>IF(D144&gt;2000,ABS(BQ144)/D144,"")</f>
        <v/>
      </c>
      <c r="BU144" s="54" t="n">
        <v>96</v>
      </c>
      <c r="BV144" s="74" t="n">
        <v>0.5438</v>
      </c>
      <c r="BW144" s="54" t="n">
        <v>296.8</v>
      </c>
    </row>
    <row r="145">
      <c r="A145" s="73" t="n">
        <v>45907</v>
      </c>
      <c r="B145" s="53">
        <f>YEAR(A145)</f>
        <v/>
      </c>
      <c r="C145" s="53">
        <f>MONTH(A145)</f>
        <v/>
      </c>
      <c r="D145" s="54" t="n">
        <v>350</v>
      </c>
      <c r="E145" s="55" t="n">
        <v>0.7126</v>
      </c>
      <c r="F145" s="55" t="n">
        <v>1.0282</v>
      </c>
      <c r="G145" s="55" t="n">
        <v>0</v>
      </c>
      <c r="H145" s="54" t="n">
        <v>0.4</v>
      </c>
      <c r="I145" s="54">
        <f>H145+State!$B$6/100*I144</f>
        <v/>
      </c>
      <c r="J145" s="54" t="n">
        <v>88.7</v>
      </c>
      <c r="K145" s="54" t="n">
        <v>806.4299999999999</v>
      </c>
      <c r="N145" s="54" t="n">
        <v>0</v>
      </c>
      <c r="O145" s="54" t="n">
        <v>0</v>
      </c>
      <c r="P145" s="54" t="n">
        <v>0</v>
      </c>
      <c r="Q145" s="54" t="n">
        <v>0</v>
      </c>
      <c r="R145" s="54" t="n">
        <v>0.05</v>
      </c>
      <c r="S145" s="54">
        <f>N145+Answers!$C$16/100*S144</f>
        <v/>
      </c>
      <c r="T145" s="54">
        <f>O145+Answers!$C$17/100*T144</f>
        <v/>
      </c>
      <c r="U145" s="54">
        <f>P145+Answers!$C$18/100*U144</f>
        <v/>
      </c>
      <c r="V145" s="54">
        <f>Q145+Answers!$C$19/100*V144</f>
        <v/>
      </c>
      <c r="W145" s="54">
        <f>R145+Answers!$C$20/100*W144</f>
        <v/>
      </c>
      <c r="X145" s="54">
        <f>State!$B$2*E145</f>
        <v/>
      </c>
      <c r="Y145" s="54">
        <f>-State!$B$3*F145</f>
        <v/>
      </c>
      <c r="Z145" s="54">
        <f>State!$B$4*G145</f>
        <v/>
      </c>
      <c r="AA145" s="54">
        <f>State!$B$5*(1-State!$B$6/100)*I145</f>
        <v/>
      </c>
      <c r="AB145" s="54">
        <f>State!$B$7*K145</f>
        <v/>
      </c>
      <c r="AE145" s="54">
        <f>State!$B$8*(1-Answers!$C$16/100)*S145</f>
        <v/>
      </c>
      <c r="AF145" s="54">
        <f>State!$B$9*(1-Answers!$C$17/100)*T145</f>
        <v/>
      </c>
      <c r="AG145" s="54">
        <f>State!$B$10*(1-Answers!$C$18/100)*U145</f>
        <v/>
      </c>
      <c r="AH145" s="54">
        <f>State!$B$11*(1-Answers!$C$19/100)*V145</f>
        <v/>
      </c>
      <c r="AI145" s="54">
        <f>State!$B$12*(1-Answers!$C$20/100)*W145</f>
        <v/>
      </c>
      <c r="AJ145" s="54">
        <f>X145</f>
        <v/>
      </c>
      <c r="AK145" s="54">
        <f>X145+Y145</f>
        <v/>
      </c>
      <c r="AL145" s="54">
        <f>AK145+Z145</f>
        <v/>
      </c>
      <c r="AM145" s="54">
        <f>AL145+AA145</f>
        <v/>
      </c>
      <c r="AN145" s="54">
        <f>AM145+AB145</f>
        <v/>
      </c>
      <c r="AO145" s="54">
        <f>AL145+AE145+AF145+AG145+AH145+AI145+AB145</f>
        <v/>
      </c>
      <c r="AP145" s="54">
        <f>IF(State!$B$46=1,AO145,AN145)</f>
        <v/>
      </c>
      <c r="AQ145" s="54" t="n">
        <v>624</v>
      </c>
      <c r="AR145" s="54" t="n">
        <v>-979.3</v>
      </c>
      <c r="AS145" s="54" t="n">
        <v>0</v>
      </c>
      <c r="AT145" s="54" t="n">
        <v>765.2</v>
      </c>
      <c r="AU145" s="54" t="n">
        <v>2197.5</v>
      </c>
      <c r="AX145" s="54" t="n">
        <v>48.1</v>
      </c>
      <c r="AY145" s="54" t="n">
        <v>82</v>
      </c>
      <c r="AZ145" s="54" t="n">
        <v>72.2</v>
      </c>
      <c r="BA145" s="54" t="n">
        <v>24.2</v>
      </c>
      <c r="BB145" s="54" t="n">
        <v>538.6</v>
      </c>
      <c r="BC145" s="54">
        <f>AQ145+AR145+AS145+AT145+AU145</f>
        <v/>
      </c>
      <c r="BD145" s="54">
        <f>AQ145</f>
        <v/>
      </c>
      <c r="BE145" s="54">
        <f>AQ145+AR145</f>
        <v/>
      </c>
      <c r="BF145" s="54">
        <f>BE145+AS145</f>
        <v/>
      </c>
      <c r="BG145" s="54">
        <f>BF145+AT145</f>
        <v/>
      </c>
      <c r="BH145" s="54">
        <f>BG145+AU145</f>
        <v/>
      </c>
      <c r="BI145" s="54">
        <f>BC145</f>
        <v/>
      </c>
      <c r="BJ145" s="54">
        <f>IF(State!$B$14=1,CHOOSE(State!$B$43+1,D145,BD145,BE145,BF145,BG145,BH145,BI145),BK145)</f>
        <v/>
      </c>
      <c r="BK145" s="54">
        <f>CHOOSE(State!$B$43+1,D145,AJ145,AK145,AL145,AM145,AN145,AO145)</f>
        <v/>
      </c>
      <c r="BL145" s="54">
        <f>IF(State!$B$44=1,H145,0)</f>
        <v/>
      </c>
      <c r="BQ145" s="54">
        <f>D145-AP145</f>
        <v/>
      </c>
      <c r="BR145" s="54">
        <f>BQ145^2</f>
        <v/>
      </c>
      <c r="BS145" s="54">
        <f>(BQ145-BQ144)^2</f>
        <v/>
      </c>
      <c r="BT145" s="54">
        <f>IF(D145&gt;2000,ABS(BQ145)/D145,"")</f>
        <v/>
      </c>
      <c r="BU145" s="54" t="n">
        <v>95</v>
      </c>
      <c r="BV145" s="74" t="n">
        <v>0.5438</v>
      </c>
      <c r="BW145" s="54" t="n">
        <v>976.2</v>
      </c>
    </row>
    <row r="146">
      <c r="A146" s="73" t="n">
        <v>45914</v>
      </c>
      <c r="B146" s="53">
        <f>YEAR(A146)</f>
        <v/>
      </c>
      <c r="C146" s="53">
        <f>MONTH(A146)</f>
        <v/>
      </c>
      <c r="D146" s="54" t="n">
        <v>362</v>
      </c>
      <c r="E146" s="55" t="n">
        <v>0.6703</v>
      </c>
      <c r="F146" s="55" t="n">
        <v>1.0282</v>
      </c>
      <c r="G146" s="55" t="n">
        <v>0</v>
      </c>
      <c r="H146" s="54" t="n">
        <v>0.41</v>
      </c>
      <c r="I146" s="54">
        <f>H146+State!$B$6/100*I145</f>
        <v/>
      </c>
      <c r="J146" s="54" t="n">
        <v>91.84999999999999</v>
      </c>
      <c r="K146" s="54" t="n">
        <v>790.03</v>
      </c>
      <c r="N146" s="54" t="n">
        <v>0</v>
      </c>
      <c r="O146" s="54" t="n">
        <v>0</v>
      </c>
      <c r="P146" s="54" t="n">
        <v>0</v>
      </c>
      <c r="Q146" s="54" t="n">
        <v>0</v>
      </c>
      <c r="R146" s="54" t="n">
        <v>0.05</v>
      </c>
      <c r="S146" s="54">
        <f>N146+Answers!$C$16/100*S145</f>
        <v/>
      </c>
      <c r="T146" s="54">
        <f>O146+Answers!$C$17/100*T145</f>
        <v/>
      </c>
      <c r="U146" s="54">
        <f>P146+Answers!$C$18/100*U145</f>
        <v/>
      </c>
      <c r="V146" s="54">
        <f>Q146+Answers!$C$19/100*V145</f>
        <v/>
      </c>
      <c r="W146" s="54">
        <f>R146+Answers!$C$20/100*W145</f>
        <v/>
      </c>
      <c r="X146" s="54">
        <f>State!$B$2*E146</f>
        <v/>
      </c>
      <c r="Y146" s="54">
        <f>-State!$B$3*F146</f>
        <v/>
      </c>
      <c r="Z146" s="54">
        <f>State!$B$4*G146</f>
        <v/>
      </c>
      <c r="AA146" s="54">
        <f>State!$B$5*(1-State!$B$6/100)*I146</f>
        <v/>
      </c>
      <c r="AB146" s="54">
        <f>State!$B$7*K146</f>
        <v/>
      </c>
      <c r="AE146" s="54">
        <f>State!$B$8*(1-Answers!$C$16/100)*S146</f>
        <v/>
      </c>
      <c r="AF146" s="54">
        <f>State!$B$9*(1-Answers!$C$17/100)*T146</f>
        <v/>
      </c>
      <c r="AG146" s="54">
        <f>State!$B$10*(1-Answers!$C$18/100)*U146</f>
        <v/>
      </c>
      <c r="AH146" s="54">
        <f>State!$B$11*(1-Answers!$C$19/100)*V146</f>
        <v/>
      </c>
      <c r="AI146" s="54">
        <f>State!$B$12*(1-Answers!$C$20/100)*W146</f>
        <v/>
      </c>
      <c r="AJ146" s="54">
        <f>X146</f>
        <v/>
      </c>
      <c r="AK146" s="54">
        <f>X146+Y146</f>
        <v/>
      </c>
      <c r="AL146" s="54">
        <f>AK146+Z146</f>
        <v/>
      </c>
      <c r="AM146" s="54">
        <f>AL146+AA146</f>
        <v/>
      </c>
      <c r="AN146" s="54">
        <f>AM146+AB146</f>
        <v/>
      </c>
      <c r="AO146" s="54">
        <f>AL146+AE146+AF146+AG146+AH146+AI146+AB146</f>
        <v/>
      </c>
      <c r="AP146" s="54">
        <f>IF(State!$B$46=1,AO146,AN146)</f>
        <v/>
      </c>
      <c r="AQ146" s="54" t="n">
        <v>586.9</v>
      </c>
      <c r="AR146" s="54" t="n">
        <v>-979.3</v>
      </c>
      <c r="AS146" s="54" t="n">
        <v>0</v>
      </c>
      <c r="AT146" s="54" t="n">
        <v>673</v>
      </c>
      <c r="AU146" s="54" t="n">
        <v>2158.3</v>
      </c>
      <c r="AX146" s="54" t="n">
        <v>40.9</v>
      </c>
      <c r="AY146" s="54" t="n">
        <v>69.7</v>
      </c>
      <c r="AZ146" s="54" t="n">
        <v>61.4</v>
      </c>
      <c r="BA146" s="54" t="n">
        <v>20.6</v>
      </c>
      <c r="BB146" s="54" t="n">
        <v>480.4</v>
      </c>
      <c r="BC146" s="54">
        <f>AQ146+AR146+AS146+AT146+AU146</f>
        <v/>
      </c>
      <c r="BD146" s="54">
        <f>AQ146</f>
        <v/>
      </c>
      <c r="BE146" s="54">
        <f>AQ146+AR146</f>
        <v/>
      </c>
      <c r="BF146" s="54">
        <f>BE146+AS146</f>
        <v/>
      </c>
      <c r="BG146" s="54">
        <f>BF146+AT146</f>
        <v/>
      </c>
      <c r="BH146" s="54">
        <f>BG146+AU146</f>
        <v/>
      </c>
      <c r="BI146" s="54">
        <f>BC146</f>
        <v/>
      </c>
      <c r="BJ146" s="54">
        <f>IF(State!$B$14=1,CHOOSE(State!$B$43+1,D146,BD146,BE146,BF146,BG146,BH146,BI146),BK146)</f>
        <v/>
      </c>
      <c r="BK146" s="54">
        <f>CHOOSE(State!$B$43+1,D146,AJ146,AK146,AL146,AM146,AN146,AO146)</f>
        <v/>
      </c>
      <c r="BL146" s="54">
        <f>IF(State!$B$44=1,H146,0)</f>
        <v/>
      </c>
      <c r="BQ146" s="54">
        <f>D146-AP146</f>
        <v/>
      </c>
      <c r="BR146" s="54">
        <f>BQ146^2</f>
        <v/>
      </c>
      <c r="BS146" s="54">
        <f>(BQ146-BQ145)^2</f>
        <v/>
      </c>
      <c r="BT146" s="54">
        <f>IF(D146&gt;2000,ABS(BQ146)/D146,"")</f>
        <v/>
      </c>
      <c r="BU146" s="54" t="n">
        <v>126</v>
      </c>
      <c r="BV146" s="74" t="n">
        <v>0.5438</v>
      </c>
      <c r="BW146" s="54" t="n">
        <v>1012.9</v>
      </c>
    </row>
    <row r="147">
      <c r="A147" s="73" t="n">
        <v>45921</v>
      </c>
      <c r="B147" s="53">
        <f>YEAR(A147)</f>
        <v/>
      </c>
      <c r="C147" s="53">
        <f>MONTH(A147)</f>
        <v/>
      </c>
      <c r="D147" s="54" t="n">
        <v>353</v>
      </c>
      <c r="E147" s="55" t="n">
        <v>0.6674</v>
      </c>
      <c r="F147" s="55" t="n">
        <v>1.0282</v>
      </c>
      <c r="G147" s="55" t="n">
        <v>0</v>
      </c>
      <c r="H147" s="54" t="n">
        <v>0.4</v>
      </c>
      <c r="I147" s="54">
        <f>H147+State!$B$6/100*I146</f>
        <v/>
      </c>
      <c r="J147" s="54" t="n">
        <v>95.47</v>
      </c>
      <c r="K147" s="54" t="n">
        <v>192.35</v>
      </c>
      <c r="N147" s="54" t="n">
        <v>0</v>
      </c>
      <c r="O147" s="54" t="n">
        <v>0</v>
      </c>
      <c r="P147" s="54" t="n">
        <v>0</v>
      </c>
      <c r="Q147" s="54" t="n">
        <v>0</v>
      </c>
      <c r="R147" s="54" t="n">
        <v>0.05</v>
      </c>
      <c r="S147" s="54">
        <f>N147+Answers!$C$16/100*S146</f>
        <v/>
      </c>
      <c r="T147" s="54">
        <f>O147+Answers!$C$17/100*T146</f>
        <v/>
      </c>
      <c r="U147" s="54">
        <f>P147+Answers!$C$18/100*U146</f>
        <v/>
      </c>
      <c r="V147" s="54">
        <f>Q147+Answers!$C$19/100*V146</f>
        <v/>
      </c>
      <c r="W147" s="54">
        <f>R147+Answers!$C$20/100*W146</f>
        <v/>
      </c>
      <c r="X147" s="54">
        <f>State!$B$2*E147</f>
        <v/>
      </c>
      <c r="Y147" s="54">
        <f>-State!$B$3*F147</f>
        <v/>
      </c>
      <c r="Z147" s="54">
        <f>State!$B$4*G147</f>
        <v/>
      </c>
      <c r="AA147" s="54">
        <f>State!$B$5*(1-State!$B$6/100)*I147</f>
        <v/>
      </c>
      <c r="AB147" s="54">
        <f>State!$B$7*K147</f>
        <v/>
      </c>
      <c r="AE147" s="54">
        <f>State!$B$8*(1-Answers!$C$16/100)*S147</f>
        <v/>
      </c>
      <c r="AF147" s="54">
        <f>State!$B$9*(1-Answers!$C$17/100)*T147</f>
        <v/>
      </c>
      <c r="AG147" s="54">
        <f>State!$B$10*(1-Answers!$C$18/100)*U147</f>
        <v/>
      </c>
      <c r="AH147" s="54">
        <f>State!$B$11*(1-Answers!$C$19/100)*V147</f>
        <v/>
      </c>
      <c r="AI147" s="54">
        <f>State!$B$12*(1-Answers!$C$20/100)*W147</f>
        <v/>
      </c>
      <c r="AJ147" s="54">
        <f>X147</f>
        <v/>
      </c>
      <c r="AK147" s="54">
        <f>X147+Y147</f>
        <v/>
      </c>
      <c r="AL147" s="54">
        <f>AK147+Z147</f>
        <v/>
      </c>
      <c r="AM147" s="54">
        <f>AL147+AA147</f>
        <v/>
      </c>
      <c r="AN147" s="54">
        <f>AM147+AB147</f>
        <v/>
      </c>
      <c r="AO147" s="54">
        <f>AL147+AE147+AF147+AG147+AH147+AI147+AB147</f>
        <v/>
      </c>
      <c r="AP147" s="54">
        <f>IF(State!$B$46=1,AO147,AN147)</f>
        <v/>
      </c>
      <c r="AQ147" s="54" t="n">
        <v>584.4</v>
      </c>
      <c r="AR147" s="54" t="n">
        <v>-979.3</v>
      </c>
      <c r="AS147" s="54" t="n">
        <v>0</v>
      </c>
      <c r="AT147" s="54" t="n">
        <v>599.2</v>
      </c>
      <c r="AU147" s="54" t="n">
        <v>547.3</v>
      </c>
      <c r="AX147" s="54" t="n">
        <v>34.8</v>
      </c>
      <c r="AY147" s="54" t="n">
        <v>59.3</v>
      </c>
      <c r="AZ147" s="54" t="n">
        <v>52.2</v>
      </c>
      <c r="BA147" s="54" t="n">
        <v>17.5</v>
      </c>
      <c r="BB147" s="54" t="n">
        <v>435.5</v>
      </c>
      <c r="BC147" s="54">
        <f>AQ147+AR147+AS147+AT147+AU147</f>
        <v/>
      </c>
      <c r="BD147" s="54">
        <f>AQ147</f>
        <v/>
      </c>
      <c r="BE147" s="54">
        <f>AQ147+AR147</f>
        <v/>
      </c>
      <c r="BF147" s="54">
        <f>BE147+AS147</f>
        <v/>
      </c>
      <c r="BG147" s="54">
        <f>BF147+AT147</f>
        <v/>
      </c>
      <c r="BH147" s="54">
        <f>BG147+AU147</f>
        <v/>
      </c>
      <c r="BI147" s="54">
        <f>BC147</f>
        <v/>
      </c>
      <c r="BJ147" s="54">
        <f>IF(State!$B$14=1,CHOOSE(State!$B$43+1,D147,BD147,BE147,BF147,BG147,BH147,BI147),BK147)</f>
        <v/>
      </c>
      <c r="BK147" s="54">
        <f>CHOOSE(State!$B$43+1,D147,AJ147,AK147,AL147,AM147,AN147,AO147)</f>
        <v/>
      </c>
      <c r="BL147" s="54">
        <f>IF(State!$B$44=1,H147,0)</f>
        <v/>
      </c>
      <c r="BQ147" s="54">
        <f>D147-AP147</f>
        <v/>
      </c>
      <c r="BR147" s="54">
        <f>BQ147^2</f>
        <v/>
      </c>
      <c r="BS147" s="54">
        <f>(BQ147-BQ146)^2</f>
        <v/>
      </c>
      <c r="BT147" s="54">
        <f>IF(D147&gt;2000,ABS(BQ147)/D147,"")</f>
        <v/>
      </c>
      <c r="BU147" s="54" t="n">
        <v>151</v>
      </c>
      <c r="BV147" s="74" t="n">
        <v>0.5438</v>
      </c>
      <c r="BW147" s="54" t="n">
        <v>340.9</v>
      </c>
    </row>
    <row r="148">
      <c r="A148" s="73" t="n">
        <v>45928</v>
      </c>
      <c r="B148" s="53">
        <f>YEAR(A148)</f>
        <v/>
      </c>
      <c r="C148" s="53">
        <f>MONTH(A148)</f>
        <v/>
      </c>
      <c r="D148" s="54" t="n">
        <v>348</v>
      </c>
      <c r="E148" s="55" t="n">
        <v>0.6626</v>
      </c>
      <c r="F148" s="55" t="n">
        <v>1.0282</v>
      </c>
      <c r="G148" s="55" t="n">
        <v>0</v>
      </c>
      <c r="H148" s="54" t="n">
        <v>0.4</v>
      </c>
      <c r="I148" s="54">
        <f>H148+State!$B$6/100*I147</f>
        <v/>
      </c>
      <c r="J148" s="54" t="n">
        <v>86.89</v>
      </c>
      <c r="K148" s="54" t="n">
        <v>171.72</v>
      </c>
      <c r="N148" s="54" t="n">
        <v>0</v>
      </c>
      <c r="O148" s="54" t="n">
        <v>0</v>
      </c>
      <c r="P148" s="54" t="n">
        <v>0</v>
      </c>
      <c r="Q148" s="54" t="n">
        <v>0</v>
      </c>
      <c r="R148" s="54" t="n">
        <v>0.05</v>
      </c>
      <c r="S148" s="54">
        <f>N148+Answers!$C$16/100*S147</f>
        <v/>
      </c>
      <c r="T148" s="54">
        <f>O148+Answers!$C$17/100*T147</f>
        <v/>
      </c>
      <c r="U148" s="54">
        <f>P148+Answers!$C$18/100*U147</f>
        <v/>
      </c>
      <c r="V148" s="54">
        <f>Q148+Answers!$C$19/100*V147</f>
        <v/>
      </c>
      <c r="W148" s="54">
        <f>R148+Answers!$C$20/100*W147</f>
        <v/>
      </c>
      <c r="X148" s="54">
        <f>State!$B$2*E148</f>
        <v/>
      </c>
      <c r="Y148" s="54">
        <f>-State!$B$3*F148</f>
        <v/>
      </c>
      <c r="Z148" s="54">
        <f>State!$B$4*G148</f>
        <v/>
      </c>
      <c r="AA148" s="54">
        <f>State!$B$5*(1-State!$B$6/100)*I148</f>
        <v/>
      </c>
      <c r="AB148" s="54">
        <f>State!$B$7*K148</f>
        <v/>
      </c>
      <c r="AE148" s="54">
        <f>State!$B$8*(1-Answers!$C$16/100)*S148</f>
        <v/>
      </c>
      <c r="AF148" s="54">
        <f>State!$B$9*(1-Answers!$C$17/100)*T148</f>
        <v/>
      </c>
      <c r="AG148" s="54">
        <f>State!$B$10*(1-Answers!$C$18/100)*U148</f>
        <v/>
      </c>
      <c r="AH148" s="54">
        <f>State!$B$11*(1-Answers!$C$19/100)*V148</f>
        <v/>
      </c>
      <c r="AI148" s="54">
        <f>State!$B$12*(1-Answers!$C$20/100)*W148</f>
        <v/>
      </c>
      <c r="AJ148" s="54">
        <f>X148</f>
        <v/>
      </c>
      <c r="AK148" s="54">
        <f>X148+Y148</f>
        <v/>
      </c>
      <c r="AL148" s="54">
        <f>AK148+Z148</f>
        <v/>
      </c>
      <c r="AM148" s="54">
        <f>AL148+AA148</f>
        <v/>
      </c>
      <c r="AN148" s="54">
        <f>AM148+AB148</f>
        <v/>
      </c>
      <c r="AO148" s="54">
        <f>AL148+AE148+AF148+AG148+AH148+AI148+AB148</f>
        <v/>
      </c>
      <c r="AP148" s="54">
        <f>IF(State!$B$46=1,AO148,AN148)</f>
        <v/>
      </c>
      <c r="AQ148" s="54" t="n">
        <v>580.2</v>
      </c>
      <c r="AR148" s="54" t="n">
        <v>-979.3</v>
      </c>
      <c r="AS148" s="54" t="n">
        <v>0</v>
      </c>
      <c r="AT148" s="54" t="n">
        <v>536.7</v>
      </c>
      <c r="AU148" s="54" t="n">
        <v>462.6</v>
      </c>
      <c r="AX148" s="54" t="n">
        <v>29.6</v>
      </c>
      <c r="AY148" s="54" t="n">
        <v>50.4</v>
      </c>
      <c r="AZ148" s="54" t="n">
        <v>44.3</v>
      </c>
      <c r="BA148" s="54" t="n">
        <v>14.9</v>
      </c>
      <c r="BB148" s="54" t="n">
        <v>397.6</v>
      </c>
      <c r="BC148" s="54">
        <f>AQ148+AR148+AS148+AT148+AU148</f>
        <v/>
      </c>
      <c r="BD148" s="54">
        <f>AQ148</f>
        <v/>
      </c>
      <c r="BE148" s="54">
        <f>AQ148+AR148</f>
        <v/>
      </c>
      <c r="BF148" s="54">
        <f>BE148+AS148</f>
        <v/>
      </c>
      <c r="BG148" s="54">
        <f>BF148+AT148</f>
        <v/>
      </c>
      <c r="BH148" s="54">
        <f>BG148+AU148</f>
        <v/>
      </c>
      <c r="BI148" s="54">
        <f>BC148</f>
        <v/>
      </c>
      <c r="BJ148" s="54">
        <f>IF(State!$B$14=1,CHOOSE(State!$B$43+1,D148,BD148,BE148,BF148,BG148,BH148,BI148),BK148)</f>
        <v/>
      </c>
      <c r="BK148" s="54">
        <f>CHOOSE(State!$B$43+1,D148,AJ148,AK148,AL148,AM148,AN148,AO148)</f>
        <v/>
      </c>
      <c r="BL148" s="54">
        <f>IF(State!$B$44=1,H148,0)</f>
        <v/>
      </c>
      <c r="BQ148" s="54">
        <f>D148-AP148</f>
        <v/>
      </c>
      <c r="BR148" s="54">
        <f>BQ148^2</f>
        <v/>
      </c>
      <c r="BS148" s="54">
        <f>(BQ148-BQ147)^2</f>
        <v/>
      </c>
      <c r="BT148" s="54">
        <f>IF(D148&gt;2000,ABS(BQ148)/D148,"")</f>
        <v/>
      </c>
      <c r="BU148" s="54" t="n">
        <v>158</v>
      </c>
      <c r="BV148" s="74" t="n">
        <v>0.5564</v>
      </c>
      <c r="BW148" s="54" t="n">
        <v>337.5</v>
      </c>
    </row>
    <row r="149">
      <c r="A149" s="73" t="n">
        <v>45935</v>
      </c>
      <c r="B149" s="53">
        <f>YEAR(A149)</f>
        <v/>
      </c>
      <c r="C149" s="53">
        <f>MONTH(A149)</f>
        <v/>
      </c>
      <c r="D149" s="54" t="n">
        <v>515</v>
      </c>
      <c r="E149" s="55" t="n">
        <v>0.668</v>
      </c>
      <c r="F149" s="55" t="n">
        <v>1.0282</v>
      </c>
      <c r="G149" s="55" t="n">
        <v>0</v>
      </c>
      <c r="H149" s="54" t="n">
        <v>0.53</v>
      </c>
      <c r="I149" s="54">
        <f>H149+State!$B$6/100*I148</f>
        <v/>
      </c>
      <c r="J149" s="54" t="n">
        <v>92.45999999999999</v>
      </c>
      <c r="K149" s="54" t="n">
        <v>311.11</v>
      </c>
      <c r="N149" s="54" t="n">
        <v>0</v>
      </c>
      <c r="O149" s="54" t="n">
        <v>0</v>
      </c>
      <c r="P149" s="54" t="n">
        <v>0</v>
      </c>
      <c r="Q149" s="54" t="n">
        <v>0</v>
      </c>
      <c r="R149" s="54" t="n">
        <v>0.01</v>
      </c>
      <c r="S149" s="54">
        <f>N149+Answers!$C$16/100*S148</f>
        <v/>
      </c>
      <c r="T149" s="54">
        <f>O149+Answers!$C$17/100*T148</f>
        <v/>
      </c>
      <c r="U149" s="54">
        <f>P149+Answers!$C$18/100*U148</f>
        <v/>
      </c>
      <c r="V149" s="54">
        <f>Q149+Answers!$C$19/100*V148</f>
        <v/>
      </c>
      <c r="W149" s="54">
        <f>R149+Answers!$C$20/100*W148</f>
        <v/>
      </c>
      <c r="X149" s="54">
        <f>State!$B$2*E149</f>
        <v/>
      </c>
      <c r="Y149" s="54">
        <f>-State!$B$3*F149</f>
        <v/>
      </c>
      <c r="Z149" s="54">
        <f>State!$B$4*G149</f>
        <v/>
      </c>
      <c r="AA149" s="54">
        <f>State!$B$5*(1-State!$B$6/100)*I149</f>
        <v/>
      </c>
      <c r="AB149" s="54">
        <f>State!$B$7*K149</f>
        <v/>
      </c>
      <c r="AE149" s="54">
        <f>State!$B$8*(1-Answers!$C$16/100)*S149</f>
        <v/>
      </c>
      <c r="AF149" s="54">
        <f>State!$B$9*(1-Answers!$C$17/100)*T149</f>
        <v/>
      </c>
      <c r="AG149" s="54">
        <f>State!$B$10*(1-Answers!$C$18/100)*U149</f>
        <v/>
      </c>
      <c r="AH149" s="54">
        <f>State!$B$11*(1-Answers!$C$19/100)*V149</f>
        <v/>
      </c>
      <c r="AI149" s="54">
        <f>State!$B$12*(1-Answers!$C$20/100)*W149</f>
        <v/>
      </c>
      <c r="AJ149" s="54">
        <f>X149</f>
        <v/>
      </c>
      <c r="AK149" s="54">
        <f>X149+Y149</f>
        <v/>
      </c>
      <c r="AL149" s="54">
        <f>AK149+Z149</f>
        <v/>
      </c>
      <c r="AM149" s="54">
        <f>AL149+AA149</f>
        <v/>
      </c>
      <c r="AN149" s="54">
        <f>AM149+AB149</f>
        <v/>
      </c>
      <c r="AO149" s="54">
        <f>AL149+AE149+AF149+AG149+AH149+AI149+AB149</f>
        <v/>
      </c>
      <c r="AP149" s="54">
        <f>IF(State!$B$46=1,AO149,AN149)</f>
        <v/>
      </c>
      <c r="AQ149" s="54" t="n">
        <v>584.9</v>
      </c>
      <c r="AR149" s="54" t="n">
        <v>-979.3</v>
      </c>
      <c r="AS149" s="54" t="n">
        <v>0</v>
      </c>
      <c r="AT149" s="54" t="n">
        <v>472.5</v>
      </c>
      <c r="AU149" s="54" t="n">
        <v>852.1</v>
      </c>
      <c r="AX149" s="54" t="n">
        <v>25.1</v>
      </c>
      <c r="AY149" s="54" t="n">
        <v>42.8</v>
      </c>
      <c r="AZ149" s="54" t="n">
        <v>37.7</v>
      </c>
      <c r="BA149" s="54" t="n">
        <v>12.6</v>
      </c>
      <c r="BB149" s="54" t="n">
        <v>354.2</v>
      </c>
      <c r="BC149" s="54">
        <f>AQ149+AR149+AS149+AT149+AU149</f>
        <v/>
      </c>
      <c r="BD149" s="54">
        <f>AQ149</f>
        <v/>
      </c>
      <c r="BE149" s="54">
        <f>AQ149+AR149</f>
        <v/>
      </c>
      <c r="BF149" s="54">
        <f>BE149+AS149</f>
        <v/>
      </c>
      <c r="BG149" s="54">
        <f>BF149+AT149</f>
        <v/>
      </c>
      <c r="BH149" s="54">
        <f>BG149+AU149</f>
        <v/>
      </c>
      <c r="BI149" s="54">
        <f>BC149</f>
        <v/>
      </c>
      <c r="BJ149" s="54">
        <f>IF(State!$B$14=1,CHOOSE(State!$B$43+1,D149,BD149,BE149,BF149,BG149,BH149,BI149),BK149)</f>
        <v/>
      </c>
      <c r="BK149" s="54">
        <f>CHOOSE(State!$B$43+1,D149,AJ149,AK149,AL149,AM149,AN149,AO149)</f>
        <v/>
      </c>
      <c r="BL149" s="54">
        <f>IF(State!$B$44=1,H149,0)</f>
        <v/>
      </c>
      <c r="BQ149" s="54">
        <f>D149-AP149</f>
        <v/>
      </c>
      <c r="BR149" s="54">
        <f>BQ149^2</f>
        <v/>
      </c>
      <c r="BS149" s="54">
        <f>(BQ149-BQ148)^2</f>
        <v/>
      </c>
      <c r="BT149" s="54">
        <f>IF(D149&gt;2000,ABS(BQ149)/D149,"")</f>
        <v/>
      </c>
      <c r="BU149" s="54" t="n">
        <v>159</v>
      </c>
      <c r="BV149" s="74" t="n">
        <v>0.5615</v>
      </c>
      <c r="BW149" s="54" t="n">
        <v>440.9</v>
      </c>
    </row>
    <row r="150">
      <c r="A150" s="73" t="n">
        <v>45942</v>
      </c>
      <c r="B150" s="53">
        <f>YEAR(A150)</f>
        <v/>
      </c>
      <c r="C150" s="53">
        <f>MONTH(A150)</f>
        <v/>
      </c>
      <c r="D150" s="54" t="n">
        <v>506</v>
      </c>
      <c r="E150" s="55" t="n">
        <v>0.6733</v>
      </c>
      <c r="F150" s="55" t="n">
        <v>1.0282</v>
      </c>
      <c r="G150" s="55" t="n">
        <v>0</v>
      </c>
      <c r="H150" s="54" t="n">
        <v>0.51</v>
      </c>
      <c r="I150" s="54">
        <f>H150+State!$B$6/100*I149</f>
        <v/>
      </c>
      <c r="J150" s="54" t="n">
        <v>113.1</v>
      </c>
      <c r="K150" s="54" t="n">
        <v>218.07</v>
      </c>
      <c r="N150" s="54" t="n">
        <v>0</v>
      </c>
      <c r="O150" s="54" t="n">
        <v>0</v>
      </c>
      <c r="P150" s="54" t="n">
        <v>0</v>
      </c>
      <c r="Q150" s="54" t="n">
        <v>0</v>
      </c>
      <c r="R150" s="54" t="n">
        <v>0</v>
      </c>
      <c r="S150" s="54">
        <f>N150+Answers!$C$16/100*S149</f>
        <v/>
      </c>
      <c r="T150" s="54">
        <f>O150+Answers!$C$17/100*T149</f>
        <v/>
      </c>
      <c r="U150" s="54">
        <f>P150+Answers!$C$18/100*U149</f>
        <v/>
      </c>
      <c r="V150" s="54">
        <f>Q150+Answers!$C$19/100*V149</f>
        <v/>
      </c>
      <c r="W150" s="54">
        <f>R150+Answers!$C$20/100*W149</f>
        <v/>
      </c>
      <c r="X150" s="54">
        <f>State!$B$2*E150</f>
        <v/>
      </c>
      <c r="Y150" s="54">
        <f>-State!$B$3*F150</f>
        <v/>
      </c>
      <c r="Z150" s="54">
        <f>State!$B$4*G150</f>
        <v/>
      </c>
      <c r="AA150" s="54">
        <f>State!$B$5*(1-State!$B$6/100)*I150</f>
        <v/>
      </c>
      <c r="AB150" s="54">
        <f>State!$B$7*K150</f>
        <v/>
      </c>
      <c r="AE150" s="54">
        <f>State!$B$8*(1-Answers!$C$16/100)*S150</f>
        <v/>
      </c>
      <c r="AF150" s="54">
        <f>State!$B$9*(1-Answers!$C$17/100)*T150</f>
        <v/>
      </c>
      <c r="AG150" s="54">
        <f>State!$B$10*(1-Answers!$C$18/100)*U150</f>
        <v/>
      </c>
      <c r="AH150" s="54">
        <f>State!$B$11*(1-Answers!$C$19/100)*V150</f>
        <v/>
      </c>
      <c r="AI150" s="54">
        <f>State!$B$12*(1-Answers!$C$20/100)*W150</f>
        <v/>
      </c>
      <c r="AJ150" s="54">
        <f>X150</f>
        <v/>
      </c>
      <c r="AK150" s="54">
        <f>X150+Y150</f>
        <v/>
      </c>
      <c r="AL150" s="54">
        <f>AK150+Z150</f>
        <v/>
      </c>
      <c r="AM150" s="54">
        <f>AL150+AA150</f>
        <v/>
      </c>
      <c r="AN150" s="54">
        <f>AM150+AB150</f>
        <v/>
      </c>
      <c r="AO150" s="54">
        <f>AL150+AE150+AF150+AG150+AH150+AI150+AB150</f>
        <v/>
      </c>
      <c r="AP150" s="54">
        <f>IF(State!$B$46=1,AO150,AN150)</f>
        <v/>
      </c>
      <c r="AQ150" s="54" t="n">
        <v>589.6</v>
      </c>
      <c r="AR150" s="54" t="n">
        <v>-979.3</v>
      </c>
      <c r="AS150" s="54" t="n">
        <v>0</v>
      </c>
      <c r="AT150" s="54" t="n">
        <v>418.1</v>
      </c>
      <c r="AU150" s="54" t="n">
        <v>492.9</v>
      </c>
      <c r="AX150" s="54" t="n">
        <v>21.4</v>
      </c>
      <c r="AY150" s="54" t="n">
        <v>36.4</v>
      </c>
      <c r="AZ150" s="54" t="n">
        <v>32</v>
      </c>
      <c r="BA150" s="54" t="n">
        <v>10.7</v>
      </c>
      <c r="BB150" s="54" t="n">
        <v>317.5</v>
      </c>
      <c r="BC150" s="54">
        <f>AQ150+AR150+AS150+AT150+AU150</f>
        <v/>
      </c>
      <c r="BD150" s="54">
        <f>AQ150</f>
        <v/>
      </c>
      <c r="BE150" s="54">
        <f>AQ150+AR150</f>
        <v/>
      </c>
      <c r="BF150" s="54">
        <f>BE150+AS150</f>
        <v/>
      </c>
      <c r="BG150" s="54">
        <f>BF150+AT150</f>
        <v/>
      </c>
      <c r="BH150" s="54">
        <f>BG150+AU150</f>
        <v/>
      </c>
      <c r="BI150" s="54">
        <f>BC150</f>
        <v/>
      </c>
      <c r="BJ150" s="54">
        <f>IF(State!$B$14=1,CHOOSE(State!$B$43+1,D150,BD150,BE150,BF150,BG150,BH150,BI150),BK150)</f>
        <v/>
      </c>
      <c r="BK150" s="54">
        <f>CHOOSE(State!$B$43+1,D150,AJ150,AK150,AL150,AM150,AN150,AO150)</f>
        <v/>
      </c>
      <c r="BL150" s="54">
        <f>IF(State!$B$44=1,H150,0)</f>
        <v/>
      </c>
      <c r="BQ150" s="54">
        <f>D150-AP150</f>
        <v/>
      </c>
      <c r="BR150" s="54">
        <f>BQ150^2</f>
        <v/>
      </c>
      <c r="BS150" s="54">
        <f>(BQ150-BQ149)^2</f>
        <v/>
      </c>
      <c r="BT150" s="54">
        <f>IF(D150&gt;2000,ABS(BQ150)/D150,"")</f>
        <v/>
      </c>
      <c r="BU150" s="54" t="n">
        <v>162</v>
      </c>
      <c r="BV150" s="74" t="n">
        <v>0.5615</v>
      </c>
      <c r="BW150" s="54" t="n">
        <v>371.9</v>
      </c>
    </row>
    <row r="151">
      <c r="A151" s="73" t="n">
        <v>45949</v>
      </c>
      <c r="B151" s="53">
        <f>YEAR(A151)</f>
        <v/>
      </c>
      <c r="C151" s="53">
        <f>MONTH(A151)</f>
        <v/>
      </c>
      <c r="D151" s="54" t="n">
        <v>488</v>
      </c>
      <c r="E151" s="55" t="n">
        <v>0.6748</v>
      </c>
      <c r="F151" s="55" t="n">
        <v>1.0282</v>
      </c>
      <c r="G151" s="55" t="n">
        <v>0</v>
      </c>
      <c r="H151" s="54" t="n">
        <v>0.49</v>
      </c>
      <c r="I151" s="54">
        <f>H151+State!$B$6/100*I150</f>
        <v/>
      </c>
      <c r="J151" s="54" t="n">
        <v>93.92</v>
      </c>
      <c r="K151" s="54" t="n">
        <v>1029.27</v>
      </c>
      <c r="N151" s="54" t="n">
        <v>0</v>
      </c>
      <c r="O151" s="54" t="n">
        <v>0</v>
      </c>
      <c r="P151" s="54" t="n">
        <v>0</v>
      </c>
      <c r="Q151" s="54" t="n">
        <v>0</v>
      </c>
      <c r="R151" s="54" t="n">
        <v>0</v>
      </c>
      <c r="S151" s="54">
        <f>N151+Answers!$C$16/100*S150</f>
        <v/>
      </c>
      <c r="T151" s="54">
        <f>O151+Answers!$C$17/100*T150</f>
        <v/>
      </c>
      <c r="U151" s="54">
        <f>P151+Answers!$C$18/100*U150</f>
        <v/>
      </c>
      <c r="V151" s="54">
        <f>Q151+Answers!$C$19/100*V150</f>
        <v/>
      </c>
      <c r="W151" s="54">
        <f>R151+Answers!$C$20/100*W150</f>
        <v/>
      </c>
      <c r="X151" s="54">
        <f>State!$B$2*E151</f>
        <v/>
      </c>
      <c r="Y151" s="54">
        <f>-State!$B$3*F151</f>
        <v/>
      </c>
      <c r="Z151" s="54">
        <f>State!$B$4*G151</f>
        <v/>
      </c>
      <c r="AA151" s="54">
        <f>State!$B$5*(1-State!$B$6/100)*I151</f>
        <v/>
      </c>
      <c r="AB151" s="54">
        <f>State!$B$7*K151</f>
        <v/>
      </c>
      <c r="AE151" s="54">
        <f>State!$B$8*(1-Answers!$C$16/100)*S151</f>
        <v/>
      </c>
      <c r="AF151" s="54">
        <f>State!$B$9*(1-Answers!$C$17/100)*T151</f>
        <v/>
      </c>
      <c r="AG151" s="54">
        <f>State!$B$10*(1-Answers!$C$18/100)*U151</f>
        <v/>
      </c>
      <c r="AH151" s="54">
        <f>State!$B$11*(1-Answers!$C$19/100)*V151</f>
        <v/>
      </c>
      <c r="AI151" s="54">
        <f>State!$B$12*(1-Answers!$C$20/100)*W151</f>
        <v/>
      </c>
      <c r="AJ151" s="54">
        <f>X151</f>
        <v/>
      </c>
      <c r="AK151" s="54">
        <f>X151+Y151</f>
        <v/>
      </c>
      <c r="AL151" s="54">
        <f>AK151+Z151</f>
        <v/>
      </c>
      <c r="AM151" s="54">
        <f>AL151+AA151</f>
        <v/>
      </c>
      <c r="AN151" s="54">
        <f>AM151+AB151</f>
        <v/>
      </c>
      <c r="AO151" s="54">
        <f>AL151+AE151+AF151+AG151+AH151+AI151+AB151</f>
        <v/>
      </c>
      <c r="AP151" s="54">
        <f>IF(State!$B$46=1,AO151,AN151)</f>
        <v/>
      </c>
      <c r="AQ151" s="54" t="n">
        <v>590.9</v>
      </c>
      <c r="AR151" s="54" t="n">
        <v>-979.3</v>
      </c>
      <c r="AS151" s="54" t="n">
        <v>0</v>
      </c>
      <c r="AT151" s="54" t="n">
        <v>374.4</v>
      </c>
      <c r="AU151" s="54" t="n">
        <v>824.8</v>
      </c>
      <c r="AX151" s="54" t="n">
        <v>18.2</v>
      </c>
      <c r="AY151" s="54" t="n">
        <v>30.9</v>
      </c>
      <c r="AZ151" s="54" t="n">
        <v>27.2</v>
      </c>
      <c r="BA151" s="54" t="n">
        <v>9.1</v>
      </c>
      <c r="BB151" s="54" t="n">
        <v>289</v>
      </c>
      <c r="BC151" s="54">
        <f>AQ151+AR151+AS151+AT151+AU151</f>
        <v/>
      </c>
      <c r="BD151" s="54">
        <f>AQ151</f>
        <v/>
      </c>
      <c r="BE151" s="54">
        <f>AQ151+AR151</f>
        <v/>
      </c>
      <c r="BF151" s="54">
        <f>BE151+AS151</f>
        <v/>
      </c>
      <c r="BG151" s="54">
        <f>BF151+AT151</f>
        <v/>
      </c>
      <c r="BH151" s="54">
        <f>BG151+AU151</f>
        <v/>
      </c>
      <c r="BI151" s="54">
        <f>BC151</f>
        <v/>
      </c>
      <c r="BJ151" s="54">
        <f>IF(State!$B$14=1,CHOOSE(State!$B$43+1,D151,BD151,BE151,BF151,BG151,BH151,BI151),BK151)</f>
        <v/>
      </c>
      <c r="BK151" s="54">
        <f>CHOOSE(State!$B$43+1,D151,AJ151,AK151,AL151,AM151,AN151,AO151)</f>
        <v/>
      </c>
      <c r="BL151" s="54">
        <f>IF(State!$B$44=1,H151,0)</f>
        <v/>
      </c>
      <c r="BQ151" s="54">
        <f>D151-AP151</f>
        <v/>
      </c>
      <c r="BR151" s="54">
        <f>BQ151^2</f>
        <v/>
      </c>
      <c r="BS151" s="54">
        <f>(BQ151-BQ150)^2</f>
        <v/>
      </c>
      <c r="BT151" s="54">
        <f>IF(D151&gt;2000,ABS(BQ151)/D151,"")</f>
        <v/>
      </c>
      <c r="BU151" s="54" t="n">
        <v>158</v>
      </c>
      <c r="BV151" s="74" t="n">
        <v>0.5615</v>
      </c>
      <c r="BW151" s="54" t="n">
        <v>1168.2</v>
      </c>
    </row>
    <row r="152">
      <c r="A152" s="73" t="n">
        <v>45956</v>
      </c>
      <c r="B152" s="53">
        <f>YEAR(A152)</f>
        <v/>
      </c>
      <c r="C152" s="53">
        <f>MONTH(A152)</f>
        <v/>
      </c>
      <c r="D152" s="54" t="n">
        <v>583</v>
      </c>
      <c r="E152" s="55" t="n">
        <v>0.696</v>
      </c>
      <c r="F152" s="55" t="n">
        <v>1.0282</v>
      </c>
      <c r="G152" s="55" t="n">
        <v>0</v>
      </c>
      <c r="H152" s="54" t="n">
        <v>56.32</v>
      </c>
      <c r="I152" s="54">
        <f>H152+State!$B$6/100*I151</f>
        <v/>
      </c>
      <c r="J152" s="54" t="n">
        <v>88.58</v>
      </c>
      <c r="K152" s="54" t="n">
        <v>863.29</v>
      </c>
      <c r="N152" s="54" t="n">
        <v>54.28</v>
      </c>
      <c r="O152" s="54" t="n">
        <v>0</v>
      </c>
      <c r="P152" s="54" t="n">
        <v>0</v>
      </c>
      <c r="Q152" s="54" t="n">
        <v>0</v>
      </c>
      <c r="R152" s="54" t="n">
        <v>1.46</v>
      </c>
      <c r="S152" s="54">
        <f>N152+Answers!$C$16/100*S151</f>
        <v/>
      </c>
      <c r="T152" s="54">
        <f>O152+Answers!$C$17/100*T151</f>
        <v/>
      </c>
      <c r="U152" s="54">
        <f>P152+Answers!$C$18/100*U151</f>
        <v/>
      </c>
      <c r="V152" s="54">
        <f>Q152+Answers!$C$19/100*V151</f>
        <v/>
      </c>
      <c r="W152" s="54">
        <f>R152+Answers!$C$20/100*W151</f>
        <v/>
      </c>
      <c r="X152" s="54">
        <f>State!$B$2*E152</f>
        <v/>
      </c>
      <c r="Y152" s="54">
        <f>-State!$B$3*F152</f>
        <v/>
      </c>
      <c r="Z152" s="54">
        <f>State!$B$4*G152</f>
        <v/>
      </c>
      <c r="AA152" s="54">
        <f>State!$B$5*(1-State!$B$6/100)*I152</f>
        <v/>
      </c>
      <c r="AB152" s="54">
        <f>State!$B$7*K152</f>
        <v/>
      </c>
      <c r="AE152" s="54">
        <f>State!$B$8*(1-Answers!$C$16/100)*S152</f>
        <v/>
      </c>
      <c r="AF152" s="54">
        <f>State!$B$9*(1-Answers!$C$17/100)*T152</f>
        <v/>
      </c>
      <c r="AG152" s="54">
        <f>State!$B$10*(1-Answers!$C$18/100)*U152</f>
        <v/>
      </c>
      <c r="AH152" s="54">
        <f>State!$B$11*(1-Answers!$C$19/100)*V152</f>
        <v/>
      </c>
      <c r="AI152" s="54">
        <f>State!$B$12*(1-Answers!$C$20/100)*W152</f>
        <v/>
      </c>
      <c r="AJ152" s="54">
        <f>X152</f>
        <v/>
      </c>
      <c r="AK152" s="54">
        <f>X152+Y152</f>
        <v/>
      </c>
      <c r="AL152" s="54">
        <f>AK152+Z152</f>
        <v/>
      </c>
      <c r="AM152" s="54">
        <f>AL152+AA152</f>
        <v/>
      </c>
      <c r="AN152" s="54">
        <f>AM152+AB152</f>
        <v/>
      </c>
      <c r="AO152" s="54">
        <f>AL152+AE152+AF152+AG152+AH152+AI152+AB152</f>
        <v/>
      </c>
      <c r="AP152" s="54">
        <f>IF(State!$B$46=1,AO152,AN152)</f>
        <v/>
      </c>
      <c r="AQ152" s="54" t="n">
        <v>609.4</v>
      </c>
      <c r="AR152" s="54" t="n">
        <v>-979.3</v>
      </c>
      <c r="AS152" s="54" t="n">
        <v>0</v>
      </c>
      <c r="AT152" s="54" t="n">
        <v>342.3</v>
      </c>
      <c r="AU152" s="54" t="n">
        <v>684.1</v>
      </c>
      <c r="AX152" s="54" t="n">
        <v>15.4</v>
      </c>
      <c r="AY152" s="54" t="n">
        <v>26.3</v>
      </c>
      <c r="AZ152" s="54" t="n">
        <v>23.1</v>
      </c>
      <c r="BA152" s="54" t="n">
        <v>7.8</v>
      </c>
      <c r="BB152" s="54" t="n">
        <v>269.6</v>
      </c>
      <c r="BC152" s="54">
        <f>AQ152+AR152+AS152+AT152+AU152</f>
        <v/>
      </c>
      <c r="BD152" s="54">
        <f>AQ152</f>
        <v/>
      </c>
      <c r="BE152" s="54">
        <f>AQ152+AR152</f>
        <v/>
      </c>
      <c r="BF152" s="54">
        <f>BE152+AS152</f>
        <v/>
      </c>
      <c r="BG152" s="54">
        <f>BF152+AT152</f>
        <v/>
      </c>
      <c r="BH152" s="54">
        <f>BG152+AU152</f>
        <v/>
      </c>
      <c r="BI152" s="54">
        <f>BC152</f>
        <v/>
      </c>
      <c r="BJ152" s="54">
        <f>IF(State!$B$14=1,CHOOSE(State!$B$43+1,D152,BD152,BE152,BF152,BG152,BH152,BI152),BK152)</f>
        <v/>
      </c>
      <c r="BK152" s="54">
        <f>CHOOSE(State!$B$43+1,D152,AJ152,AK152,AL152,AM152,AN152,AO152)</f>
        <v/>
      </c>
      <c r="BL152" s="54">
        <f>IF(State!$B$44=1,H152,0)</f>
        <v/>
      </c>
      <c r="BQ152" s="54">
        <f>D152-AP152</f>
        <v/>
      </c>
      <c r="BR152" s="54">
        <f>BQ152^2</f>
        <v/>
      </c>
      <c r="BS152" s="54">
        <f>(BQ152-BQ151)^2</f>
        <v/>
      </c>
      <c r="BT152" s="54">
        <f>IF(D152&gt;2000,ABS(BQ152)/D152,"")</f>
        <v/>
      </c>
      <c r="BU152" s="54" t="n">
        <v>210</v>
      </c>
      <c r="BV152" s="74" t="n">
        <v>0.5615</v>
      </c>
      <c r="BW152" s="54" t="n">
        <v>1022.6</v>
      </c>
    </row>
    <row r="153">
      <c r="A153" s="73" t="n">
        <v>45963</v>
      </c>
      <c r="B153" s="53">
        <f>YEAR(A153)</f>
        <v/>
      </c>
      <c r="C153" s="53">
        <f>MONTH(A153)</f>
        <v/>
      </c>
      <c r="D153" s="54" t="n">
        <v>958</v>
      </c>
      <c r="E153" s="55" t="n">
        <v>0.5062</v>
      </c>
      <c r="F153" s="55" t="n">
        <v>1.0282</v>
      </c>
      <c r="G153" s="55" t="n">
        <v>0</v>
      </c>
      <c r="H153" s="54" t="n">
        <v>78.48999999999999</v>
      </c>
      <c r="I153" s="54">
        <f>H153+State!$B$6/100*I152</f>
        <v/>
      </c>
      <c r="J153" s="54" t="n">
        <v>73.14</v>
      </c>
      <c r="K153" s="54" t="n">
        <v>215.72</v>
      </c>
      <c r="N153" s="54" t="n">
        <v>40.5</v>
      </c>
      <c r="O153" s="54" t="n">
        <v>0</v>
      </c>
      <c r="P153" s="54" t="n">
        <v>0</v>
      </c>
      <c r="Q153" s="54" t="n">
        <v>0</v>
      </c>
      <c r="R153" s="54" t="n">
        <v>37.04</v>
      </c>
      <c r="S153" s="54">
        <f>N153+Answers!$C$16/100*S152</f>
        <v/>
      </c>
      <c r="T153" s="54">
        <f>O153+Answers!$C$17/100*T152</f>
        <v/>
      </c>
      <c r="U153" s="54">
        <f>P153+Answers!$C$18/100*U152</f>
        <v/>
      </c>
      <c r="V153" s="54">
        <f>Q153+Answers!$C$19/100*V152</f>
        <v/>
      </c>
      <c r="W153" s="54">
        <f>R153+Answers!$C$20/100*W152</f>
        <v/>
      </c>
      <c r="X153" s="54">
        <f>State!$B$2*E153</f>
        <v/>
      </c>
      <c r="Y153" s="54">
        <f>-State!$B$3*F153</f>
        <v/>
      </c>
      <c r="Z153" s="54">
        <f>State!$B$4*G153</f>
        <v/>
      </c>
      <c r="AA153" s="54">
        <f>State!$B$5*(1-State!$B$6/100)*I153</f>
        <v/>
      </c>
      <c r="AB153" s="54">
        <f>State!$B$7*K153</f>
        <v/>
      </c>
      <c r="AE153" s="54">
        <f>State!$B$8*(1-Answers!$C$16/100)*S153</f>
        <v/>
      </c>
      <c r="AF153" s="54">
        <f>State!$B$9*(1-Answers!$C$17/100)*T153</f>
        <v/>
      </c>
      <c r="AG153" s="54">
        <f>State!$B$10*(1-Answers!$C$18/100)*U153</f>
        <v/>
      </c>
      <c r="AH153" s="54">
        <f>State!$B$11*(1-Answers!$C$19/100)*V153</f>
        <v/>
      </c>
      <c r="AI153" s="54">
        <f>State!$B$12*(1-Answers!$C$20/100)*W153</f>
        <v/>
      </c>
      <c r="AJ153" s="54">
        <f>X153</f>
        <v/>
      </c>
      <c r="AK153" s="54">
        <f>X153+Y153</f>
        <v/>
      </c>
      <c r="AL153" s="54">
        <f>AK153+Z153</f>
        <v/>
      </c>
      <c r="AM153" s="54">
        <f>AL153+AA153</f>
        <v/>
      </c>
      <c r="AN153" s="54">
        <f>AM153+AB153</f>
        <v/>
      </c>
      <c r="AO153" s="54">
        <f>AL153+AE153+AF153+AG153+AH153+AI153+AB153</f>
        <v/>
      </c>
      <c r="AP153" s="54">
        <f>IF(State!$B$46=1,AO153,AN153)</f>
        <v/>
      </c>
      <c r="AQ153" s="54" t="n">
        <v>443.3</v>
      </c>
      <c r="AR153" s="54" t="n">
        <v>-979.3</v>
      </c>
      <c r="AS153" s="54" t="n">
        <v>0</v>
      </c>
      <c r="AT153" s="54" t="n">
        <v>310.1</v>
      </c>
      <c r="AU153" s="54" t="n">
        <v>520.8</v>
      </c>
      <c r="AX153" s="54" t="n">
        <v>13.1</v>
      </c>
      <c r="AY153" s="54" t="n">
        <v>22.4</v>
      </c>
      <c r="AZ153" s="54" t="n">
        <v>19.7</v>
      </c>
      <c r="BA153" s="54" t="n">
        <v>6.6</v>
      </c>
      <c r="BB153" s="54" t="n">
        <v>248.3</v>
      </c>
      <c r="BC153" s="54">
        <f>AQ153+AR153+AS153+AT153+AU153</f>
        <v/>
      </c>
      <c r="BD153" s="54">
        <f>AQ153</f>
        <v/>
      </c>
      <c r="BE153" s="54">
        <f>AQ153+AR153</f>
        <v/>
      </c>
      <c r="BF153" s="54">
        <f>BE153+AS153</f>
        <v/>
      </c>
      <c r="BG153" s="54">
        <f>BF153+AT153</f>
        <v/>
      </c>
      <c r="BH153" s="54">
        <f>BG153+AU153</f>
        <v/>
      </c>
      <c r="BI153" s="54">
        <f>BC153</f>
        <v/>
      </c>
      <c r="BJ153" s="54">
        <f>IF(State!$B$14=1,CHOOSE(State!$B$43+1,D153,BD153,BE153,BF153,BG153,BH153,BI153),BK153)</f>
        <v/>
      </c>
      <c r="BK153" s="54">
        <f>CHOOSE(State!$B$43+1,D153,AJ153,AK153,AL153,AM153,AN153,AO153)</f>
        <v/>
      </c>
      <c r="BL153" s="54">
        <f>IF(State!$B$44=1,H153,0)</f>
        <v/>
      </c>
      <c r="BQ153" s="54">
        <f>D153-AP153</f>
        <v/>
      </c>
      <c r="BR153" s="54">
        <f>BQ153^2</f>
        <v/>
      </c>
      <c r="BS153" s="54">
        <f>(BQ153-BQ152)^2</f>
        <v/>
      </c>
      <c r="BT153" s="54">
        <f>IF(D153&gt;2000,ABS(BQ153)/D153,"")</f>
        <v/>
      </c>
      <c r="BU153" s="54" t="n">
        <v>184</v>
      </c>
      <c r="BV153" s="74" t="n">
        <v>0.5615</v>
      </c>
      <c r="BW153" s="54" t="n">
        <v>319.6</v>
      </c>
    </row>
  </sheetData>
  <mergeCells count="1">
    <mergeCell ref="A2:T2"/>
  </mergeCells>
  <pageMargins left="0.75" right="0.75" top="1" bottom="1" header="0.5" footer="0.5"/>
  <pageSetup orientation="landscape" paperSize="9"/>
  <headerFooter>
    <oddHeader>&amp;LCRUK CONFIDENTIAL, INTERNAL USE ONLY</oddHeader>
    <oddFooter>&amp;LThe Econometrics Game v3&amp;RAndrew Rajanathan, CRUK M&amp;&amp;D</oddFooter>
    <evenHeader/>
    <evenFooter/>
    <firstHeader/>
    <firstFooter/>
  </headerFooter>
</worksheet>
</file>

<file path=xl/worksheets/sheet7.xml><?xml version="1.0" encoding="utf-8"?>
<worksheet xmlns="http://schemas.openxmlformats.org/spreadsheetml/2006/main">
  <sheetPr codeName="Sheet7">
    <outlinePr summaryBelow="1" summaryRight="1"/>
    <pageSetUpPr/>
  </sheetPr>
  <dimension ref="A1:W23"/>
  <sheetViews>
    <sheetView workbookViewId="0">
      <selection activeCell="A1" sqref="A1"/>
    </sheetView>
  </sheetViews>
  <sheetFormatPr baseColWidth="8" defaultRowHeight="15"/>
  <sheetData>
    <row r="1">
      <c r="A1" s="57" t="inlineStr">
        <is>
          <t>step</t>
        </is>
      </c>
      <c r="B1" s="57" t="inlineStr">
        <is>
          <t>chapter</t>
        </is>
      </c>
      <c r="C1" s="57" t="inlineStr">
        <is>
          <t>chapter name</t>
        </is>
      </c>
      <c r="D1" s="57" t="inlineStr">
        <is>
          <t>title</t>
        </is>
      </c>
      <c r="E1" s="57" t="inlineStr">
        <is>
          <t>sentence</t>
        </is>
      </c>
      <c r="F1" s="57" t="inlineStr">
        <is>
          <t>type</t>
        </is>
      </c>
      <c r="G1" s="57" t="inlineStr">
        <is>
          <t>dial id</t>
        </is>
      </c>
      <c r="H1" s="57" t="inlineStr">
        <is>
          <t>small step</t>
        </is>
      </c>
      <c r="I1" s="57" t="inlineStr">
        <is>
          <t>big step</t>
        </is>
      </c>
      <c r="J1" s="57" t="inlineStr">
        <is>
          <t>answer</t>
        </is>
      </c>
      <c r="K1" s="57" t="inlineStr">
        <is>
          <t>tolerance</t>
        </is>
      </c>
      <c r="L1" s="57" t="inlineStr">
        <is>
          <t>tick</t>
        </is>
      </c>
      <c r="M1" s="57" t="inlineStr">
        <is>
          <t>hint</t>
        </is>
      </c>
      <c r="N1" s="57" t="inlineStr">
        <is>
          <t>badge</t>
        </is>
      </c>
      <c r="O1" s="57" t="inlineStr">
        <is>
          <t>option A</t>
        </is>
      </c>
      <c r="P1" s="57" t="inlineStr">
        <is>
          <t>option B</t>
        </is>
      </c>
      <c r="Q1" s="57" t="inlineStr">
        <is>
          <t>option C</t>
        </is>
      </c>
      <c r="R1" s="57" t="inlineStr">
        <is>
          <t>correct</t>
        </is>
      </c>
      <c r="S1" s="57" t="inlineStr">
        <is>
          <t>quiz index</t>
        </is>
      </c>
      <c r="T1" s="57" t="inlineStr">
        <is>
          <t>model col</t>
        </is>
      </c>
      <c r="U1" s="57" t="inlineStr">
        <is>
          <t>show bars</t>
        </is>
      </c>
      <c r="V1" s="57" t="inlineStr">
        <is>
          <t>unit</t>
        </is>
      </c>
      <c r="W1" s="57" t="inlineStr">
        <is>
          <t>format</t>
        </is>
      </c>
    </row>
    <row r="2">
      <c r="A2" t="n">
        <v>1</v>
      </c>
      <c r="B2" t="n">
        <v>1</v>
      </c>
      <c r="C2" t="inlineStr">
        <is>
          <t>The receipts</t>
        </is>
      </c>
      <c r="D2" t="inlineStr">
        <is>
          <t>Three years of receipts</t>
        </is>
      </c>
      <c r="E2" t="inlineStr">
        <is>
          <t>Every week for nearly three years, this many people signed up for Race for Life. Look at the shape.</t>
        </is>
      </c>
      <c r="F2" t="inlineStr">
        <is>
          <t>info</t>
        </is>
      </c>
      <c r="G2" t="n">
        <v>0</v>
      </c>
      <c r="H2" t="n">
        <v>0</v>
      </c>
      <c r="I2" t="n">
        <v>0</v>
      </c>
      <c r="J2" t="n">
        <v>0</v>
      </c>
      <c r="K2" t="n">
        <v>0</v>
      </c>
      <c r="L2" t="inlineStr">
        <is>
          <t>The tall spikes come in spring. From August to December it goes quiet. Something causes every spike.</t>
        </is>
      </c>
      <c r="R2" t="n">
        <v>0</v>
      </c>
      <c r="S2" t="n">
        <v>0</v>
      </c>
      <c r="T2" t="n">
        <v>0</v>
      </c>
      <c r="U2" t="n">
        <v>0</v>
      </c>
    </row>
    <row r="3">
      <c r="A3" t="n">
        <v>2</v>
      </c>
      <c r="B3" t="n">
        <v>1</v>
      </c>
      <c r="C3" t="inlineStr">
        <is>
          <t>The receipts</t>
        </is>
      </c>
      <c r="D3" t="inlineStr">
        <is>
          <t>What made the tall spikes?</t>
        </is>
      </c>
      <c r="E3" t="inlineStr">
        <is>
          <t>Tap the answer you think is right.</t>
        </is>
      </c>
      <c r="F3" t="inlineStr">
        <is>
          <t>quiz</t>
        </is>
      </c>
      <c r="G3" t="n">
        <v>0</v>
      </c>
      <c r="H3" t="n">
        <v>0</v>
      </c>
      <c r="I3" t="n">
        <v>0</v>
      </c>
      <c r="J3" t="n">
        <v>0</v>
      </c>
      <c r="K3" t="n">
        <v>0</v>
      </c>
      <c r="L3" t="inlineStr">
        <is>
          <t>Yes. Every spike is a discount week. AP tested weather and bank holidays and found nothing.</t>
        </is>
      </c>
      <c r="M3" t="inlineStr">
        <is>
          <t>Look at the spikes. They come in the same weeks each year, whatever the weather.</t>
        </is>
      </c>
      <c r="N3" t="inlineStr">
        <is>
          <t>Driver</t>
        </is>
      </c>
      <c r="O3" t="inlineStr">
        <is>
          <t>Sale weeks</t>
        </is>
      </c>
      <c r="P3" t="inlineStr">
        <is>
          <t>Warm weather</t>
        </is>
      </c>
      <c r="Q3" t="inlineStr">
        <is>
          <t>Bank holidays</t>
        </is>
      </c>
      <c r="R3" t="n">
        <v>1</v>
      </c>
      <c r="S3" t="n">
        <v>1</v>
      </c>
      <c r="T3" t="n">
        <v>0</v>
      </c>
      <c r="U3" t="n">
        <v>0</v>
      </c>
    </row>
    <row r="4">
      <c r="A4" t="n">
        <v>3</v>
      </c>
      <c r="B4" t="n">
        <v>1</v>
      </c>
      <c r="C4" t="inlineStr">
        <is>
          <t>The receipts</t>
        </is>
      </c>
      <c r="D4" t="inlineStr">
        <is>
          <t>You are the detective</t>
        </is>
      </c>
      <c r="E4" t="inlineStr">
        <is>
          <t>A detective with three years of receipts works out what caused each sign-up. That is all econometrics is. You are about to do it, one block at a time.</t>
        </is>
      </c>
      <c r="F4" t="inlineStr">
        <is>
          <t>info</t>
        </is>
      </c>
      <c r="G4" t="n">
        <v>0</v>
      </c>
      <c r="H4" t="n">
        <v>0</v>
      </c>
      <c r="I4" t="n">
        <v>0</v>
      </c>
      <c r="J4" t="n">
        <v>0</v>
      </c>
      <c r="K4" t="n">
        <v>0</v>
      </c>
      <c r="L4" t="inlineStr">
        <is>
          <t>Analytic Partners did this for us in 2026 and called it Wave 1. Every number in this game is theirs.</t>
        </is>
      </c>
      <c r="N4" t="inlineStr">
        <is>
          <t>Econometrics</t>
        </is>
      </c>
      <c r="R4" t="n">
        <v>0</v>
      </c>
      <c r="S4" t="n">
        <v>0</v>
      </c>
      <c r="T4" t="n">
        <v>0</v>
      </c>
      <c r="U4" t="n">
        <v>0</v>
      </c>
    </row>
    <row r="5">
      <c r="A5" t="n">
        <v>4</v>
      </c>
      <c r="B5" t="n">
        <v>2</v>
      </c>
      <c r="C5" t="inlineStr">
        <is>
          <t>The shop</t>
        </is>
      </c>
      <c r="D5" t="inlineStr">
        <is>
          <t>Start with the quiet weeks</t>
        </is>
      </c>
      <c r="E5" t="inlineStr">
        <is>
          <t>In autumn almost nobody signs up. Almost. Tap + until your blue line sits on the quiet weeks.</t>
        </is>
      </c>
      <c r="F5" t="inlineStr">
        <is>
          <t>dial</t>
        </is>
      </c>
      <c r="G5" t="n">
        <v>1</v>
      </c>
      <c r="H5" t="n">
        <v>100</v>
      </c>
      <c r="I5" t="n">
        <v>500</v>
      </c>
      <c r="J5">
        <f>Answers!C3</f>
        <v/>
      </c>
      <c r="K5">
        <f>Answers!C11</f>
        <v/>
      </c>
      <c r="L5" t="inlineStr">
        <is>
          <t>About 900 a week sign up whatever we do. People who already know us, and the ones we email.</t>
        </is>
      </c>
      <c r="M5" t="inlineStr">
        <is>
          <t>Look at August to December. Hundreds, not thousands.</t>
        </is>
      </c>
      <c r="N5" t="inlineStr">
        <is>
          <t>Baseline</t>
        </is>
      </c>
      <c r="R5" t="n">
        <v>0</v>
      </c>
      <c r="S5" t="n">
        <v>0</v>
      </c>
      <c r="T5" t="n">
        <v>1</v>
      </c>
      <c r="U5" t="n">
        <v>0</v>
      </c>
      <c r="V5" t="inlineStr">
        <is>
          <t>sign-ups a week</t>
        </is>
      </c>
      <c r="W5" t="inlineStr">
        <is>
          <t>#,##0</t>
        </is>
      </c>
    </row>
    <row r="6">
      <c r="A6" t="n">
        <v>5</v>
      </c>
      <c r="B6" t="n">
        <v>2</v>
      </c>
      <c r="C6" t="inlineStr">
        <is>
          <t>The shop</t>
        </is>
      </c>
      <c r="D6" t="inlineStr">
        <is>
          <t>If every advert and every sale stopped, how many would sign up a week?</t>
        </is>
      </c>
      <c r="E6" t="inlineStr">
        <is>
          <t>Tap one.</t>
        </is>
      </c>
      <c r="F6" t="inlineStr">
        <is>
          <t>quiz</t>
        </is>
      </c>
      <c r="G6" t="n">
        <v>0</v>
      </c>
      <c r="H6" t="n">
        <v>0</v>
      </c>
      <c r="I6" t="n">
        <v>0</v>
      </c>
      <c r="J6" t="n">
        <v>0</v>
      </c>
      <c r="K6" t="n">
        <v>0</v>
      </c>
      <c r="L6" t="inlineStr">
        <is>
          <t>Right. The base is small. Almost every other sign-up was caused by something we did.</t>
        </is>
      </c>
      <c r="M6" t="inlineStr">
        <is>
          <t>Look at where your blue line sat in the last step.</t>
        </is>
      </c>
      <c r="N6" t="inlineStr">
        <is>
          <t>Baseline</t>
        </is>
      </c>
      <c r="O6" t="inlineStr">
        <is>
          <t>About 900</t>
        </is>
      </c>
      <c r="P6" t="inlineStr">
        <is>
          <t>About 9,000</t>
        </is>
      </c>
      <c r="Q6" t="inlineStr">
        <is>
          <t>Nobody at all</t>
        </is>
      </c>
      <c r="R6" t="n">
        <v>1</v>
      </c>
      <c r="S6" t="n">
        <v>2</v>
      </c>
      <c r="T6" t="n">
        <v>1</v>
      </c>
      <c r="U6" t="n">
        <v>0</v>
      </c>
    </row>
    <row r="7">
      <c r="A7" t="n">
        <v>6</v>
      </c>
      <c r="B7" t="n">
        <v>2</v>
      </c>
      <c r="C7" t="inlineStr">
        <is>
          <t>The shop</t>
        </is>
      </c>
      <c r="D7" t="inlineStr">
        <is>
          <t>Now the brake</t>
        </is>
      </c>
      <c r="E7" t="inlineStr">
        <is>
          <t>A dearer ticket and a shut window push people away. Tap + until the brake feels right. Your line dips below zero in autumn. That is fine for now.</t>
        </is>
      </c>
      <c r="F7" t="inlineStr">
        <is>
          <t>dial</t>
        </is>
      </c>
      <c r="G7" t="n">
        <v>2</v>
      </c>
      <c r="H7" t="n">
        <v>100</v>
      </c>
      <c r="I7" t="n">
        <v>500</v>
      </c>
      <c r="J7">
        <f>Answers!C4</f>
        <v/>
      </c>
      <c r="K7">
        <f>Answers!C11</f>
        <v/>
      </c>
      <c r="L7" t="inlineStr">
        <is>
          <t>About 950 a week are lost to price and the shut window. Blocks can pull down as well as push up.</t>
        </is>
      </c>
      <c r="M7" t="inlineStr">
        <is>
          <t>About the same size as the base, pulling the other way.</t>
        </is>
      </c>
      <c r="N7" t="inlineStr">
        <is>
          <t>Negative driver</t>
        </is>
      </c>
      <c r="R7" t="n">
        <v>0</v>
      </c>
      <c r="S7" t="n">
        <v>0</v>
      </c>
      <c r="T7" t="n">
        <v>2</v>
      </c>
      <c r="U7" t="n">
        <v>0</v>
      </c>
      <c r="V7" t="inlineStr">
        <is>
          <t>sign-ups lost a week</t>
        </is>
      </c>
      <c r="W7" t="inlineStr">
        <is>
          <t>#,##0</t>
        </is>
      </c>
    </row>
    <row r="8">
      <c r="A8" t="n">
        <v>7</v>
      </c>
      <c r="B8" t="n">
        <v>3</v>
      </c>
      <c r="C8" t="inlineStr">
        <is>
          <t>The sale</t>
        </is>
      </c>
      <c r="D8" t="inlineStr">
        <is>
          <t>Every spike is a sale</t>
        </is>
      </c>
      <c r="E8" t="inlineStr">
        <is>
          <t>Tap + until the spikes on your blue line reach the pink ones.</t>
        </is>
      </c>
      <c r="F8" t="inlineStr">
        <is>
          <t>dial</t>
        </is>
      </c>
      <c r="G8" t="n">
        <v>3</v>
      </c>
      <c r="H8" t="n">
        <v>500</v>
      </c>
      <c r="I8" t="n">
        <v>2000</v>
      </c>
      <c r="J8">
        <f>Answers!C5</f>
        <v/>
      </c>
      <c r="K8">
        <f>Answers!C11</f>
        <v/>
      </c>
      <c r="L8" t="inlineStr">
        <is>
          <t>A sale week adds about 7,600 sign-ups. Sales explained a fifth of 2025 sign-ups.</t>
        </is>
      </c>
      <c r="M8" t="inlineStr">
        <is>
          <t>How tall is a spike above the weeks around it? Thousands.</t>
        </is>
      </c>
      <c r="N8" t="inlineStr">
        <is>
          <t>Discount driver</t>
        </is>
      </c>
      <c r="R8" t="n">
        <v>0</v>
      </c>
      <c r="S8" t="n">
        <v>0</v>
      </c>
      <c r="T8" t="n">
        <v>3</v>
      </c>
      <c r="U8" t="n">
        <v>0</v>
      </c>
      <c r="V8" t="inlineStr">
        <is>
          <t>extra sign-ups in a sale week</t>
        </is>
      </c>
      <c r="W8" t="inlineStr">
        <is>
          <t>#,##0</t>
        </is>
      </c>
    </row>
    <row r="9">
      <c r="A9" t="n">
        <v>8</v>
      </c>
      <c r="B9" t="n">
        <v>3</v>
      </c>
      <c r="C9" t="inlineStr">
        <is>
          <t>The sale</t>
        </is>
      </c>
      <c r="D9" t="inlineStr">
        <is>
          <t>Look at the week after a sale. What happens?</t>
        </is>
      </c>
      <c r="E9" t="inlineStr">
        <is>
          <t>Find a spike on the pink line and look one week to the right.</t>
        </is>
      </c>
      <c r="F9" t="inlineStr">
        <is>
          <t>quiz</t>
        </is>
      </c>
      <c r="G9" t="n">
        <v>0</v>
      </c>
      <c r="H9" t="n">
        <v>0</v>
      </c>
      <c r="I9" t="n">
        <v>0</v>
      </c>
      <c r="J9" t="n">
        <v>0</v>
      </c>
      <c r="K9" t="n">
        <v>0</v>
      </c>
      <c r="L9" t="inlineStr">
        <is>
          <t>Yes. Some people signed up early to get the deal. The model counts the dip so the sale is not over-credited.</t>
        </is>
      </c>
      <c r="M9" t="inlineStr">
        <is>
          <t>The week after a sale is lower than you would expect.</t>
        </is>
      </c>
      <c r="N9" t="inlineStr">
        <is>
          <t>Pull-forward</t>
        </is>
      </c>
      <c r="O9" t="inlineStr">
        <is>
          <t>A dip: some people signed up early</t>
        </is>
      </c>
      <c r="P9" t="inlineStr">
        <is>
          <t>An even bigger spike</t>
        </is>
      </c>
      <c r="Q9" t="inlineStr">
        <is>
          <t>Nothing changes</t>
        </is>
      </c>
      <c r="R9" t="n">
        <v>1</v>
      </c>
      <c r="S9" t="n">
        <v>3</v>
      </c>
      <c r="T9" t="n">
        <v>3</v>
      </c>
      <c r="U9" t="n">
        <v>0</v>
      </c>
    </row>
    <row r="10">
      <c r="A10" t="n">
        <v>9</v>
      </c>
      <c r="B10" t="n">
        <v>3</v>
      </c>
      <c r="C10" t="inlineStr">
        <is>
          <t>The sale</t>
        </is>
      </c>
      <c r="D10" t="inlineStr">
        <is>
          <t>Half the story</t>
        </is>
      </c>
      <c r="E10">
        <f>"Your model now explains "&amp;TEXT(MAX(0,1-SUMXMY2('Under the bonnet'!$D$6:$D$153,'Under the bonnet'!$AL$6:$AL$153)/DEVSQ('Under the bonnet'!$D$6:$D$153)),"0%")&amp;" of the weekly pattern. Sales and the shop are half the story. Adverts are the other half."</f>
        <v/>
      </c>
      <c r="F10" t="inlineStr">
        <is>
          <t>info</t>
        </is>
      </c>
      <c r="G10" t="n">
        <v>0</v>
      </c>
      <c r="H10" t="n">
        <v>0</v>
      </c>
      <c r="I10" t="n">
        <v>0</v>
      </c>
      <c r="J10" t="n">
        <v>0</v>
      </c>
      <c r="K10" t="n">
        <v>0</v>
      </c>
      <c r="L10" t="inlineStr">
        <is>
          <t>A model with no adverts in it cannot say what adverts did. That is the next chapter.</t>
        </is>
      </c>
      <c r="N10" t="inlineStr">
        <is>
          <t>Pattern explained</t>
        </is>
      </c>
      <c r="R10" t="n">
        <v>0</v>
      </c>
      <c r="S10" t="n">
        <v>0</v>
      </c>
      <c r="T10" t="n">
        <v>3</v>
      </c>
      <c r="U10" t="n">
        <v>0</v>
      </c>
    </row>
    <row r="11">
      <c r="A11" t="n">
        <v>10</v>
      </c>
      <c r="B11" t="n">
        <v>4</v>
      </c>
      <c r="C11" t="inlineStr">
        <is>
          <t>The kettle</t>
        </is>
      </c>
      <c r="D11" t="inlineStr">
        <is>
          <t>Now the adverts</t>
        </is>
      </c>
      <c r="E11" t="inlineStr">
        <is>
          <t>The grey bars are what we spent on Race for Life adverts each week. Tap + to set how many sign-ups each £1,000 brings.</t>
        </is>
      </c>
      <c r="F11" t="inlineStr">
        <is>
          <t>dial</t>
        </is>
      </c>
      <c r="G11" t="n">
        <v>4</v>
      </c>
      <c r="H11" t="n">
        <v>1</v>
      </c>
      <c r="I11" t="n">
        <v>5</v>
      </c>
      <c r="J11">
        <f>Answers!C6</f>
        <v/>
      </c>
      <c r="K11">
        <f>Answers!C11</f>
        <v/>
      </c>
      <c r="L11">
        <f>"About 16 sign-ups per £1,000. That is £"&amp;TEXT(State!$B$5*State!$B$48/1000,"0.00")&amp;" of sponsorship for every £1 spent."</f>
        <v/>
      </c>
      <c r="M11" t="inlineStr">
        <is>
          <t>Somewhere between 5 and 30.</t>
        </is>
      </c>
      <c r="N11" t="inlineStr">
        <is>
          <t>Response</t>
        </is>
      </c>
      <c r="R11" t="n">
        <v>0</v>
      </c>
      <c r="S11" t="n">
        <v>0</v>
      </c>
      <c r="T11" t="n">
        <v>4</v>
      </c>
      <c r="U11" t="n">
        <v>1</v>
      </c>
      <c r="V11" t="inlineStr">
        <is>
          <t>sign-ups per £1,000</t>
        </is>
      </c>
      <c r="W11" t="inlineStr">
        <is>
          <t>#,##0.0</t>
        </is>
      </c>
    </row>
    <row r="12">
      <c r="A12" t="n">
        <v>11</v>
      </c>
      <c r="B12" t="n">
        <v>4</v>
      </c>
      <c r="C12" t="inlineStr">
        <is>
          <t>The kettle</t>
        </is>
      </c>
      <c r="D12" t="inlineStr">
        <is>
          <t>The kettle</t>
        </is>
      </c>
      <c r="E12" t="inlineStr">
        <is>
          <t>Adverts keep working after they stop, like a kettle stays hot. Tap + on the memory until your line matches the shape of the pink one.</t>
        </is>
      </c>
      <c r="F12" t="inlineStr">
        <is>
          <t>dial</t>
        </is>
      </c>
      <c r="G12" t="n">
        <v>5</v>
      </c>
      <c r="H12" t="n">
        <v>10</v>
      </c>
      <c r="I12" t="n">
        <v>10</v>
      </c>
      <c r="J12">
        <f>Answers!C7</f>
        <v/>
      </c>
      <c r="K12">
        <f>Answers!C12</f>
        <v/>
      </c>
      <c r="L12" t="inlineStr">
        <is>
          <t>Memory of 80%: the effect fades slowly over months. Judge a campaign in week one and you miss most of it.</t>
        </is>
      </c>
      <c r="M12" t="inlineStr">
        <is>
          <t>Try a high number. Adverts fade over months, not days.</t>
        </is>
      </c>
      <c r="N12" t="inlineStr">
        <is>
          <t>Adstock</t>
        </is>
      </c>
      <c r="R12" t="n">
        <v>0</v>
      </c>
      <c r="S12" t="n">
        <v>0</v>
      </c>
      <c r="T12" t="n">
        <v>4</v>
      </c>
      <c r="U12" t="n">
        <v>1</v>
      </c>
      <c r="V12" t="inlineStr">
        <is>
          <t>% of last week's effect still here</t>
        </is>
      </c>
      <c r="W12" t="inlineStr">
        <is>
          <t>0"%"</t>
        </is>
      </c>
    </row>
    <row r="13">
      <c r="A13" t="n">
        <v>12</v>
      </c>
      <c r="B13" t="n">
        <v>4</v>
      </c>
      <c r="C13" t="inlineStr">
        <is>
          <t>The kettle</t>
        </is>
      </c>
      <c r="D13" t="inlineStr">
        <is>
          <t>Every £1 of Race for Life adverts brought back how much sponsorship in 2025?</t>
        </is>
      </c>
      <c r="E13" t="inlineStr">
        <is>
          <t>Tap one.</t>
        </is>
      </c>
      <c r="F13" t="inlineStr">
        <is>
          <t>quiz</t>
        </is>
      </c>
      <c r="G13" t="n">
        <v>0</v>
      </c>
      <c r="H13" t="n">
        <v>0</v>
      </c>
      <c r="I13" t="n">
        <v>0</v>
      </c>
      <c r="J13" t="n">
        <v>0</v>
      </c>
      <c r="K13" t="n">
        <v>0</v>
      </c>
      <c r="L13" t="inlineStr">
        <is>
          <t>Yes. £1.66 on average. Remember the word average. It matters in chapter 8.</t>
        </is>
      </c>
      <c r="M13" t="inlineStr">
        <is>
          <t>Look at the £ figure from two steps ago.</t>
        </is>
      </c>
      <c r="N13" t="inlineStr">
        <is>
          <t>ROI, return per £1</t>
        </is>
      </c>
      <c r="O13" t="inlineStr">
        <is>
          <t>£1.66</t>
        </is>
      </c>
      <c r="P13" t="inlineStr">
        <is>
          <t>16p</t>
        </is>
      </c>
      <c r="Q13" t="inlineStr">
        <is>
          <t>£16</t>
        </is>
      </c>
      <c r="R13" t="n">
        <v>1</v>
      </c>
      <c r="S13" t="n">
        <v>4</v>
      </c>
      <c r="T13" t="n">
        <v>4</v>
      </c>
      <c r="U13" t="n">
        <v>1</v>
      </c>
    </row>
    <row r="14">
      <c r="A14" t="n">
        <v>13</v>
      </c>
      <c r="B14" t="n">
        <v>5</v>
      </c>
      <c r="C14" t="inlineStr">
        <is>
          <t>The next field</t>
        </is>
      </c>
      <c r="D14" t="inlineStr">
        <is>
          <t>Rain on the next field</t>
        </is>
      </c>
      <c r="E14" t="inlineStr">
        <is>
          <t>Committed Giving, Legacy and Brand adverts never mention Race for Life. Yet sign-ups rose when they ran. Tap + to add their effect.</t>
        </is>
      </c>
      <c r="F14" t="inlineStr">
        <is>
          <t>dial</t>
        </is>
      </c>
      <c r="G14" t="n">
        <v>6</v>
      </c>
      <c r="H14" t="n">
        <v>0.5</v>
      </c>
      <c r="I14" t="n">
        <v>2</v>
      </c>
      <c r="J14">
        <f>Answers!C8</f>
        <v/>
      </c>
      <c r="K14">
        <f>Answers!C11</f>
        <v/>
      </c>
      <c r="L14" t="inlineStr">
        <is>
          <t>About 3 per £1,000. Small per pound, but the spend is large. It adds up to 15% of sign-ups.</t>
        </is>
      </c>
      <c r="M14" t="inlineStr">
        <is>
          <t>Small. Under 10.</t>
        </is>
      </c>
      <c r="N14" t="inlineStr">
        <is>
          <t>Halo</t>
        </is>
      </c>
      <c r="R14" t="n">
        <v>0</v>
      </c>
      <c r="S14" t="n">
        <v>0</v>
      </c>
      <c r="T14" t="n">
        <v>5</v>
      </c>
      <c r="U14" t="n">
        <v>0</v>
      </c>
      <c r="V14" t="inlineStr">
        <is>
          <t>sign-ups per £1,000 of other adverts</t>
        </is>
      </c>
      <c r="W14" t="inlineStr">
        <is>
          <t>0.0</t>
        </is>
      </c>
    </row>
    <row r="15">
      <c r="A15" t="n">
        <v>14</v>
      </c>
      <c r="B15" t="n">
        <v>5</v>
      </c>
      <c r="C15" t="inlineStr">
        <is>
          <t>The next field</t>
        </is>
      </c>
      <c r="D15" t="inlineStr">
        <is>
          <t>What the 2025 cut cost</t>
        </is>
      </c>
      <c r="E15">
        <f>"In 2025 we spent 42% less on Committed Giving adverts. Your model says Race for Life lost "&amp;TEXT(State!$B$7*(SUMIFS('Under the bonnet'!$J$6:$J$153,'Under the bonnet'!$B$6:$B$153,2024,'Under the bonnet'!$C$6:$C$153,"&lt;=10")-SUMIFS('Under the bonnet'!$J$6:$J$153,'Under the bonnet'!$B$6:$B$153,2025,'Under the bonnet'!$C$6:$C$153,"&lt;=10")),"#,##0")&amp;" sign-ups because of it. Wave 1 said 9,139."</f>
        <v/>
      </c>
      <c r="F15" t="inlineStr">
        <is>
          <t>info</t>
        </is>
      </c>
      <c r="G15" t="n">
        <v>0</v>
      </c>
      <c r="H15" t="n">
        <v>0</v>
      </c>
      <c r="I15" t="n">
        <v>0</v>
      </c>
      <c r="J15" t="n">
        <v>0</v>
      </c>
      <c r="K15" t="n">
        <v>0</v>
      </c>
      <c r="L15" t="inlineStr">
        <is>
          <t>Two budgets, one shared result. Yours is lower than Wave 1's because you gave every other cause the same strength per pound. AP found Committed Giving the strongest of the three.</t>
        </is>
      </c>
      <c r="N15" t="inlineStr">
        <is>
          <t>Halo</t>
        </is>
      </c>
      <c r="R15" t="n">
        <v>0</v>
      </c>
      <c r="S15" t="n">
        <v>0</v>
      </c>
      <c r="T15" t="n">
        <v>5</v>
      </c>
      <c r="U15" t="n">
        <v>0</v>
      </c>
    </row>
    <row r="16">
      <c r="A16" t="n">
        <v>15</v>
      </c>
      <c r="B16" t="n">
        <v>5</v>
      </c>
      <c r="C16" t="inlineStr">
        <is>
          <t>The next field</t>
        </is>
      </c>
      <c r="D16" t="inlineStr">
        <is>
          <t>Adverts for one cause helping another is called?</t>
        </is>
      </c>
      <c r="E16" t="inlineStr">
        <is>
          <t>Tap one.</t>
        </is>
      </c>
      <c r="F16" t="inlineStr">
        <is>
          <t>quiz</t>
        </is>
      </c>
      <c r="G16" t="n">
        <v>0</v>
      </c>
      <c r="H16" t="n">
        <v>0</v>
      </c>
      <c r="I16" t="n">
        <v>0</v>
      </c>
      <c r="J16" t="n">
        <v>0</v>
      </c>
      <c r="K16" t="n">
        <v>0</v>
      </c>
      <c r="L16" t="inlineStr">
        <is>
          <t>A halo. Committed Giving adverts were quietly filling Race for Life too.</t>
        </is>
      </c>
      <c r="M16" t="inlineStr">
        <is>
          <t>Think of rain on the next field.</t>
        </is>
      </c>
      <c r="N16" t="inlineStr">
        <is>
          <t>Halo</t>
        </is>
      </c>
      <c r="O16" t="inlineStr">
        <is>
          <t>A halo</t>
        </is>
      </c>
      <c r="P16" t="inlineStr">
        <is>
          <t>A discount</t>
        </is>
      </c>
      <c r="Q16" t="inlineStr">
        <is>
          <t>Seasonality</t>
        </is>
      </c>
      <c r="R16" t="n">
        <v>1</v>
      </c>
      <c r="S16" t="n">
        <v>5</v>
      </c>
      <c r="T16" t="n">
        <v>5</v>
      </c>
      <c r="U16" t="n">
        <v>0</v>
      </c>
    </row>
    <row r="17">
      <c r="A17" t="n">
        <v>16</v>
      </c>
      <c r="B17" t="n">
        <v>6</v>
      </c>
      <c r="C17" t="inlineStr">
        <is>
          <t>Who sang louder</t>
        </is>
      </c>
      <c r="D17" t="inlineStr">
        <is>
          <t>Split the adverts into five</t>
        </is>
      </c>
      <c r="E17" t="inlineStr">
        <is>
          <t>TV, video, radio, posters, digital. They mostly run in the same weeks. Tap − and + on each until all five ticks show.</t>
        </is>
      </c>
      <c r="F17" t="inlineStr">
        <is>
          <t>dials5</t>
        </is>
      </c>
      <c r="G17" t="n">
        <v>0</v>
      </c>
      <c r="H17" t="n">
        <v>1</v>
      </c>
      <c r="I17" t="n">
        <v>1</v>
      </c>
      <c r="J17" t="n">
        <v>0</v>
      </c>
      <c r="K17">
        <f>Answers!C13</f>
        <v/>
      </c>
      <c r="L17" t="inlineStr">
        <is>
          <t>All five about right. Notice how loose the checks were. That is the point.</t>
        </is>
      </c>
      <c r="M17" t="inlineStr">
        <is>
          <t>Your chapter 4 number is the guide for each. Posters are much weaker.</t>
        </is>
      </c>
      <c r="N17" t="inlineStr">
        <is>
          <t>Multicollinearity</t>
        </is>
      </c>
      <c r="R17" t="n">
        <v>0</v>
      </c>
      <c r="S17" t="n">
        <v>0</v>
      </c>
      <c r="T17" t="n">
        <v>6</v>
      </c>
      <c r="U17" t="n">
        <v>0</v>
      </c>
    </row>
    <row r="18">
      <c r="A18" t="n">
        <v>17</v>
      </c>
      <c r="B18" t="n">
        <v>6</v>
      </c>
      <c r="C18" t="inlineStr">
        <is>
          <t>Who sang louder</t>
        </is>
      </c>
      <c r="D18" t="inlineStr">
        <is>
          <t>The group is firm, the split is soft</t>
        </is>
      </c>
      <c r="E18">
        <f>"With one adverts block your pattern score was "&amp;TEXT(MAX(0,1-SUMXMY2('Under the bonnet'!$D$6:$D$153,'Under the bonnet'!$AN$6:$AN$153)/DEVSQ('Under the bonnet'!$D$6:$D$153)),"0%")&amp;". With five it is "&amp;TEXT(MAX(0,1-SUMXMY2('Under the bonnet'!$D$6:$D$153,'Under the bonnet'!$AO$6:$AO$153)/DEVSQ('Under the bonnet'!$D$6:$D$153)),"0%")&amp;". The split changes the story, not the fit."</f>
        <v/>
      </c>
      <c r="F18" t="inlineStr">
        <is>
          <t>info</t>
        </is>
      </c>
      <c r="G18" t="n">
        <v>0</v>
      </c>
      <c r="H18" t="n">
        <v>0</v>
      </c>
      <c r="I18" t="n">
        <v>0</v>
      </c>
      <c r="J18" t="n">
        <v>0</v>
      </c>
      <c r="K18" t="n">
        <v>0</v>
      </c>
      <c r="L18" t="inlineStr">
        <is>
          <t>Two people singing the same note: you hear the sound but cannot tell who is louder. Quote the range on any single channel.</t>
        </is>
      </c>
      <c r="N18" t="inlineStr">
        <is>
          <t>Multicollinearity</t>
        </is>
      </c>
      <c r="R18" t="n">
        <v>0</v>
      </c>
      <c r="S18" t="n">
        <v>0</v>
      </c>
      <c r="T18" t="n">
        <v>6</v>
      </c>
      <c r="U18" t="n">
        <v>0</v>
      </c>
    </row>
    <row r="19">
      <c r="A19" t="n">
        <v>18</v>
      </c>
      <c r="B19" t="n">
        <v>6</v>
      </c>
      <c r="C19" t="inlineStr">
        <is>
          <t>Who sang louder</t>
        </is>
      </c>
      <c r="D19" t="inlineStr">
        <is>
          <t>Which channel was AP least sure about?</t>
        </is>
      </c>
      <c r="E19" t="inlineStr">
        <is>
          <t>Tap one.</t>
        </is>
      </c>
      <c r="F19" t="inlineStr">
        <is>
          <t>quiz</t>
        </is>
      </c>
      <c r="G19" t="n">
        <v>0</v>
      </c>
      <c r="H19" t="n">
        <v>0</v>
      </c>
      <c r="I19" t="n">
        <v>0</v>
      </c>
      <c r="J19" t="n">
        <v>0</v>
      </c>
      <c r="K19" t="n">
        <v>0</v>
      </c>
      <c r="L19" t="inlineStr">
        <is>
          <t>Posters: about 60p back per £1, with a wide range either side.</t>
        </is>
      </c>
      <c r="M19" t="inlineStr">
        <is>
          <t>Which one needed the smallest number?</t>
        </is>
      </c>
      <c r="N19" t="inlineStr">
        <is>
          <t>Confidence interval</t>
        </is>
      </c>
      <c r="O19" t="inlineStr">
        <is>
          <t>Posters</t>
        </is>
      </c>
      <c r="P19" t="inlineStr">
        <is>
          <t>TV</t>
        </is>
      </c>
      <c r="Q19" t="inlineStr">
        <is>
          <t>Digital and social</t>
        </is>
      </c>
      <c r="R19" t="n">
        <v>1</v>
      </c>
      <c r="S19" t="n">
        <v>6</v>
      </c>
      <c r="T19" t="n">
        <v>6</v>
      </c>
      <c r="U19" t="n">
        <v>0</v>
      </c>
    </row>
    <row r="20">
      <c r="A20" t="n">
        <v>19</v>
      </c>
      <c r="B20" t="n">
        <v>7</v>
      </c>
      <c r="C20" t="inlineStr">
        <is>
          <t>Any good?</t>
        </is>
      </c>
      <c r="D20" t="inlineStr">
        <is>
          <t>Is your model any good?</t>
        </is>
      </c>
      <c r="E20" t="inlineStr">
        <is>
          <t>Four questions judge any model. Your scores sit beside Wave 1's.</t>
        </is>
      </c>
      <c r="F20" t="inlineStr">
        <is>
          <t>tests</t>
        </is>
      </c>
      <c r="G20" t="n">
        <v>0</v>
      </c>
      <c r="H20" t="n">
        <v>0</v>
      </c>
      <c r="I20" t="n">
        <v>0</v>
      </c>
      <c r="J20" t="n">
        <v>0</v>
      </c>
      <c r="K20" t="n">
        <v>0</v>
      </c>
      <c r="L20" t="inlineStr">
        <is>
          <t>Green all round. Your model explains the pattern, predicts weeks it never saw and leaves little unexplained.</t>
        </is>
      </c>
      <c r="M20" t="inlineStr">
        <is>
          <t>Amber? Go back a chapter and adjust that block.</t>
        </is>
      </c>
      <c r="N20" t="inlineStr">
        <is>
          <t>R squared, MAPE, holdout</t>
        </is>
      </c>
      <c r="R20" t="n">
        <v>0</v>
      </c>
      <c r="S20" t="n">
        <v>0</v>
      </c>
      <c r="T20" t="n">
        <v>6</v>
      </c>
      <c r="U20" t="n">
        <v>0</v>
      </c>
    </row>
    <row r="21">
      <c r="A21" t="n">
        <v>20</v>
      </c>
      <c r="B21" t="n">
        <v>7</v>
      </c>
      <c r="C21" t="inlineStr">
        <is>
          <t>Any good?</t>
        </is>
      </c>
      <c r="D21" t="inlineStr">
        <is>
          <t>A model copies the past perfectly but predicts 2025 badly. What went wrong?</t>
        </is>
      </c>
      <c r="E21" t="inlineStr">
        <is>
          <t>Tap one.</t>
        </is>
      </c>
      <c r="F21" t="inlineStr">
        <is>
          <t>quiz</t>
        </is>
      </c>
      <c r="G21" t="n">
        <v>0</v>
      </c>
      <c r="H21" t="n">
        <v>0</v>
      </c>
      <c r="I21" t="n">
        <v>0</v>
      </c>
      <c r="J21" t="n">
        <v>0</v>
      </c>
      <c r="K21" t="n">
        <v>0</v>
      </c>
      <c r="L21" t="inlineStr">
        <is>
          <t>Yes. That is why AP test every model on weeks it never saw.</t>
        </is>
      </c>
      <c r="M21" t="inlineStr">
        <is>
          <t>Think of a student who memorises last year's exam paper.</t>
        </is>
      </c>
      <c r="N21" t="inlineStr">
        <is>
          <t>Holdout test</t>
        </is>
      </c>
      <c r="O21" t="inlineStr">
        <is>
          <t>It learned the noise, not the pattern</t>
        </is>
      </c>
      <c r="P21" t="inlineStr">
        <is>
          <t>It needs more adverts</t>
        </is>
      </c>
      <c r="Q21" t="inlineStr">
        <is>
          <t>2025 was just unusual</t>
        </is>
      </c>
      <c r="R21" t="n">
        <v>1</v>
      </c>
      <c r="S21" t="n">
        <v>7</v>
      </c>
      <c r="T21" t="n">
        <v>6</v>
      </c>
      <c r="U21" t="n">
        <v>0</v>
      </c>
    </row>
    <row r="22">
      <c r="A22" t="n">
        <v>21</v>
      </c>
      <c r="B22" t="n">
        <v>7</v>
      </c>
      <c r="C22" t="inlineStr">
        <is>
          <t>Any good?</t>
        </is>
      </c>
      <c r="D22" t="inlineStr">
        <is>
          <t>You built the model</t>
        </is>
      </c>
      <c r="E22" t="inlineStr">
        <is>
          <t>Seven chapters, one model, every number Wave 1's. Next: where should the next pound go?</t>
        </is>
      </c>
      <c r="F22" t="inlineStr">
        <is>
          <t>info</t>
        </is>
      </c>
      <c r="G22" t="n">
        <v>0</v>
      </c>
      <c r="H22" t="n">
        <v>0</v>
      </c>
      <c r="I22" t="n">
        <v>0</v>
      </c>
      <c r="J22" t="n">
        <v>0</v>
      </c>
      <c r="K22" t="n">
        <v>0</v>
      </c>
      <c r="L22" t="inlineStr">
        <is>
          <t>Say it in the room: about half of Race for Life sign-ups come from Race for Life adverts, a fifth from sales and 15% from other causes' adverts.</t>
        </is>
      </c>
      <c r="N22" t="inlineStr">
        <is>
          <t>Decomposition</t>
        </is>
      </c>
      <c r="R22" t="n">
        <v>0</v>
      </c>
      <c r="S22" t="n">
        <v>0</v>
      </c>
      <c r="T22" t="n">
        <v>6</v>
      </c>
      <c r="U22" t="n">
        <v>0</v>
      </c>
    </row>
    <row r="23">
      <c r="A23" t="n">
        <v>22</v>
      </c>
      <c r="B23" t="n">
        <v>8</v>
      </c>
      <c r="C23" t="inlineStr">
        <is>
          <t>The next pound</t>
        </is>
      </c>
      <c r="D23" t="inlineStr">
        <is>
          <t>Where should the next pound go?</t>
        </is>
      </c>
      <c r="E23" t="inlineStr">
        <is>
          <t>Chapter 8 is the budget game, just below this screen. Scroll down if you cannot see it.</t>
        </is>
      </c>
      <c r="F23" t="inlineStr">
        <is>
          <t>info</t>
        </is>
      </c>
      <c r="G23" t="n">
        <v>0</v>
      </c>
      <c r="H23" t="n">
        <v>0</v>
      </c>
      <c r="I23" t="n">
        <v>0</v>
      </c>
      <c r="J23" t="n">
        <v>0</v>
      </c>
      <c r="K23" t="n">
        <v>0</v>
      </c>
      <c r="L23" t="inlineStr">
        <is>
          <t>Tap − and + to move money between the thirteen 2025 channels. Keep the total. Beat the 2025 plan, then answer the question.</t>
        </is>
      </c>
      <c r="R23" t="n">
        <v>0</v>
      </c>
      <c r="S23" t="n">
        <v>0</v>
      </c>
      <c r="T23" t="n">
        <v>6</v>
      </c>
      <c r="U23" t="n">
        <v>0</v>
      </c>
    </row>
  </sheetData>
  <pageMargins left="0.75" right="0.75" top="1" bottom="1" header="0.5" footer="0.5"/>
  <pageSetup orientation="landscape" paperSize="9"/>
  <headerFooter>
    <oddHeader>&amp;LCRUK CONFIDENTIAL, INTERNAL USE ONLY</oddHeader>
    <oddFooter>&amp;LThe Econometrics Game v3&amp;RAndrew Rajanathan, CRUK M&amp;&amp;D</oddFooter>
    <evenHeader/>
    <evenFooter/>
    <firstHeader/>
    <firstFooter/>
  </headerFooter>
</worksheet>
</file>

<file path=xl/worksheets/sheet8.xml><?xml version="1.0" encoding="utf-8"?>
<worksheet xmlns="http://schemas.openxmlformats.org/spreadsheetml/2006/main">
  <sheetPr codeName="Sheet8">
    <tabColor rgb="00FFC000"/>
    <outlinePr summaryBelow="1" summaryRight="1"/>
    <pageSetUpPr/>
  </sheetPr>
  <dimension ref="A1:K79"/>
  <sheetViews>
    <sheetView workbookViewId="0">
      <selection activeCell="A1" sqref="A1"/>
    </sheetView>
  </sheetViews>
  <sheetFormatPr baseColWidth="8" defaultRowHeight="15"/>
  <cols>
    <col width="44" customWidth="1" min="1" max="1"/>
    <col width="14" customWidth="1" min="2" max="2"/>
  </cols>
  <sheetData>
    <row r="1">
      <c r="A1" s="58" t="inlineStr">
        <is>
          <t>Step (1 to 21)</t>
        </is>
      </c>
      <c r="B1" s="59" t="n">
        <v>1</v>
      </c>
      <c r="D1" s="60" t="inlineStr">
        <is>
          <t>No macros? This tab is the control panel. Type the step number in B1 (1 to 22; step 22 is the budget game lower down the Race for Life tab), the dials in B2 to B12, quiz answers in B17 to B26 and the budget in B51 to B63. Set B30 to 2 (Brand), 3 (Giving) or 4 (Finish) to move on.</t>
        </is>
      </c>
    </row>
    <row r="2">
      <c r="A2" s="58" t="inlineStr">
        <is>
          <t>Base: sign-ups a week</t>
        </is>
      </c>
      <c r="B2" s="59" t="n">
        <v>0</v>
      </c>
    </row>
    <row r="3">
      <c r="A3" s="58" t="inlineStr">
        <is>
          <t>Brake: sign-ups lost a week</t>
        </is>
      </c>
      <c r="B3" s="59" t="n">
        <v>0</v>
      </c>
    </row>
    <row r="4">
      <c r="A4" s="58" t="inlineStr">
        <is>
          <t>Sale: extra sign-ups</t>
        </is>
      </c>
      <c r="B4" s="59" t="n">
        <v>0</v>
      </c>
    </row>
    <row r="5">
      <c r="A5" s="58" t="inlineStr">
        <is>
          <t>Adverts: sign-ups per £1,000</t>
        </is>
      </c>
      <c r="B5" s="59" t="n">
        <v>0</v>
      </c>
    </row>
    <row r="6">
      <c r="A6" s="58" t="inlineStr">
        <is>
          <t>Memory %</t>
        </is>
      </c>
      <c r="B6" s="59" t="n">
        <v>0</v>
      </c>
    </row>
    <row r="7">
      <c r="A7" s="58" t="inlineStr">
        <is>
          <t>Halo: sign-ups per £1,000</t>
        </is>
      </c>
      <c r="B7" s="59" t="n">
        <v>0</v>
      </c>
    </row>
    <row r="8">
      <c r="A8" s="58" t="inlineStr">
        <is>
          <t>TV per £1,000</t>
        </is>
      </c>
      <c r="B8" s="59" t="n">
        <v>0</v>
      </c>
    </row>
    <row r="9">
      <c r="A9" s="58" t="inlineStr">
        <is>
          <t>Online video per £1,000</t>
        </is>
      </c>
      <c r="B9" s="59" t="n">
        <v>0</v>
      </c>
    </row>
    <row r="10">
      <c r="A10" s="58" t="inlineStr">
        <is>
          <t>Radio per £1,000</t>
        </is>
      </c>
      <c r="B10" s="59" t="n">
        <v>0</v>
      </c>
    </row>
    <row r="11">
      <c r="A11" s="58" t="inlineStr">
        <is>
          <t>Posters per £1,000</t>
        </is>
      </c>
      <c r="B11" s="59" t="n">
        <v>0</v>
      </c>
    </row>
    <row r="12">
      <c r="A12" s="58" t="inlineStr">
        <is>
          <t>Digital and social per £1,000</t>
        </is>
      </c>
      <c r="B12" s="59" t="n">
        <v>0</v>
      </c>
    </row>
    <row r="13">
      <c r="A13" s="58" t="n"/>
      <c r="B13" s="58" t="n"/>
    </row>
    <row r="14">
      <c r="A14" s="58" t="inlineStr">
        <is>
          <t>Show answer (1 = yes)</t>
        </is>
      </c>
      <c r="B14" s="59" t="n">
        <v>0</v>
      </c>
    </row>
    <row r="15">
      <c r="A15" s="58" t="inlineStr">
        <is>
          <t>Show hint (1 = yes)</t>
        </is>
      </c>
      <c r="B15" s="59" t="n">
        <v>0</v>
      </c>
    </row>
    <row r="16">
      <c r="A16" s="58" t="n"/>
      <c r="B16" s="58" t="n"/>
    </row>
    <row r="17">
      <c r="A17" s="58" t="inlineStr">
        <is>
          <t>Quiz 1 answer chosen (1 to 3)</t>
        </is>
      </c>
      <c r="B17" s="59" t="n">
        <v>0</v>
      </c>
      <c r="C17" t="n">
        <v>1</v>
      </c>
    </row>
    <row r="18">
      <c r="A18" s="58" t="inlineStr">
        <is>
          <t>Quiz 2 answer chosen (1 to 3)</t>
        </is>
      </c>
      <c r="B18" s="59" t="n">
        <v>0</v>
      </c>
      <c r="C18" t="n">
        <v>1</v>
      </c>
    </row>
    <row r="19">
      <c r="A19" s="58" t="inlineStr">
        <is>
          <t>Quiz 3 answer chosen (1 to 3)</t>
        </is>
      </c>
      <c r="B19" s="59" t="n">
        <v>0</v>
      </c>
      <c r="C19" t="n">
        <v>1</v>
      </c>
    </row>
    <row r="20">
      <c r="A20" s="58" t="inlineStr">
        <is>
          <t>Quiz 4 answer chosen (1 to 3)</t>
        </is>
      </c>
      <c r="B20" s="59" t="n">
        <v>0</v>
      </c>
      <c r="C20" t="n">
        <v>1</v>
      </c>
    </row>
    <row r="21">
      <c r="A21" s="58" t="inlineStr">
        <is>
          <t>Quiz 5 answer chosen (1 to 3)</t>
        </is>
      </c>
      <c r="B21" s="59" t="n">
        <v>0</v>
      </c>
      <c r="C21" t="n">
        <v>1</v>
      </c>
    </row>
    <row r="22">
      <c r="A22" s="58" t="inlineStr">
        <is>
          <t>Quiz 6 answer chosen (1 to 3)</t>
        </is>
      </c>
      <c r="B22" s="59" t="n">
        <v>0</v>
      </c>
      <c r="C22" t="n">
        <v>1</v>
      </c>
    </row>
    <row r="23">
      <c r="A23" s="58" t="inlineStr">
        <is>
          <t>Quiz 7 answer chosen (1 to 3)</t>
        </is>
      </c>
      <c r="B23" s="59" t="n">
        <v>0</v>
      </c>
      <c r="C23" t="n">
        <v>1</v>
      </c>
    </row>
    <row r="24">
      <c r="A24" s="58" t="inlineStr">
        <is>
          <t>Quiz 8 answer chosen (1 to 3)</t>
        </is>
      </c>
      <c r="B24" s="59" t="n">
        <v>0</v>
      </c>
      <c r="C24" t="n">
        <v>1</v>
      </c>
    </row>
    <row r="25">
      <c r="A25" s="58" t="inlineStr">
        <is>
          <t>Quiz 9 answer chosen (1 to 3)</t>
        </is>
      </c>
      <c r="B25" s="59" t="n">
        <v>0</v>
      </c>
      <c r="C25" t="n">
        <v>1</v>
      </c>
    </row>
    <row r="26">
      <c r="A26" s="58" t="inlineStr">
        <is>
          <t>Quiz 10 answer chosen (1 to 3)</t>
        </is>
      </c>
      <c r="B26" s="59" t="n">
        <v>0</v>
      </c>
      <c r="C26" t="n">
        <v>1</v>
      </c>
    </row>
    <row r="27">
      <c r="A27" s="58" t="n"/>
      <c r="B27" s="58" t="n"/>
    </row>
    <row r="28">
      <c r="A28" s="58" t="inlineStr">
        <is>
          <t>Stars</t>
        </is>
      </c>
      <c r="B28" s="58">
        <f>SUMPRODUCT(--(B17:B26=C17:C26))</f>
        <v/>
      </c>
    </row>
    <row r="29">
      <c r="A29" s="58" t="n"/>
      <c r="B29" s="58" t="n"/>
    </row>
    <row r="30">
      <c r="A30" s="58" t="inlineStr">
        <is>
          <t>Stage (1 Race for Life, 2 Brand, 3 Giving, 4 Finish)</t>
        </is>
      </c>
      <c r="B30" s="58" t="n">
        <v>1</v>
      </c>
    </row>
    <row r="31">
      <c r="A31" s="58" t="inlineStr">
        <is>
          <t>Progress (of 24)</t>
        </is>
      </c>
      <c r="B31" s="58">
        <f>IF(B30=1,MIN(22,B1),MIN(24,22+B30-1))</f>
        <v/>
      </c>
    </row>
    <row r="32">
      <c r="A32" s="58" t="n"/>
      <c r="B32" s="58" t="n"/>
    </row>
    <row r="33">
      <c r="A33" s="58" t="inlineStr">
        <is>
          <t>Step type</t>
        </is>
      </c>
      <c r="B33" s="58">
        <f>INDEX(Steps!$F$2:$F$23,State!$B$1)</f>
        <v/>
      </c>
    </row>
    <row r="34">
      <c r="A34" s="58" t="inlineStr">
        <is>
          <t>Dial id</t>
        </is>
      </c>
      <c r="B34" s="58">
        <f>INDEX(Steps!$G$2:$G$23,State!$B$1)</f>
        <v/>
      </c>
    </row>
    <row r="35">
      <c r="A35" s="58" t="inlineStr">
        <is>
          <t>Answer</t>
        </is>
      </c>
      <c r="B35" s="58">
        <f>INDEX(Steps!$J$2:$J$23,State!$B$1)</f>
        <v/>
      </c>
    </row>
    <row r="36">
      <c r="A36" s="58" t="inlineStr">
        <is>
          <t>Tolerance</t>
        </is>
      </c>
      <c r="B36" s="58">
        <f>INDEX(Steps!$K$2:$K$23,State!$B$1)</f>
        <v/>
      </c>
    </row>
    <row r="37">
      <c r="A37" s="58" t="inlineStr">
        <is>
          <t>Current value</t>
        </is>
      </c>
      <c r="B37" s="58">
        <f>IF(B34=0,0,INDEX($B$2:$B$12,B34))</f>
        <v/>
      </c>
    </row>
    <row r="38">
      <c r="A38" s="58" t="inlineStr">
        <is>
          <t>Quiz index</t>
        </is>
      </c>
      <c r="B38" s="58">
        <f>INDEX(Steps!$S$2:$S$23,State!$B$1)</f>
        <v/>
      </c>
    </row>
    <row r="39">
      <c r="A39" s="58" t="inlineStr">
        <is>
          <t>Chosen</t>
        </is>
      </c>
      <c r="B39" s="58">
        <f>IF(B38=0,0,INDEX($B$17:$B$26,B38))</f>
        <v/>
      </c>
    </row>
    <row r="40">
      <c r="A40" s="58" t="inlineStr">
        <is>
          <t>Correct</t>
        </is>
      </c>
      <c r="B40" s="58">
        <f>INDEX(Steps!$R$2:$R$23,State!$B$1)</f>
        <v/>
      </c>
    </row>
    <row r="41">
      <c r="A41" s="58" t="inlineStr">
        <is>
          <t>Dial verdict (0 low, 1 ok, 2 high)</t>
        </is>
      </c>
      <c r="B41" s="58">
        <f>IF(B34=0,1,IF(B34=5,IF(B37&lt;B35-B36,0,IF(B37&gt;B35+B36,2,1)),IF(B37&lt;B35*(1-B36),0,IF(B37&gt;B35*(1+B36),2,1))))</f>
        <v/>
      </c>
    </row>
    <row r="42">
      <c r="A42" s="58" t="inlineStr">
        <is>
          <t>Pattern explained (chart model)</t>
        </is>
      </c>
      <c r="B42" s="58">
        <f>MAX(0,1-SUMXMY2('Under the bonnet'!$D$6:$D$153,'Under the bonnet'!$BK$6:$BK$153)/DEVSQ('Under the bonnet'!$D$6:$D$153))</f>
        <v/>
      </c>
    </row>
    <row r="43">
      <c r="A43" s="58" t="inlineStr">
        <is>
          <t>Model column</t>
        </is>
      </c>
      <c r="B43" s="58">
        <f>INDEX(Steps!$T$2:$T$23,State!$B$1)</f>
        <v/>
      </c>
    </row>
    <row r="44">
      <c r="A44" s="58" t="inlineStr">
        <is>
          <t>Show bars</t>
        </is>
      </c>
      <c r="B44" s="58">
        <f>INDEX(Steps!$U$2:$U$23,State!$B$1)</f>
        <v/>
      </c>
    </row>
    <row r="45">
      <c r="A45" s="58" t="inlineStr">
        <is>
          <t>Number format</t>
        </is>
      </c>
      <c r="B45" s="58">
        <f>INDEX(Steps!$W$2:$W$23,State!$B$1)</f>
        <v/>
      </c>
    </row>
    <row r="46">
      <c r="A46" s="58" t="inlineStr">
        <is>
          <t>Split typed (all five above zero)</t>
        </is>
      </c>
      <c r="B46" s="58">
        <f>IF(MIN(B8:B12)&gt;0,1,0)</f>
        <v/>
      </c>
    </row>
    <row r="47">
      <c r="A47" s="58" t="inlineStr">
        <is>
          <t>Tests all green</t>
        </is>
      </c>
      <c r="B47" s="58">
        <f>IF(AND(B70=1,B71=1,B72=1,B73=1),1,0)</f>
        <v/>
      </c>
    </row>
    <row r="48">
      <c r="A48" s="58" t="inlineStr">
        <is>
          <t>Sponsorship per sign-up £</t>
        </is>
      </c>
      <c r="B48" s="59" t="n">
        <v>90</v>
      </c>
    </row>
    <row r="49">
      <c r="A49" s="58" t="n"/>
      <c r="B49" s="58" t="n"/>
    </row>
    <row r="50">
      <c r="A50" s="58" t="inlineStr">
        <is>
          <t>Budget: your spend by channel, £k</t>
        </is>
      </c>
      <c r="B50" s="58" t="n"/>
      <c r="C50" t="inlineStr">
        <is>
          <t>2025 £k</t>
        </is>
      </c>
      <c r="D50" t="inlineStr">
        <is>
          <t>Wave 1 return</t>
        </is>
      </c>
      <c r="E50" t="inlineStr">
        <is>
          <t>AP plan £k</t>
        </is>
      </c>
    </row>
    <row r="51">
      <c r="A51" s="58" t="inlineStr">
        <is>
          <t>DRTV</t>
        </is>
      </c>
      <c r="B51" s="59" t="n">
        <v>985</v>
      </c>
      <c r="C51" t="n">
        <v>985</v>
      </c>
      <c r="D51" t="n">
        <v>1.955</v>
      </c>
      <c r="E51" t="n">
        <v>1375</v>
      </c>
    </row>
    <row r="52">
      <c r="A52" s="58" t="inlineStr">
        <is>
          <t>Online video</t>
        </is>
      </c>
      <c r="B52" s="59" t="n">
        <v>899</v>
      </c>
      <c r="C52" t="n">
        <v>899</v>
      </c>
      <c r="D52" t="n">
        <v>1.861</v>
      </c>
      <c r="E52" t="n">
        <v>769</v>
      </c>
    </row>
    <row r="53">
      <c r="A53" s="58" t="inlineStr">
        <is>
          <t>Radio</t>
        </is>
      </c>
      <c r="B53" s="59" t="n">
        <v>834</v>
      </c>
      <c r="C53" t="n">
        <v>834</v>
      </c>
      <c r="D53" t="n">
        <v>1.753</v>
      </c>
      <c r="E53" t="n">
        <v>667</v>
      </c>
    </row>
    <row r="54">
      <c r="A54" s="58" t="inlineStr">
        <is>
          <t>Paid social</t>
        </is>
      </c>
      <c r="B54" s="59" t="n">
        <v>1063</v>
      </c>
      <c r="C54" t="n">
        <v>1063</v>
      </c>
      <c r="D54" t="n">
        <v>1.591</v>
      </c>
      <c r="E54" t="n">
        <v>1077</v>
      </c>
    </row>
    <row r="55">
      <c r="A55" s="58" t="inlineStr">
        <is>
          <t>Regional</t>
        </is>
      </c>
      <c r="B55" s="59" t="n">
        <v>748</v>
      </c>
      <c r="C55" t="n">
        <v>748</v>
      </c>
      <c r="D55" t="n">
        <v>1.71</v>
      </c>
      <c r="E55" t="n">
        <v>460</v>
      </c>
    </row>
    <row r="56">
      <c r="A56" s="58" t="inlineStr">
        <is>
          <t>Posters</t>
        </is>
      </c>
      <c r="B56" s="59" t="n">
        <v>521</v>
      </c>
      <c r="C56" t="n">
        <v>521</v>
      </c>
      <c r="D56" t="n">
        <v>0.538</v>
      </c>
      <c r="E56" t="n">
        <v>320</v>
      </c>
    </row>
    <row r="57">
      <c r="A57" s="58" t="inlineStr">
        <is>
          <t>Digital audio</t>
        </is>
      </c>
      <c r="B57" s="59" t="n">
        <v>458</v>
      </c>
      <c r="C57" t="n">
        <v>458</v>
      </c>
      <c r="D57" t="n">
        <v>1.708</v>
      </c>
      <c r="E57" t="n">
        <v>658</v>
      </c>
    </row>
    <row r="58">
      <c r="A58" s="58" t="inlineStr">
        <is>
          <t>Display</t>
        </is>
      </c>
      <c r="B58" s="59" t="n">
        <v>442</v>
      </c>
      <c r="C58" t="n">
        <v>442</v>
      </c>
      <c r="D58" t="n">
        <v>1.74</v>
      </c>
      <c r="E58" t="n">
        <v>552</v>
      </c>
    </row>
    <row r="59">
      <c r="A59" s="58" t="inlineStr">
        <is>
          <t>Paid search</t>
        </is>
      </c>
      <c r="B59" s="59" t="n">
        <v>318</v>
      </c>
      <c r="C59" t="n">
        <v>318</v>
      </c>
      <c r="D59" t="n">
        <v>1.7</v>
      </c>
      <c r="E59" t="n">
        <v>375</v>
      </c>
    </row>
    <row r="60">
      <c r="A60" s="58" t="inlineStr">
        <is>
          <t>YouTube</t>
        </is>
      </c>
      <c r="B60" s="59" t="n">
        <v>121</v>
      </c>
      <c r="C60" t="n">
        <v>121</v>
      </c>
      <c r="D60" t="n">
        <v>1.85</v>
      </c>
      <c r="E60" t="n">
        <v>150</v>
      </c>
    </row>
    <row r="61">
      <c r="A61" s="58" t="inlineStr">
        <is>
          <t>Telemarketing</t>
        </is>
      </c>
      <c r="B61" s="59" t="n">
        <v>102</v>
      </c>
      <c r="C61" t="n">
        <v>102</v>
      </c>
      <c r="D61" t="n">
        <v>1.2</v>
      </c>
      <c r="E61" t="n">
        <v>71</v>
      </c>
    </row>
    <row r="62">
      <c r="A62" s="58" t="inlineStr">
        <is>
          <t>Direct mail</t>
        </is>
      </c>
      <c r="B62" s="59" t="n">
        <v>40</v>
      </c>
      <c r="C62" t="n">
        <v>40</v>
      </c>
      <c r="D62" t="n">
        <v>1.9</v>
      </c>
      <c r="E62" t="n">
        <v>57</v>
      </c>
    </row>
    <row r="63">
      <c r="A63" s="58" t="inlineStr">
        <is>
          <t>Door drops</t>
        </is>
      </c>
      <c r="B63" s="59" t="n">
        <v>22</v>
      </c>
      <c r="C63" t="n">
        <v>22</v>
      </c>
      <c r="D63" t="n">
        <v>2</v>
      </c>
      <c r="E63" t="n">
        <v>21</v>
      </c>
    </row>
    <row r="64">
      <c r="A64" s="58" t="inlineStr">
        <is>
          <t>Budget plan mode (0 mine, 1 AP)</t>
        </is>
      </c>
      <c r="B64" s="59" t="n">
        <v>0</v>
      </c>
    </row>
    <row r="65">
      <c r="A65" s="58" t="n"/>
      <c r="B65" s="58" t="n"/>
    </row>
    <row r="66">
      <c r="A66" s="58" t="n"/>
      <c r="B66" s="58" t="n"/>
    </row>
    <row r="67">
      <c r="A67" s="58" t="n"/>
      <c r="B67" s="58" t="n"/>
    </row>
    <row r="68">
      <c r="A68" s="58" t="n"/>
      <c r="B68" s="58" t="n"/>
    </row>
    <row r="69">
      <c r="A69" s="58" t="inlineStr">
        <is>
          <t>Tests: green flag</t>
        </is>
      </c>
      <c r="B69" s="58" t="n"/>
    </row>
    <row r="70">
      <c r="A70" s="58" t="inlineStr">
        <is>
          <t>Pattern explained ok</t>
        </is>
      </c>
      <c r="B70" s="58">
        <f>IF(B75&gt;=0.85,1,0)</f>
        <v/>
      </c>
    </row>
    <row r="71">
      <c r="A71" s="58" t="inlineStr">
        <is>
          <t>Typical weekly miss ok</t>
        </is>
      </c>
      <c r="B71" s="58">
        <f>IF(B76&lt;=0.35,1,0)</f>
        <v/>
      </c>
    </row>
    <row r="72">
      <c r="A72" s="58" t="inlineStr">
        <is>
          <t>Predicts 2025 ok</t>
        </is>
      </c>
      <c r="B72" s="58">
        <f>IF(B77&gt;=0.8,1,0)</f>
        <v/>
      </c>
    </row>
    <row r="73">
      <c r="A73" s="58" t="inlineStr">
        <is>
          <t>Unexplained 2025 change ok</t>
        </is>
      </c>
      <c r="B73" s="58">
        <f>IF(ABS(B78)&lt;=0.05,1,0)</f>
        <v/>
      </c>
    </row>
    <row r="74">
      <c r="A74" s="58" t="inlineStr">
        <is>
          <t>Tests: your value</t>
        </is>
      </c>
      <c r="B74" s="58" t="n"/>
    </row>
    <row r="75">
      <c r="A75" s="58" t="inlineStr">
        <is>
          <t>Pattern explained</t>
        </is>
      </c>
      <c r="B75" s="61">
        <f>MAX(0,1-SUMXMY2('Under the bonnet'!$D$6:$D$153,'Under the bonnet'!$AP$6:$AP$153)/DEVSQ('Under the bonnet'!$D$6:$D$153))</f>
        <v/>
      </c>
      <c r="C75" s="62" t="n">
        <v>0.9399999999999999</v>
      </c>
    </row>
    <row r="76">
      <c r="A76" s="58" t="inlineStr">
        <is>
          <t>Typical weekly miss</t>
        </is>
      </c>
      <c r="B76" s="61">
        <f>IFERROR(AVERAGE('Under the bonnet'!$BT$6:$BT$153),1)</f>
        <v/>
      </c>
      <c r="C76" s="62" t="n">
        <v>0.28</v>
      </c>
    </row>
    <row r="77">
      <c r="A77" s="58" t="inlineStr">
        <is>
          <t>Predicts 2025</t>
        </is>
      </c>
      <c r="B77" s="61">
        <f>MAX(0,1-SUMPRODUCT(('Under the bonnet'!$B$6:$B$153=2025)*('Under the bonnet'!$D$6:$D$153-'Under the bonnet'!$AP$6:$AP$153)^2)/SUMPRODUCT(('Under the bonnet'!$B$6:$B$153=2025)*('Under the bonnet'!$D$6:$D$153-SUMPRODUCT(('Under the bonnet'!$B$6:$B$153=2025)*'Under the bonnet'!$D$6:$D$153)/COUNTIF('Under the bonnet'!$B$6:$B$153,2025))^2))</f>
        <v/>
      </c>
      <c r="C77" t="inlineStr">
        <is>
          <t>n/a</t>
        </is>
      </c>
    </row>
    <row r="78">
      <c r="A78" s="58" t="inlineStr">
        <is>
          <t>Unexplained 2025 change</t>
        </is>
      </c>
      <c r="B78" s="75">
        <f>IFERROR(((SUMIFS('Under the bonnet'!$D$6:$D$153,'Under the bonnet'!$B$6:$B$153,2025,'Under the bonnet'!$C$6:$C$153,"&lt;=10")-SUMIFS('Under the bonnet'!$D$6:$D$153,'Under the bonnet'!$B$6:$B$153,2024,'Under the bonnet'!$C$6:$C$153,"&lt;=10"))-(SUMIFS('Under the bonnet'!$AP$6:$AP$153,'Under the bonnet'!$B$6:$B$153,2025,'Under the bonnet'!$C$6:$C$153,"&lt;=10")-SUMIFS('Under the bonnet'!$AP$6:$AP$153,'Under the bonnet'!$B$6:$B$153,2024,'Under the bonnet'!$C$6:$C$153,"&lt;=10")))/SUMIFS('Under the bonnet'!$D$6:$D$153,'Under the bonnet'!$B$6:$B$153,2024,'Under the bonnet'!$C$6:$C$153,"&lt;=10"),1)</f>
        <v/>
      </c>
      <c r="C78" s="76" t="n">
        <v>0.014</v>
      </c>
    </row>
    <row r="79">
      <c r="A79" s="58" t="n"/>
      <c r="B79" s="58" t="n"/>
    </row>
  </sheetData>
  <mergeCells count="1">
    <mergeCell ref="D1:K6"/>
  </mergeCells>
  <pageMargins left="0.75" right="0.75" top="1" bottom="1" header="0.5" footer="0.5"/>
  <pageSetup orientation="landscape" paperSize="9"/>
  <headerFooter>
    <oddHeader>&amp;LCRUK CONFIDENTIAL, INTERNAL USE ONLY</oddHeader>
    <oddFooter>&amp;LThe Econometrics Game v3&amp;RAndrew Rajanathan, CRUK M&amp;&amp;D</oddFooter>
    <evenHeader/>
    <evenFooter/>
    <firstHeader/>
    <firstFooter/>
  </headerFooter>
</worksheet>
</file>

<file path=xl/worksheets/sheet9.xml><?xml version="1.0" encoding="utf-8"?>
<worksheet xmlns="http://schemas.openxmlformats.org/spreadsheetml/2006/main">
  <sheetPr codeName="Sheet9">
    <outlinePr summaryBelow="1" summaryRight="1"/>
    <pageSetUpPr/>
  </sheetPr>
  <dimension ref="B2:C14"/>
  <sheetViews>
    <sheetView workbookViewId="0">
      <selection activeCell="A1" sqref="A1"/>
    </sheetView>
  </sheetViews>
  <sheetFormatPr baseColWidth="8" defaultRowHeight="15"/>
  <cols>
    <col width="26" customWidth="1" min="2" max="2"/>
    <col width="90" customWidth="1" min="3" max="3"/>
  </cols>
  <sheetData>
    <row r="2">
      <c r="B2" s="50" t="inlineStr">
        <is>
          <t>Room notes: running the game with a team in 45 minutes</t>
        </is>
      </c>
    </row>
    <row r="3">
      <c r="B3" s="65" t="inlineStr">
        <is>
          <t>For the person leading. Unhide from the sheet list. The answers are here, so do not share the screen with this tab open.</t>
        </is>
      </c>
    </row>
    <row r="5" ht="34" customHeight="1">
      <c r="B5" s="66" t="inlineStr">
        <is>
          <t>0 to 5</t>
        </is>
      </c>
      <c r="C5" s="41" t="inlineStr">
        <is>
          <t>Open the Race for Life tab on the big screen. Chapter 1, one person tapping. Ask the room what made the spikes before anyone taps.</t>
        </is>
      </c>
    </row>
    <row r="6" ht="34" customHeight="1">
      <c r="B6" s="66" t="inlineStr">
        <is>
          <t>5 to 15</t>
        </is>
      </c>
      <c r="C6" s="41" t="inlineStr">
        <is>
          <t>Chapters 2 and 3 together. Ask for a show of hands before each number: higher or lower than a thousand? The base surprises people. Let it.</t>
        </is>
      </c>
    </row>
    <row r="7" ht="34" customHeight="1">
      <c r="B7" s="66" t="inlineStr">
        <is>
          <t>15 to 25</t>
        </is>
      </c>
      <c r="C7" s="41" t="inlineStr">
        <is>
          <t>Chapter 4. Ask the room to guess the memory before you touch it. Most say 20%. Show what 80% does. Name adstock only after the line fits.</t>
        </is>
      </c>
    </row>
    <row r="8" ht="34" customHeight="1">
      <c r="B8" s="66" t="inlineStr">
        <is>
          <t>25 to 32</t>
        </is>
      </c>
      <c r="C8" s="41" t="inlineStr">
        <is>
          <t>Chapter 5. Add the halo, then read the 42% step out loud and stop. Let the room say what it means for next year.</t>
        </is>
      </c>
    </row>
    <row r="9" ht="34" customHeight="1">
      <c r="B9" s="66" t="inlineStr">
        <is>
          <t>32 to 38</t>
        </is>
      </c>
      <c r="C9" s="41" t="inlineStr">
        <is>
          <t>Chapter 6 in pairs on laptops. The point is the catch, not the numbers. Ask: which channel are you least sure of, and why?</t>
        </is>
      </c>
    </row>
    <row r="10" ht="34" customHeight="1">
      <c r="B10" s="66" t="inlineStr">
        <is>
          <t>38 to 45</t>
        </is>
      </c>
      <c r="C10" s="41" t="inlineStr">
        <is>
          <t>Chapter 8 as a race: first to 1,000 extra sign-ups on the same money. Close on average versus last pound. The Brand and Giving tabs are homework.</t>
        </is>
      </c>
    </row>
    <row r="11" ht="49" customHeight="1">
      <c r="B11" s="66" t="inlineStr">
        <is>
          <t>Answer key</t>
        </is>
      </c>
      <c r="C11" s="41" t="inlineStr">
        <is>
          <t>Base 876. Brake 952. Sale 7,598. Adverts 16.1 per £1,000, memory 80%. Halo 2.86 per £1,000. Channels: TV 17.0, Online video 17.4, Radio 17.4, Posters 6.1, Digital and social 17.6. Every quiz answer is A.</t>
        </is>
      </c>
    </row>
    <row r="12" ht="49" customHeight="1">
      <c r="B12" s="66" t="inlineStr">
        <is>
          <t>If asked "is this just correlation?"</t>
        </is>
      </c>
      <c r="C12" s="41" t="inlineStr">
        <is>
          <t>Partly, and AP say so. Three things make it more: it controls for everything at once, it is tested on weeks it never saw, and channels that stopped (Race for Life TV after 2024) let it see what happens without them.</t>
        </is>
      </c>
    </row>
    <row r="13" ht="34" customHeight="1">
      <c r="B13" s="66" t="inlineStr">
        <is>
          <t>If asked "the halo felt too big"</t>
        </is>
      </c>
      <c r="C13" s="41" t="inlineStr">
        <is>
          <t>It did, and AP rebuilt it. They now measure Committed Giving as one block. The halo fell and is still 5% of 2025 sign-ups and 9,139 of the 2025 decline.</t>
        </is>
      </c>
    </row>
    <row r="14" ht="34" customHeight="1">
      <c r="B14" s="66" t="inlineStr">
        <is>
          <t>Budget chapter</t>
        </is>
      </c>
      <c r="C14" s="41" t="inlineStr">
        <is>
          <t>Best possible on the game's curves is about 2,000 extra: cut posters and telemarketing, add DRTV and online video. AP's own plan shows the same direction.</t>
        </is>
      </c>
    </row>
  </sheetData>
  <pageMargins left="0.75" right="0.75" top="1" bottom="1" header="0.5" footer="0.5"/>
  <pageSetup orientation="landscape" paperSize="9"/>
  <headerFooter>
    <oddHeader>&amp;LCRUK CONFIDENTIAL, INTERNAL USE ONLY</oddHeader>
    <oddFooter>&amp;LThe Econometrics Game v3&amp;RAndrew Rajanathan, CRUK M&amp;&amp;D</oddFooter>
    <evenHeader/>
    <evenFooter/>
    <firstHeader/>
    <firstFooter/>
  </headerFooter>
</worksheet>
</file>

<file path=xl/worksheets/sheet10.xml><?xml version="1.0" encoding="utf-8"?>
<worksheet xmlns="http://schemas.openxmlformats.org/spreadsheetml/2006/main">
  <sheetPr codeName="Sheet10">
    <outlinePr summaryBelow="1" summaryRight="1"/>
    <pageSetUpPr/>
  </sheetPr>
  <dimension ref="A1:E20"/>
  <sheetViews>
    <sheetView workbookViewId="0">
      <selection activeCell="A1" sqref="A1"/>
    </sheetView>
  </sheetViews>
  <sheetFormatPr baseColWidth="8" defaultRowHeight="15"/>
  <cols>
    <col width="44" customWidth="1" min="2" max="2"/>
    <col width="40" customWidth="1" min="4" max="4"/>
  </cols>
  <sheetData>
    <row r="1">
      <c r="A1" t="inlineStr">
        <is>
          <t>Answer key, fitted to the Wave 1 decomposition. Hidden so the game stays a game.</t>
        </is>
      </c>
    </row>
    <row r="3">
      <c r="B3" t="inlineStr">
        <is>
          <t>Base: sign-ups a week</t>
        </is>
      </c>
      <c r="C3" t="n">
        <v>876</v>
      </c>
    </row>
    <row r="4">
      <c r="B4" t="inlineStr">
        <is>
          <t>Brake: sign-ups lost a week</t>
        </is>
      </c>
      <c r="C4" t="n">
        <v>952</v>
      </c>
    </row>
    <row r="5">
      <c r="B5" t="inlineStr">
        <is>
          <t>Sale: extra sign-ups in a sale week</t>
        </is>
      </c>
      <c r="C5" t="n">
        <v>7600</v>
      </c>
    </row>
    <row r="6">
      <c r="B6" t="inlineStr">
        <is>
          <t>RFL adverts: sign-ups per £1,000</t>
        </is>
      </c>
      <c r="C6" t="n">
        <v>16.1</v>
      </c>
    </row>
    <row r="7">
      <c r="B7" t="inlineStr">
        <is>
          <t>RFL adverts: memory %</t>
        </is>
      </c>
      <c r="C7" t="n">
        <v>80</v>
      </c>
    </row>
    <row r="8">
      <c r="B8" t="inlineStr">
        <is>
          <t>Halo: sign-ups per £1,000 of other adverts</t>
        </is>
      </c>
      <c r="C8" t="n">
        <v>2.86</v>
      </c>
    </row>
    <row r="11">
      <c r="B11" t="inlineStr">
        <is>
          <t>Tolerance on a dial</t>
        </is>
      </c>
      <c r="C11" t="n">
        <v>0.25</v>
      </c>
    </row>
    <row r="12">
      <c r="B12" t="inlineStr">
        <is>
          <t>Tolerance on memory (points)</t>
        </is>
      </c>
      <c r="C12" t="n">
        <v>10</v>
      </c>
    </row>
    <row r="13">
      <c r="B13" t="inlineStr">
        <is>
          <t>Tolerance on a channel</t>
        </is>
      </c>
      <c r="C13" t="n">
        <v>0.35</v>
      </c>
    </row>
    <row r="16">
      <c r="B16" t="inlineStr">
        <is>
          <t>TV: memory %</t>
        </is>
      </c>
      <c r="C16" t="n">
        <v>80</v>
      </c>
      <c r="D16" t="inlineStr">
        <is>
          <t>TV: sign-ups per £1,000</t>
        </is>
      </c>
      <c r="E16" t="n">
        <v>17</v>
      </c>
    </row>
    <row r="17">
      <c r="B17" t="inlineStr">
        <is>
          <t>Online video: memory %</t>
        </is>
      </c>
      <c r="C17" t="n">
        <v>80</v>
      </c>
      <c r="D17" t="inlineStr">
        <is>
          <t>Online video: sign-ups per £1,000</t>
        </is>
      </c>
      <c r="E17" t="n">
        <v>17.4</v>
      </c>
    </row>
    <row r="18">
      <c r="B18" t="inlineStr">
        <is>
          <t>Radio: memory %</t>
        </is>
      </c>
      <c r="C18" t="n">
        <v>80</v>
      </c>
      <c r="D18" t="inlineStr">
        <is>
          <t>Radio: sign-ups per £1,000</t>
        </is>
      </c>
      <c r="E18" t="n">
        <v>17.4</v>
      </c>
    </row>
    <row r="19">
      <c r="B19" t="inlineStr">
        <is>
          <t>Posters: memory %</t>
        </is>
      </c>
      <c r="C19" t="n">
        <v>80</v>
      </c>
      <c r="D19" t="inlineStr">
        <is>
          <t>Posters: sign-ups per £1,000</t>
        </is>
      </c>
      <c r="E19" t="n">
        <v>6.1</v>
      </c>
    </row>
    <row r="20">
      <c r="B20" t="inlineStr">
        <is>
          <t>Digital and social: memory %</t>
        </is>
      </c>
      <c r="C20" t="n">
        <v>80</v>
      </c>
      <c r="D20" t="inlineStr">
        <is>
          <t>Digital and social: sign-ups per £1,000</t>
        </is>
      </c>
      <c r="E20" t="n">
        <v>17.6</v>
      </c>
    </row>
  </sheetData>
  <pageMargins left="0.75" right="0.75" top="1" bottom="1" header="0.5" footer="0.5"/>
  <pageSetup orientation="landscape" paperSize="9"/>
  <headerFooter>
    <oddHeader>&amp;LCRUK CONFIDENTIAL, INTERNAL USE ONLY</oddHeader>
    <oddFooter>&amp;LThe Econometrics Game v3&amp;RAndrew Rajanathan, CRUK M&amp;&amp;D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2026-09-07T09:31:15Z</dcterms:created>
  <dcterms:modified xmlns:dcterms="http://purl.org/dc/terms/" xmlns:xsi="http://www.w3.org/2001/XMLSchema-instance" xsi:type="dcterms:W3CDTF">2026-09-07T09:33:07Z</dcterms:modified>
</cp:coreProperties>
</file>